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icenciasminsal-my.sharepoint.com/personal/jacqueline_cerda_minsal_cl/Documents/REM- EQUIPO/REM 2025/DICCIONARIOS/SERIE P/"/>
    </mc:Choice>
  </mc:AlternateContent>
  <xr:revisionPtr revIDLastSave="1662" documentId="13_ncr:1_{0562CD58-42BE-4781-906D-4053AC6A93D7}" xr6:coauthVersionLast="47" xr6:coauthVersionMax="47" xr10:uidLastSave="{FA8AADEE-F179-4707-BA32-616EAF3F38B2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840" tabRatio="589" activeTab="3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'P1'!$B$1:$N$150</definedName>
    <definedName name="_xlnm.Print_Area" localSheetId="9">'P11'!$B$1:$AS$22</definedName>
    <definedName name="_xlnm.Print_Area" localSheetId="10">'P12'!$B$1:$L$51</definedName>
    <definedName name="_xlnm.Print_Area" localSheetId="3">'P3'!$B$1:$AO$71</definedName>
    <definedName name="_xlnm.Print_Area" localSheetId="4">'P4'!$B$1:$AK$87</definedName>
    <definedName name="_xlnm.Print_Area" localSheetId="5">'P5'!$B$1:$Q$53</definedName>
    <definedName name="_xlnm.Print_Area" localSheetId="6">'P6'!$B$1:$AR$126</definedName>
    <definedName name="_xlnm.Print_Area" localSheetId="7">'P7'!$B$1:$K$29</definedName>
    <definedName name="OLE_LINK1" localSheetId="3">'P3'!$CJ$68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W93" i="16" l="1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90" i="16"/>
  <c r="AO93" i="16"/>
  <c r="BB11" i="8"/>
  <c r="B80" i="11"/>
  <c r="BE60" i="11"/>
  <c r="BD60" i="11"/>
  <c r="BE59" i="11"/>
  <c r="BD59" i="11"/>
  <c r="BE58" i="11"/>
  <c r="BD58" i="11"/>
  <c r="BE57" i="11"/>
  <c r="BD57" i="11"/>
  <c r="BE56" i="11"/>
  <c r="BD56" i="11"/>
  <c r="BE55" i="11"/>
  <c r="BD55" i="11"/>
  <c r="BE54" i="11"/>
  <c r="BD54" i="11"/>
  <c r="BE53" i="11"/>
  <c r="BD53" i="11"/>
  <c r="BE52" i="11"/>
  <c r="BD52" i="11"/>
  <c r="BD47" i="11"/>
  <c r="BD40" i="11"/>
  <c r="BE40" i="11"/>
  <c r="BD41" i="11"/>
  <c r="BE41" i="11"/>
  <c r="BD42" i="11"/>
  <c r="BE42" i="11"/>
  <c r="BD43" i="11"/>
  <c r="BE43" i="11"/>
  <c r="BD44" i="11"/>
  <c r="BE44" i="11"/>
  <c r="BD45" i="11"/>
  <c r="BE45" i="11"/>
  <c r="BD46" i="11"/>
  <c r="BE46" i="11"/>
  <c r="BE47" i="11"/>
  <c r="BE39" i="11"/>
  <c r="BD39" i="11"/>
  <c r="BE34" i="11"/>
  <c r="BD34" i="11"/>
  <c r="BE33" i="11"/>
  <c r="BD33" i="11"/>
  <c r="BE32" i="11"/>
  <c r="BD32" i="11"/>
  <c r="BE31" i="11"/>
  <c r="BD31" i="11"/>
  <c r="BE30" i="11"/>
  <c r="BD30" i="11"/>
  <c r="BE29" i="11"/>
  <c r="BD29" i="11"/>
  <c r="BE28" i="11"/>
  <c r="BD28" i="11"/>
  <c r="BD12" i="11"/>
  <c r="BE12" i="11"/>
  <c r="BD13" i="11"/>
  <c r="BE13" i="11"/>
  <c r="BD14" i="11"/>
  <c r="BE14" i="11"/>
  <c r="BD15" i="11"/>
  <c r="BE15" i="11"/>
  <c r="BD16" i="11"/>
  <c r="BE16" i="11"/>
  <c r="BD17" i="11"/>
  <c r="BE17" i="11"/>
  <c r="BD18" i="11"/>
  <c r="BE18" i="11"/>
  <c r="BD19" i="11"/>
  <c r="BE19" i="11"/>
  <c r="BD20" i="11"/>
  <c r="BE20" i="11"/>
  <c r="BD21" i="11"/>
  <c r="BE21" i="11"/>
  <c r="BD22" i="11"/>
  <c r="BE22" i="11"/>
  <c r="BD23" i="11"/>
  <c r="BE23" i="11"/>
  <c r="BE11" i="11"/>
  <c r="BD11" i="11"/>
  <c r="AV53" i="11"/>
  <c r="AW53" i="11"/>
  <c r="AV54" i="11"/>
  <c r="AW54" i="11"/>
  <c r="AV55" i="11"/>
  <c r="AW55" i="11"/>
  <c r="AV56" i="11"/>
  <c r="AW56" i="11"/>
  <c r="AV57" i="11"/>
  <c r="AW57" i="11"/>
  <c r="AV58" i="11"/>
  <c r="AW58" i="11"/>
  <c r="AV59" i="11"/>
  <c r="AW59" i="11"/>
  <c r="AV60" i="11"/>
  <c r="AW60" i="11"/>
  <c r="AW52" i="11"/>
  <c r="AV52" i="11"/>
  <c r="AV40" i="11"/>
  <c r="G40" i="11" s="1"/>
  <c r="AW40" i="11"/>
  <c r="AV41" i="11"/>
  <c r="AW41" i="11"/>
  <c r="AV42" i="11"/>
  <c r="AW42" i="11"/>
  <c r="AV43" i="11"/>
  <c r="AW43" i="11"/>
  <c r="AV44" i="11"/>
  <c r="G44" i="11" s="1"/>
  <c r="AW44" i="11"/>
  <c r="AV45" i="11"/>
  <c r="AW45" i="11"/>
  <c r="AV46" i="11"/>
  <c r="AW46" i="11"/>
  <c r="AV47" i="11"/>
  <c r="AW47" i="11"/>
  <c r="AW39" i="11"/>
  <c r="AV39" i="11"/>
  <c r="AV29" i="11"/>
  <c r="AW29" i="11"/>
  <c r="AV30" i="11"/>
  <c r="AW30" i="11"/>
  <c r="AV31" i="11"/>
  <c r="G31" i="11" s="1"/>
  <c r="AW31" i="11"/>
  <c r="AV32" i="11"/>
  <c r="AW32" i="11"/>
  <c r="AV33" i="11"/>
  <c r="AW33" i="11"/>
  <c r="AV34" i="11"/>
  <c r="AW34" i="11"/>
  <c r="AW28" i="11"/>
  <c r="AV28" i="11"/>
  <c r="AV12" i="11"/>
  <c r="AW12" i="11"/>
  <c r="AV13" i="11"/>
  <c r="AW13" i="11"/>
  <c r="AV14" i="11"/>
  <c r="AW14" i="11"/>
  <c r="AV15" i="11"/>
  <c r="AW15" i="11"/>
  <c r="AV16" i="11"/>
  <c r="AW16" i="11"/>
  <c r="AV17" i="11"/>
  <c r="AW17" i="11"/>
  <c r="AV18" i="11"/>
  <c r="AW18" i="11"/>
  <c r="AV19" i="11"/>
  <c r="AW19" i="11"/>
  <c r="AV20" i="11"/>
  <c r="AW20" i="11"/>
  <c r="AV21" i="11"/>
  <c r="AW21" i="11"/>
  <c r="AV22" i="11"/>
  <c r="AW22" i="11"/>
  <c r="AV23" i="11"/>
  <c r="AW23" i="11"/>
  <c r="AW11" i="11"/>
  <c r="AV11" i="11"/>
  <c r="CI11" i="11"/>
  <c r="CH11" i="11"/>
  <c r="CF28" i="5"/>
  <c r="B5" i="5"/>
  <c r="B4" i="5"/>
  <c r="B3" i="5"/>
  <c r="B2" i="5"/>
  <c r="B5" i="6"/>
  <c r="B4" i="6"/>
  <c r="B3" i="6"/>
  <c r="B2" i="6"/>
  <c r="B5" i="7"/>
  <c r="B4" i="7"/>
  <c r="B3" i="7"/>
  <c r="B2" i="7"/>
  <c r="B5" i="8"/>
  <c r="B4" i="8"/>
  <c r="B3" i="8"/>
  <c r="B2" i="8"/>
  <c r="B5" i="16"/>
  <c r="B4" i="16"/>
  <c r="B3" i="16"/>
  <c r="B2" i="16"/>
  <c r="B5" i="10"/>
  <c r="B4" i="10"/>
  <c r="B3" i="10"/>
  <c r="B2" i="10"/>
  <c r="B5" i="11"/>
  <c r="B4" i="11"/>
  <c r="B3" i="11"/>
  <c r="B2" i="11"/>
  <c r="B5" i="18"/>
  <c r="B4" i="18"/>
  <c r="B3" i="18"/>
  <c r="B2" i="18"/>
  <c r="B5" i="4"/>
  <c r="B4" i="4"/>
  <c r="B3" i="4"/>
  <c r="B2" i="4"/>
  <c r="B4" i="17"/>
  <c r="B3" i="17"/>
  <c r="B2" i="17"/>
  <c r="B4" i="2"/>
  <c r="B3" i="2"/>
  <c r="B2" i="2"/>
  <c r="DR139" i="17"/>
  <c r="DQ139" i="17"/>
  <c r="DT134" i="17"/>
  <c r="DQ132" i="17"/>
  <c r="DR132" i="17"/>
  <c r="DS132" i="17"/>
  <c r="DT132" i="17"/>
  <c r="DU132" i="17"/>
  <c r="DV132" i="17"/>
  <c r="DQ133" i="17"/>
  <c r="DR133" i="17"/>
  <c r="DS133" i="17"/>
  <c r="DT133" i="17"/>
  <c r="DU133" i="17"/>
  <c r="DV133" i="17"/>
  <c r="DQ134" i="17"/>
  <c r="DR134" i="17"/>
  <c r="DS134" i="17"/>
  <c r="DU134" i="17"/>
  <c r="DV134" i="17"/>
  <c r="DU131" i="17"/>
  <c r="DV131" i="17"/>
  <c r="DT131" i="17"/>
  <c r="DS131" i="17"/>
  <c r="DR131" i="17"/>
  <c r="DQ131" i="17"/>
  <c r="CF134" i="17"/>
  <c r="CB132" i="17"/>
  <c r="CC132" i="17"/>
  <c r="CD132" i="17"/>
  <c r="CE132" i="17"/>
  <c r="CF132" i="17"/>
  <c r="CG132" i="17"/>
  <c r="CB133" i="17"/>
  <c r="CC133" i="17"/>
  <c r="CD133" i="17"/>
  <c r="CE133" i="17"/>
  <c r="CF133" i="17"/>
  <c r="CG133" i="17"/>
  <c r="CB134" i="17"/>
  <c r="CC134" i="17"/>
  <c r="CG134" i="17"/>
  <c r="CF131" i="17"/>
  <c r="CG131" i="17"/>
  <c r="CE131" i="17"/>
  <c r="CD131" i="17"/>
  <c r="CC131" i="17"/>
  <c r="CB131" i="17"/>
  <c r="DQ79" i="17"/>
  <c r="CC84" i="17"/>
  <c r="CC83" i="17"/>
  <c r="CC80" i="17"/>
  <c r="CC79" i="17"/>
  <c r="CC78" i="17"/>
  <c r="CC81" i="17"/>
  <c r="CC82" i="17"/>
  <c r="CB82" i="17"/>
  <c r="CB78" i="17"/>
  <c r="DK12" i="17"/>
  <c r="DJ12" i="17"/>
  <c r="CD35" i="2"/>
  <c r="CC35" i="2"/>
  <c r="CF89" i="2"/>
  <c r="CF88" i="2"/>
  <c r="CF87" i="2"/>
  <c r="G53" i="11" l="1"/>
  <c r="G30" i="11"/>
  <c r="G47" i="11"/>
  <c r="G32" i="11"/>
  <c r="G21" i="11"/>
  <c r="G20" i="11"/>
  <c r="G13" i="11"/>
  <c r="G46" i="11"/>
  <c r="G42" i="11"/>
  <c r="G60" i="11"/>
  <c r="G43" i="11"/>
  <c r="G57" i="11"/>
  <c r="G17" i="11"/>
  <c r="G16" i="11"/>
  <c r="G12" i="11"/>
  <c r="G34" i="11"/>
  <c r="G33" i="11"/>
  <c r="G29" i="11"/>
  <c r="G45" i="11"/>
  <c r="G41" i="11"/>
  <c r="G58" i="11"/>
  <c r="G54" i="11"/>
  <c r="G39" i="11"/>
  <c r="G22" i="11"/>
  <c r="G23" i="11"/>
  <c r="G19" i="11"/>
  <c r="G15" i="11"/>
  <c r="G18" i="11"/>
  <c r="G14" i="11"/>
  <c r="B81" i="11"/>
  <c r="G55" i="11"/>
  <c r="G59" i="11"/>
  <c r="G56" i="11"/>
  <c r="G52" i="11"/>
  <c r="G28" i="11"/>
  <c r="G11" i="11"/>
  <c r="EQ12" i="17"/>
  <c r="ES12" i="17"/>
  <c r="CC47" i="2"/>
  <c r="CJ44" i="2"/>
  <c r="CH44" i="2"/>
  <c r="CG44" i="2"/>
  <c r="CE44" i="2"/>
  <c r="CF44" i="2"/>
  <c r="CD44" i="2"/>
  <c r="CD52" i="2"/>
  <c r="CD51" i="2"/>
  <c r="CD50" i="2"/>
  <c r="CD49" i="2"/>
  <c r="CD48" i="2"/>
  <c r="CD47" i="2"/>
  <c r="CD46" i="2"/>
  <c r="CD45" i="2"/>
  <c r="CC44" i="2"/>
  <c r="DC12" i="17" l="1"/>
  <c r="DB12" i="17"/>
  <c r="F61" i="11"/>
  <c r="E61" i="11"/>
  <c r="D61" i="11"/>
  <c r="F48" i="11"/>
  <c r="E48" i="11"/>
  <c r="D48" i="11"/>
  <c r="F35" i="11"/>
  <c r="E35" i="11"/>
  <c r="F24" i="11"/>
  <c r="E24" i="11"/>
  <c r="CQ90" i="2" l="1"/>
  <c r="CQ89" i="2"/>
  <c r="CB58" i="2"/>
  <c r="E14" i="12" l="1"/>
  <c r="C61" i="11"/>
  <c r="C48" i="11"/>
  <c r="D35" i="11"/>
  <c r="C35" i="11"/>
  <c r="D24" i="11"/>
  <c r="C24" i="11"/>
  <c r="CF23" i="4" l="1"/>
  <c r="CD23" i="4"/>
  <c r="AN86" i="16"/>
  <c r="AN85" i="16"/>
  <c r="AN84" i="16"/>
  <c r="AN83" i="16"/>
  <c r="AN82" i="16"/>
  <c r="BU18" i="8" l="1"/>
  <c r="BI18" i="8"/>
  <c r="BH18" i="8"/>
  <c r="BG18" i="8"/>
  <c r="BF18" i="8"/>
  <c r="BE18" i="8"/>
  <c r="BD18" i="8"/>
  <c r="BC18" i="8"/>
  <c r="BB18" i="8"/>
  <c r="BI11" i="8"/>
  <c r="BH11" i="8"/>
  <c r="BG11" i="8"/>
  <c r="BF11" i="8"/>
  <c r="BE11" i="8"/>
  <c r="BD11" i="8"/>
  <c r="BC11" i="8"/>
  <c r="L11" i="8" l="1"/>
  <c r="CD28" i="6" l="1"/>
  <c r="CF28" i="6"/>
  <c r="CX28" i="7" l="1"/>
  <c r="CP28" i="7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ES40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ES41" i="5"/>
  <c r="DR40" i="5"/>
  <c r="DR41" i="5"/>
  <c r="DF41" i="5"/>
  <c r="E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Q37" i="5"/>
  <c r="ES37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ES38" i="5"/>
  <c r="DR38" i="5"/>
  <c r="DR37" i="5"/>
  <c r="CF37" i="5"/>
  <c r="DG34" i="5"/>
  <c r="DG40" i="5"/>
  <c r="CG40" i="5"/>
  <c r="CH40" i="5"/>
  <c r="CI40" i="5"/>
  <c r="CJ40" i="5"/>
  <c r="CK40" i="5"/>
  <c r="CL40" i="5"/>
  <c r="CM40" i="5"/>
  <c r="CN40" i="5"/>
  <c r="CO40" i="5"/>
  <c r="CP40" i="5"/>
  <c r="CQ40" i="5"/>
  <c r="CR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DF40" i="5"/>
  <c r="CG41" i="5"/>
  <c r="CH41" i="5"/>
  <c r="CI41" i="5"/>
  <c r="CJ41" i="5"/>
  <c r="CK41" i="5"/>
  <c r="CL41" i="5"/>
  <c r="CM41" i="5"/>
  <c r="CN41" i="5"/>
  <c r="CO41" i="5"/>
  <c r="CP41" i="5"/>
  <c r="CQ41" i="5"/>
  <c r="CR41" i="5"/>
  <c r="CS41" i="5"/>
  <c r="CT41" i="5"/>
  <c r="CU41" i="5"/>
  <c r="CV41" i="5"/>
  <c r="CW41" i="5"/>
  <c r="CX41" i="5"/>
  <c r="CY41" i="5"/>
  <c r="CZ41" i="5"/>
  <c r="DA41" i="5"/>
  <c r="DB41" i="5"/>
  <c r="DC41" i="5"/>
  <c r="DD41" i="5"/>
  <c r="DE41" i="5"/>
  <c r="DG41" i="5"/>
  <c r="CF41" i="5"/>
  <c r="CF40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EO34" i="5"/>
  <c r="EP34" i="5"/>
  <c r="EQ34" i="5"/>
  <c r="ER34" i="5"/>
  <c r="ES34" i="5"/>
  <c r="DS35" i="5"/>
  <c r="DT35" i="5"/>
  <c r="DU35" i="5"/>
  <c r="DV35" i="5"/>
  <c r="DW35" i="5"/>
  <c r="DX35" i="5"/>
  <c r="DY35" i="5"/>
  <c r="DZ35" i="5"/>
  <c r="EA35" i="5"/>
  <c r="EB35" i="5"/>
  <c r="EC35" i="5"/>
  <c r="ED35" i="5"/>
  <c r="EE35" i="5"/>
  <c r="EF35" i="5"/>
  <c r="EG35" i="5"/>
  <c r="EH35" i="5"/>
  <c r="EI35" i="5"/>
  <c r="EJ35" i="5"/>
  <c r="EK35" i="5"/>
  <c r="EL35" i="5"/>
  <c r="EM35" i="5"/>
  <c r="EN35" i="5"/>
  <c r="EO35" i="5"/>
  <c r="EP35" i="5"/>
  <c r="EQ35" i="5"/>
  <c r="ER35" i="5"/>
  <c r="ES35" i="5"/>
  <c r="DR35" i="5"/>
  <c r="DR34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EQ89" i="5"/>
  <c r="DP89" i="5"/>
  <c r="DG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F35" i="5"/>
  <c r="DG38" i="5" l="1"/>
  <c r="DF38" i="5"/>
  <c r="DE38" i="5"/>
  <c r="DD38" i="5"/>
  <c r="DC38" i="5"/>
  <c r="DB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L38" i="5"/>
  <c r="CK38" i="5"/>
  <c r="CJ38" i="5"/>
  <c r="CI38" i="5"/>
  <c r="CH38" i="5"/>
  <c r="CG38" i="5"/>
  <c r="CF38" i="5"/>
  <c r="DG37" i="5"/>
  <c r="DF37" i="5"/>
  <c r="DE37" i="5"/>
  <c r="DD37" i="5"/>
  <c r="DC37" i="5"/>
  <c r="DB37" i="5"/>
  <c r="DA37" i="5"/>
  <c r="CZ37" i="5"/>
  <c r="CY37" i="5"/>
  <c r="CX37" i="5"/>
  <c r="CW37" i="5"/>
  <c r="CV37" i="5"/>
  <c r="CU37" i="5"/>
  <c r="CT37" i="5"/>
  <c r="CS37" i="5"/>
  <c r="CR37" i="5"/>
  <c r="CQ37" i="5"/>
  <c r="CP37" i="5"/>
  <c r="CO37" i="5"/>
  <c r="CN37" i="5"/>
  <c r="CM37" i="5"/>
  <c r="CL37" i="5"/>
  <c r="CK37" i="5"/>
  <c r="CJ37" i="5"/>
  <c r="CI37" i="5"/>
  <c r="CH37" i="5"/>
  <c r="CG37" i="5"/>
  <c r="DF34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CP34" i="5"/>
  <c r="CO34" i="5"/>
  <c r="CN34" i="5"/>
  <c r="CM34" i="5"/>
  <c r="CL34" i="5"/>
  <c r="CK34" i="5"/>
  <c r="CJ34" i="5"/>
  <c r="CI34" i="5"/>
  <c r="CH34" i="5"/>
  <c r="CG34" i="5"/>
  <c r="CF34" i="5"/>
  <c r="DG35" i="5" l="1"/>
  <c r="DF35" i="5"/>
  <c r="DE35" i="5"/>
  <c r="DD35" i="5"/>
  <c r="DC35" i="5"/>
  <c r="DB35" i="5"/>
  <c r="DA35" i="5"/>
  <c r="CZ35" i="5"/>
  <c r="CY35" i="5"/>
  <c r="CX35" i="5"/>
  <c r="CW35" i="5"/>
  <c r="CV35" i="5"/>
  <c r="CU35" i="5"/>
  <c r="CT35" i="5"/>
  <c r="CS35" i="5"/>
  <c r="CR35" i="5"/>
  <c r="CQ35" i="5"/>
  <c r="CP35" i="5"/>
  <c r="CO35" i="5"/>
  <c r="CN35" i="5"/>
  <c r="CM35" i="5"/>
  <c r="CL35" i="5"/>
  <c r="CK35" i="5"/>
  <c r="CJ35" i="5"/>
  <c r="CI35" i="5"/>
  <c r="CG35" i="5"/>
  <c r="CH35" i="5"/>
  <c r="DN21" i="5"/>
  <c r="CE21" i="5" l="1"/>
  <c r="CC21" i="5"/>
  <c r="CD21" i="5"/>
  <c r="CB21" i="5"/>
  <c r="DL21" i="5"/>
  <c r="DO21" i="5"/>
  <c r="DM21" i="5"/>
  <c r="AM21" i="5" l="1"/>
  <c r="CF33" i="5"/>
  <c r="CF32" i="5"/>
  <c r="CP23" i="4" l="1"/>
  <c r="CR23" i="4"/>
  <c r="CQ128" i="2"/>
  <c r="CQ136" i="2"/>
  <c r="CB138" i="2"/>
  <c r="CE138" i="2"/>
  <c r="CD138" i="2"/>
  <c r="CC138" i="2"/>
  <c r="CB136" i="2"/>
  <c r="CB129" i="2"/>
  <c r="CC129" i="2"/>
  <c r="CD129" i="2"/>
  <c r="CE129" i="2"/>
  <c r="CB130" i="2"/>
  <c r="CC130" i="2"/>
  <c r="CD130" i="2"/>
  <c r="CE130" i="2"/>
  <c r="CB131" i="2"/>
  <c r="CC131" i="2"/>
  <c r="CD131" i="2"/>
  <c r="CE131" i="2"/>
  <c r="CB132" i="2"/>
  <c r="CC132" i="2"/>
  <c r="CD132" i="2"/>
  <c r="CE132" i="2"/>
  <c r="CB133" i="2"/>
  <c r="CC133" i="2"/>
  <c r="CD133" i="2"/>
  <c r="CE133" i="2"/>
  <c r="CB134" i="2"/>
  <c r="CC134" i="2"/>
  <c r="CD134" i="2"/>
  <c r="CE134" i="2"/>
  <c r="CB135" i="2"/>
  <c r="CC135" i="2"/>
  <c r="CD135" i="2"/>
  <c r="CE135" i="2"/>
  <c r="CC136" i="2"/>
  <c r="CD136" i="2"/>
  <c r="CE136" i="2"/>
  <c r="CD128" i="2"/>
  <c r="CE128" i="2"/>
  <c r="CC128" i="2"/>
  <c r="CB128" i="2"/>
  <c r="CD88" i="2"/>
  <c r="CC88" i="2"/>
  <c r="CC89" i="2"/>
  <c r="CB89" i="2"/>
  <c r="CB88" i="2"/>
  <c r="CC85" i="2"/>
  <c r="CB85" i="2"/>
  <c r="CF84" i="2"/>
  <c r="CE84" i="2"/>
  <c r="CD84" i="2"/>
  <c r="CP57" i="2" l="1"/>
  <c r="CC57" i="2"/>
  <c r="CS44" i="2"/>
  <c r="CR44" i="2"/>
  <c r="CQ44" i="2"/>
  <c r="CP44" i="2"/>
  <c r="CO44" i="2"/>
  <c r="CJ52" i="2"/>
  <c r="CJ51" i="2"/>
  <c r="CJ50" i="2"/>
  <c r="CJ49" i="2"/>
  <c r="CJ48" i="2"/>
  <c r="CJ47" i="2"/>
  <c r="CJ46" i="2"/>
  <c r="CJ45" i="2"/>
  <c r="CI52" i="2"/>
  <c r="CI51" i="2"/>
  <c r="CI50" i="2"/>
  <c r="CI49" i="2"/>
  <c r="CI48" i="2"/>
  <c r="CI47" i="2"/>
  <c r="CI46" i="2"/>
  <c r="CI45" i="2"/>
  <c r="CI44" i="2"/>
  <c r="CH52" i="2"/>
  <c r="CH51" i="2"/>
  <c r="CH50" i="2"/>
  <c r="CH49" i="2"/>
  <c r="CH48" i="2"/>
  <c r="CH47" i="2"/>
  <c r="CH46" i="2"/>
  <c r="CH45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45" i="2"/>
  <c r="CE52" i="2"/>
  <c r="CE51" i="2"/>
  <c r="CE50" i="2"/>
  <c r="CE49" i="2"/>
  <c r="CE48" i="2"/>
  <c r="CE47" i="2"/>
  <c r="CE46" i="2"/>
  <c r="CC52" i="2"/>
  <c r="CC51" i="2"/>
  <c r="CC50" i="2"/>
  <c r="CC49" i="2"/>
  <c r="CC48" i="2"/>
  <c r="CC46" i="2"/>
  <c r="CB51" i="2"/>
  <c r="CB49" i="2"/>
  <c r="CB48" i="2"/>
  <c r="CC45" i="2"/>
  <c r="CB46" i="2"/>
  <c r="CB52" i="2"/>
  <c r="CB50" i="2"/>
  <c r="CB47" i="2"/>
  <c r="CB45" i="2"/>
  <c r="CB44" i="2"/>
  <c r="CF91" i="2" l="1"/>
  <c r="CE91" i="2"/>
  <c r="CF90" i="2"/>
  <c r="CE90" i="2"/>
  <c r="CE89" i="2"/>
  <c r="CF86" i="2"/>
  <c r="CE86" i="2"/>
  <c r="CF85" i="2"/>
  <c r="CE88" i="2"/>
  <c r="CE87" i="2"/>
  <c r="CE85" i="2"/>
  <c r="CD91" i="2"/>
  <c r="CD87" i="2"/>
  <c r="CD86" i="2"/>
  <c r="CD85" i="2"/>
  <c r="CQ84" i="2"/>
  <c r="CB60" i="2"/>
  <c r="CD24" i="2" l="1"/>
  <c r="CC24" i="2"/>
  <c r="CR24" i="2"/>
  <c r="CQ24" i="2"/>
  <c r="CI24" i="2"/>
  <c r="CF24" i="2"/>
  <c r="CB24" i="2"/>
  <c r="CE24" i="2"/>
  <c r="CO60" i="2"/>
  <c r="CH24" i="2"/>
  <c r="CD46" i="4" l="1"/>
  <c r="CF46" i="4"/>
  <c r="CR46" i="4"/>
  <c r="CP46" i="4"/>
  <c r="CC46" i="4"/>
  <c r="CE46" i="4"/>
  <c r="CO46" i="4"/>
  <c r="CQ46" i="4"/>
  <c r="CF47" i="4"/>
  <c r="CD47" i="4"/>
  <c r="CP47" i="4"/>
  <c r="CR47" i="4"/>
  <c r="CE47" i="4"/>
  <c r="CC47" i="4"/>
  <c r="CO47" i="4"/>
  <c r="CQ47" i="4"/>
  <c r="CC45" i="4"/>
  <c r="CE45" i="4"/>
  <c r="CQ45" i="4"/>
  <c r="CO45" i="4"/>
  <c r="CF45" i="4"/>
  <c r="CD45" i="4"/>
  <c r="CR45" i="4"/>
  <c r="CP45" i="4"/>
  <c r="CE139" i="17"/>
  <c r="CE140" i="17"/>
  <c r="CN22" i="10"/>
  <c r="CM22" i="10"/>
  <c r="CO16" i="10"/>
  <c r="CP16" i="10"/>
  <c r="CQ16" i="10"/>
  <c r="CR16" i="10"/>
  <c r="CM16" i="10"/>
  <c r="CD16" i="10"/>
  <c r="CE16" i="10"/>
  <c r="CF16" i="10"/>
  <c r="CG16" i="10"/>
  <c r="CB16" i="10"/>
  <c r="CC22" i="10"/>
  <c r="AW103" i="16"/>
  <c r="AV103" i="16"/>
  <c r="AU103" i="16"/>
  <c r="AT103" i="16"/>
  <c r="AS103" i="16"/>
  <c r="AR103" i="16"/>
  <c r="AO103" i="16"/>
  <c r="AN103" i="16"/>
  <c r="AM103" i="16"/>
  <c r="AL103" i="16"/>
  <c r="AK103" i="16"/>
  <c r="AW102" i="16"/>
  <c r="AV102" i="16"/>
  <c r="AU102" i="16"/>
  <c r="AT102" i="16"/>
  <c r="AS102" i="16"/>
  <c r="AR102" i="16"/>
  <c r="AO102" i="16"/>
  <c r="AN102" i="16"/>
  <c r="AM102" i="16"/>
  <c r="AL102" i="16"/>
  <c r="AK102" i="16"/>
  <c r="AW101" i="16"/>
  <c r="AV101" i="16"/>
  <c r="AU101" i="16"/>
  <c r="AT101" i="16"/>
  <c r="AS101" i="16"/>
  <c r="AR101" i="16"/>
  <c r="AO101" i="16"/>
  <c r="AN101" i="16"/>
  <c r="AM101" i="16"/>
  <c r="AL101" i="16"/>
  <c r="AK101" i="16"/>
  <c r="AW100" i="16"/>
  <c r="AV100" i="16"/>
  <c r="AU100" i="16"/>
  <c r="AT100" i="16"/>
  <c r="AS100" i="16"/>
  <c r="AR100" i="16"/>
  <c r="AO100" i="16"/>
  <c r="AN100" i="16"/>
  <c r="AM100" i="16"/>
  <c r="AL100" i="16"/>
  <c r="AK100" i="16"/>
  <c r="AW99" i="16"/>
  <c r="AV99" i="16"/>
  <c r="AU99" i="16"/>
  <c r="AT99" i="16"/>
  <c r="AS99" i="16"/>
  <c r="AR99" i="16"/>
  <c r="AO99" i="16"/>
  <c r="AN99" i="16"/>
  <c r="AM99" i="16"/>
  <c r="AL99" i="16"/>
  <c r="AK99" i="16"/>
  <c r="AW98" i="16"/>
  <c r="AV98" i="16"/>
  <c r="AU98" i="16"/>
  <c r="AT98" i="16"/>
  <c r="AS98" i="16"/>
  <c r="AR98" i="16"/>
  <c r="AO98" i="16"/>
  <c r="AN98" i="16"/>
  <c r="AM98" i="16"/>
  <c r="AL98" i="16"/>
  <c r="AK98" i="16"/>
  <c r="AW97" i="16"/>
  <c r="AV97" i="16"/>
  <c r="AU97" i="16"/>
  <c r="AT97" i="16"/>
  <c r="AS97" i="16"/>
  <c r="AR97" i="16"/>
  <c r="AO97" i="16"/>
  <c r="AN97" i="16"/>
  <c r="AM97" i="16"/>
  <c r="AL97" i="16"/>
  <c r="AK97" i="16"/>
  <c r="AW96" i="16"/>
  <c r="AV96" i="16"/>
  <c r="AU96" i="16"/>
  <c r="AT96" i="16"/>
  <c r="AS96" i="16"/>
  <c r="AR96" i="16"/>
  <c r="AO96" i="16"/>
  <c r="AN96" i="16"/>
  <c r="AM96" i="16"/>
  <c r="AL96" i="16"/>
  <c r="AK96" i="16"/>
  <c r="AW95" i="16"/>
  <c r="AV95" i="16"/>
  <c r="AU95" i="16"/>
  <c r="AT95" i="16"/>
  <c r="AS95" i="16"/>
  <c r="AR95" i="16"/>
  <c r="AO95" i="16"/>
  <c r="AN95" i="16"/>
  <c r="AM95" i="16"/>
  <c r="AL95" i="16"/>
  <c r="AK95" i="16"/>
  <c r="AW94" i="16"/>
  <c r="AV94" i="16"/>
  <c r="AU94" i="16"/>
  <c r="AT94" i="16"/>
  <c r="AS94" i="16"/>
  <c r="AR94" i="16"/>
  <c r="AO94" i="16"/>
  <c r="AN94" i="16"/>
  <c r="AM94" i="16"/>
  <c r="AL94" i="16"/>
  <c r="AK94" i="16"/>
  <c r="AV93" i="16"/>
  <c r="AU93" i="16"/>
  <c r="AT93" i="16"/>
  <c r="AS93" i="16"/>
  <c r="AR93" i="16"/>
  <c r="AN93" i="16"/>
  <c r="AM93" i="16"/>
  <c r="AL93" i="16"/>
  <c r="AK93" i="16"/>
  <c r="AW92" i="16"/>
  <c r="AV92" i="16"/>
  <c r="AU92" i="16"/>
  <c r="AT92" i="16"/>
  <c r="AS92" i="16"/>
  <c r="AR92" i="16"/>
  <c r="AO92" i="16"/>
  <c r="AN92" i="16"/>
  <c r="AM92" i="16"/>
  <c r="AL92" i="16"/>
  <c r="AK92" i="16"/>
  <c r="AW91" i="16"/>
  <c r="AV91" i="16"/>
  <c r="AU91" i="16"/>
  <c r="AT91" i="16"/>
  <c r="AS91" i="16"/>
  <c r="AR91" i="16"/>
  <c r="AO91" i="16"/>
  <c r="AN91" i="16"/>
  <c r="AM91" i="16"/>
  <c r="AL91" i="16"/>
  <c r="AK91" i="16"/>
  <c r="AW90" i="16"/>
  <c r="AV90" i="16"/>
  <c r="AU90" i="16"/>
  <c r="AT90" i="16"/>
  <c r="AS90" i="16"/>
  <c r="AR90" i="16"/>
  <c r="AO90" i="16"/>
  <c r="AN90" i="16"/>
  <c r="AM90" i="16"/>
  <c r="AL90" i="16"/>
  <c r="AK90" i="16"/>
  <c r="AK82" i="16"/>
  <c r="AU86" i="16"/>
  <c r="AT86" i="16"/>
  <c r="AS86" i="16"/>
  <c r="AR86" i="16"/>
  <c r="AM86" i="16"/>
  <c r="AL86" i="16"/>
  <c r="AK86" i="16"/>
  <c r="AU85" i="16"/>
  <c r="AT85" i="16"/>
  <c r="AS85" i="16"/>
  <c r="AR85" i="16"/>
  <c r="AM85" i="16"/>
  <c r="AL85" i="16"/>
  <c r="AK85" i="16"/>
  <c r="AU84" i="16"/>
  <c r="AT84" i="16"/>
  <c r="AS84" i="16"/>
  <c r="AR84" i="16"/>
  <c r="AM84" i="16"/>
  <c r="AL84" i="16"/>
  <c r="AK84" i="16"/>
  <c r="AU83" i="16"/>
  <c r="AT83" i="16"/>
  <c r="AS83" i="16"/>
  <c r="AR83" i="16"/>
  <c r="AM83" i="16"/>
  <c r="AL83" i="16"/>
  <c r="AK83" i="16"/>
  <c r="AU82" i="16"/>
  <c r="AT82" i="16"/>
  <c r="AS82" i="16"/>
  <c r="AR82" i="16"/>
  <c r="AM82" i="16"/>
  <c r="AL82" i="16"/>
  <c r="BB25" i="18" l="1"/>
  <c r="BK25" i="18"/>
  <c r="BC25" i="18"/>
  <c r="BD25" i="18"/>
  <c r="BE25" i="18"/>
  <c r="BJ25" i="18"/>
  <c r="BL25" i="18"/>
  <c r="BM25" i="18"/>
  <c r="P103" i="16"/>
  <c r="S85" i="16"/>
  <c r="P92" i="16"/>
  <c r="P94" i="16"/>
  <c r="P96" i="16"/>
  <c r="P97" i="16"/>
  <c r="P100" i="16"/>
  <c r="P102" i="16"/>
  <c r="P98" i="16"/>
  <c r="S86" i="16"/>
  <c r="P90" i="16"/>
  <c r="S82" i="16"/>
  <c r="P91" i="16"/>
  <c r="P93" i="16"/>
  <c r="P95" i="16"/>
  <c r="P101" i="16"/>
  <c r="P99" i="16"/>
  <c r="S84" i="16"/>
  <c r="S83" i="16"/>
  <c r="AZ16" i="10"/>
  <c r="CY24" i="7"/>
  <c r="CQ28" i="6"/>
  <c r="CS28" i="6"/>
  <c r="V25" i="18" l="1"/>
  <c r="CF119" i="7"/>
  <c r="CY119" i="7"/>
  <c r="CL24" i="7"/>
  <c r="CD24" i="7"/>
  <c r="CQ24" i="7"/>
  <c r="CK28" i="7"/>
  <c r="CT28" i="7"/>
  <c r="CE28" i="7"/>
  <c r="CG28" i="7"/>
  <c r="CS119" i="7"/>
  <c r="CD119" i="7"/>
  <c r="CQ119" i="7"/>
  <c r="CL119" i="7"/>
  <c r="CR28" i="7"/>
  <c r="CF24" i="7"/>
  <c r="CS24" i="7"/>
  <c r="DE32" i="5" l="1"/>
  <c r="DF33" i="5"/>
  <c r="DG28" i="5"/>
  <c r="CJ28" i="5"/>
  <c r="CI28" i="5"/>
  <c r="CH28" i="5"/>
  <c r="CG28" i="5"/>
  <c r="CK52" i="4"/>
  <c r="CI52" i="4"/>
  <c r="CJ52" i="4"/>
  <c r="CB52" i="4"/>
  <c r="M112" i="17"/>
  <c r="CB139" i="17"/>
  <c r="CR138" i="2"/>
  <c r="CQ138" i="2"/>
  <c r="CP138" i="2"/>
  <c r="CO138" i="2"/>
  <c r="C160" i="2"/>
  <c r="CP129" i="2"/>
  <c r="CO136" i="2"/>
  <c r="CP136" i="2"/>
  <c r="CR136" i="2"/>
  <c r="CO129" i="2"/>
  <c r="CQ129" i="2"/>
  <c r="CR129" i="2"/>
  <c r="CO130" i="2"/>
  <c r="CP130" i="2"/>
  <c r="CQ130" i="2"/>
  <c r="CR130" i="2"/>
  <c r="CO131" i="2"/>
  <c r="CP131" i="2"/>
  <c r="CQ131" i="2"/>
  <c r="CR131" i="2"/>
  <c r="CO132" i="2"/>
  <c r="CP132" i="2"/>
  <c r="CQ132" i="2"/>
  <c r="CR132" i="2"/>
  <c r="CO133" i="2"/>
  <c r="CP133" i="2"/>
  <c r="CQ133" i="2"/>
  <c r="CR133" i="2"/>
  <c r="CO134" i="2"/>
  <c r="CP134" i="2"/>
  <c r="CQ134" i="2"/>
  <c r="CR134" i="2"/>
  <c r="CO135" i="2"/>
  <c r="CP135" i="2"/>
  <c r="CQ135" i="2"/>
  <c r="CR135" i="2"/>
  <c r="CP128" i="2"/>
  <c r="CR128" i="2"/>
  <c r="CO128" i="2"/>
  <c r="CP89" i="2"/>
  <c r="CP88" i="2"/>
  <c r="CP85" i="2"/>
  <c r="CO85" i="2"/>
  <c r="CO89" i="2"/>
  <c r="CO88" i="2"/>
  <c r="CQ91" i="2"/>
  <c r="CS91" i="2"/>
  <c r="CR91" i="2"/>
  <c r="CS84" i="2"/>
  <c r="CR84" i="2"/>
  <c r="CY80" i="7"/>
  <c r="CY79" i="7"/>
  <c r="CY78" i="7"/>
  <c r="CY77" i="7"/>
  <c r="CY19" i="7"/>
  <c r="CY18" i="7"/>
  <c r="CY17" i="7"/>
  <c r="CY16" i="7"/>
  <c r="CY15" i="7"/>
  <c r="CP16" i="7" l="1"/>
  <c r="CX16" i="7"/>
  <c r="CB16" i="7"/>
  <c r="CO16" i="7"/>
  <c r="CP15" i="7"/>
  <c r="CO15" i="7"/>
  <c r="CB15" i="7"/>
  <c r="CX15" i="7"/>
  <c r="CK77" i="7"/>
  <c r="CC77" i="7"/>
  <c r="CB77" i="7"/>
  <c r="CX77" i="7"/>
  <c r="CO77" i="7"/>
  <c r="CP77" i="7"/>
  <c r="CP79" i="7"/>
  <c r="CO79" i="7"/>
  <c r="CB79" i="7"/>
  <c r="CC79" i="7"/>
  <c r="CX79" i="7"/>
  <c r="CP80" i="7"/>
  <c r="CO80" i="7"/>
  <c r="CC80" i="7"/>
  <c r="CX80" i="7"/>
  <c r="CB80" i="7"/>
  <c r="CX17" i="7"/>
  <c r="CP17" i="7"/>
  <c r="CO17" i="7"/>
  <c r="CB17" i="7"/>
  <c r="CX18" i="7"/>
  <c r="CP18" i="7"/>
  <c r="CO18" i="7"/>
  <c r="CB18" i="7"/>
  <c r="CB78" i="7"/>
  <c r="CX78" i="7"/>
  <c r="CC78" i="7"/>
  <c r="CO78" i="7"/>
  <c r="CP78" i="7"/>
  <c r="CB19" i="5"/>
  <c r="CD19" i="5"/>
  <c r="DL19" i="5"/>
  <c r="DN19" i="5"/>
  <c r="M132" i="2"/>
  <c r="M136" i="2"/>
  <c r="M129" i="2"/>
  <c r="M134" i="2"/>
  <c r="M128" i="2"/>
  <c r="M138" i="2"/>
  <c r="M133" i="2"/>
  <c r="M131" i="2"/>
  <c r="M135" i="2"/>
  <c r="M130" i="2"/>
  <c r="CD52" i="4"/>
  <c r="CF52" i="4"/>
  <c r="CH52" i="4"/>
  <c r="CN52" i="4"/>
  <c r="CU52" i="4"/>
  <c r="CT52" i="4"/>
  <c r="CE52" i="4"/>
  <c r="CS52" i="4"/>
  <c r="CG52" i="4"/>
  <c r="CV52" i="4"/>
  <c r="CW52" i="4"/>
  <c r="CC52" i="4"/>
  <c r="CL80" i="7"/>
  <c r="CQ80" i="7"/>
  <c r="CF80" i="7"/>
  <c r="CD80" i="7"/>
  <c r="CS80" i="7"/>
  <c r="CR79" i="7"/>
  <c r="CG79" i="7"/>
  <c r="CE79" i="7"/>
  <c r="CK79" i="7"/>
  <c r="CT79" i="7"/>
  <c r="CT78" i="7"/>
  <c r="CE78" i="7"/>
  <c r="CR78" i="7"/>
  <c r="CK78" i="7"/>
  <c r="CG78" i="7"/>
  <c r="CF79" i="7"/>
  <c r="CQ79" i="7"/>
  <c r="CD79" i="7"/>
  <c r="CS79" i="7"/>
  <c r="CL79" i="7"/>
  <c r="CD77" i="7"/>
  <c r="CL77" i="7"/>
  <c r="CS77" i="7"/>
  <c r="CF77" i="7"/>
  <c r="CQ77" i="7"/>
  <c r="CT77" i="7"/>
  <c r="CE77" i="7"/>
  <c r="CR77" i="7"/>
  <c r="CG77" i="7"/>
  <c r="CR80" i="7"/>
  <c r="CK80" i="7"/>
  <c r="CG80" i="7"/>
  <c r="CT80" i="7"/>
  <c r="CE80" i="7"/>
  <c r="CL78" i="7"/>
  <c r="CD78" i="7"/>
  <c r="CS78" i="7"/>
  <c r="CQ78" i="7"/>
  <c r="CF78" i="7"/>
  <c r="CE15" i="7"/>
  <c r="CR15" i="7"/>
  <c r="CK15" i="7"/>
  <c r="CT15" i="7"/>
  <c r="CG15" i="7"/>
  <c r="CS19" i="7"/>
  <c r="CL19" i="7"/>
  <c r="CF19" i="7"/>
  <c r="CD19" i="7"/>
  <c r="CQ19" i="7"/>
  <c r="CD16" i="7"/>
  <c r="CF16" i="7"/>
  <c r="CL16" i="7"/>
  <c r="CS16" i="7"/>
  <c r="CQ16" i="7"/>
  <c r="CF15" i="7"/>
  <c r="CD15" i="7"/>
  <c r="CQ15" i="7"/>
  <c r="CL15" i="7"/>
  <c r="CS15" i="7"/>
  <c r="CE16" i="7"/>
  <c r="CT16" i="7"/>
  <c r="CK16" i="7"/>
  <c r="CR16" i="7"/>
  <c r="CG16" i="7"/>
  <c r="CL17" i="7"/>
  <c r="CS17" i="7"/>
  <c r="CQ17" i="7"/>
  <c r="CD17" i="7"/>
  <c r="CF17" i="7"/>
  <c r="CE17" i="7"/>
  <c r="CT17" i="7"/>
  <c r="CK17" i="7"/>
  <c r="CR17" i="7"/>
  <c r="CG17" i="7"/>
  <c r="CL18" i="7"/>
  <c r="CQ18" i="7"/>
  <c r="CD18" i="7"/>
  <c r="CS18" i="7"/>
  <c r="CF18" i="7"/>
  <c r="CE18" i="7"/>
  <c r="CK18" i="7"/>
  <c r="CR18" i="7"/>
  <c r="CG18" i="7"/>
  <c r="CT18" i="7"/>
  <c r="CQ85" i="2"/>
  <c r="CR85" i="2"/>
  <c r="CS85" i="2"/>
  <c r="CQ86" i="2"/>
  <c r="CR86" i="2"/>
  <c r="CS86" i="2"/>
  <c r="CQ87" i="2"/>
  <c r="CR87" i="2"/>
  <c r="CS87" i="2"/>
  <c r="CQ88" i="2"/>
  <c r="CR88" i="2"/>
  <c r="CS88" i="2"/>
  <c r="CR89" i="2"/>
  <c r="CS89" i="2"/>
  <c r="CR90" i="2"/>
  <c r="CS90" i="2"/>
  <c r="H91" i="2"/>
  <c r="H89" i="2"/>
  <c r="CC60" i="2"/>
  <c r="F60" i="2" s="1"/>
  <c r="CP60" i="2"/>
  <c r="CP58" i="2"/>
  <c r="CP59" i="2"/>
  <c r="CC58" i="2"/>
  <c r="CC59" i="2"/>
  <c r="E61" i="2"/>
  <c r="CB57" i="2"/>
  <c r="E53" i="2"/>
  <c r="CO45" i="2"/>
  <c r="CP45" i="2"/>
  <c r="CQ45" i="2"/>
  <c r="CR45" i="2"/>
  <c r="CS45" i="2"/>
  <c r="CT45" i="2"/>
  <c r="CU45" i="2"/>
  <c r="CV45" i="2"/>
  <c r="CW45" i="2"/>
  <c r="CO46" i="2"/>
  <c r="CP46" i="2"/>
  <c r="CQ46" i="2"/>
  <c r="CR46" i="2"/>
  <c r="CS46" i="2"/>
  <c r="CT46" i="2"/>
  <c r="CU46" i="2"/>
  <c r="CV46" i="2"/>
  <c r="CW46" i="2"/>
  <c r="CO47" i="2"/>
  <c r="CP47" i="2"/>
  <c r="CQ47" i="2"/>
  <c r="CR47" i="2"/>
  <c r="CS47" i="2"/>
  <c r="CT47" i="2"/>
  <c r="CU47" i="2"/>
  <c r="CV47" i="2"/>
  <c r="CW47" i="2"/>
  <c r="CO48" i="2"/>
  <c r="CP48" i="2"/>
  <c r="CQ48" i="2"/>
  <c r="CR48" i="2"/>
  <c r="CS48" i="2"/>
  <c r="CT48" i="2"/>
  <c r="CU48" i="2"/>
  <c r="CV48" i="2"/>
  <c r="CW48" i="2"/>
  <c r="CO49" i="2"/>
  <c r="CP49" i="2"/>
  <c r="CQ49" i="2"/>
  <c r="CR49" i="2"/>
  <c r="CS49" i="2"/>
  <c r="CT49" i="2"/>
  <c r="CU49" i="2"/>
  <c r="CV49" i="2"/>
  <c r="CW49" i="2"/>
  <c r="CO50" i="2"/>
  <c r="CP50" i="2"/>
  <c r="CQ50" i="2"/>
  <c r="CR50" i="2"/>
  <c r="CS50" i="2"/>
  <c r="CT50" i="2"/>
  <c r="CU50" i="2"/>
  <c r="CV50" i="2"/>
  <c r="CW50" i="2"/>
  <c r="CO51" i="2"/>
  <c r="CP51" i="2"/>
  <c r="CQ51" i="2"/>
  <c r="CR51" i="2"/>
  <c r="CS51" i="2"/>
  <c r="CT51" i="2"/>
  <c r="CU51" i="2"/>
  <c r="CV51" i="2"/>
  <c r="CW51" i="2"/>
  <c r="CO52" i="2"/>
  <c r="CP52" i="2"/>
  <c r="CQ52" i="2"/>
  <c r="CR52" i="2"/>
  <c r="CS52" i="2"/>
  <c r="CT52" i="2"/>
  <c r="CU52" i="2"/>
  <c r="CV52" i="2"/>
  <c r="CW52" i="2"/>
  <c r="CW44" i="2"/>
  <c r="CV44" i="2"/>
  <c r="CU44" i="2"/>
  <c r="CT44" i="2"/>
  <c r="CI15" i="7" l="1"/>
  <c r="CH15" i="7"/>
  <c r="CC15" i="7"/>
  <c r="CI79" i="7"/>
  <c r="CH79" i="7"/>
  <c r="CH80" i="7"/>
  <c r="CI80" i="7"/>
  <c r="CI78" i="7"/>
  <c r="CH78" i="7"/>
  <c r="CH18" i="7"/>
  <c r="CI18" i="7"/>
  <c r="CC18" i="7"/>
  <c r="CI17" i="7"/>
  <c r="CH17" i="7"/>
  <c r="CC17" i="7"/>
  <c r="CH16" i="7"/>
  <c r="CI16" i="7"/>
  <c r="CC16" i="7"/>
  <c r="CH77" i="7"/>
  <c r="CI77" i="7"/>
  <c r="F58" i="2"/>
  <c r="CO58" i="2"/>
  <c r="CO57" i="2"/>
  <c r="M52" i="2"/>
  <c r="H87" i="2"/>
  <c r="M50" i="2"/>
  <c r="H90" i="2"/>
  <c r="H88" i="2"/>
  <c r="H85" i="2"/>
  <c r="H86" i="2"/>
  <c r="H84" i="2"/>
  <c r="P52" i="4"/>
  <c r="CJ77" i="7"/>
  <c r="CW77" i="7"/>
  <c r="CU77" i="7"/>
  <c r="CV77" i="7"/>
  <c r="CU79" i="7"/>
  <c r="CJ79" i="7"/>
  <c r="CW79" i="7"/>
  <c r="CV79" i="7"/>
  <c r="CV78" i="7"/>
  <c r="CU78" i="7"/>
  <c r="CJ78" i="7"/>
  <c r="CW78" i="7"/>
  <c r="CW80" i="7"/>
  <c r="CV80" i="7"/>
  <c r="CU80" i="7"/>
  <c r="CJ80" i="7"/>
  <c r="CJ16" i="7"/>
  <c r="CW16" i="7"/>
  <c r="CV16" i="7"/>
  <c r="CU16" i="7"/>
  <c r="CJ17" i="7"/>
  <c r="CU17" i="7"/>
  <c r="CW17" i="7"/>
  <c r="CV17" i="7"/>
  <c r="CJ18" i="7"/>
  <c r="CW18" i="7"/>
  <c r="CV18" i="7"/>
  <c r="CU18" i="7"/>
  <c r="CJ15" i="7"/>
  <c r="CW15" i="7"/>
  <c r="CV15" i="7"/>
  <c r="CU15" i="7"/>
  <c r="M44" i="2"/>
  <c r="M46" i="2"/>
  <c r="M45" i="2"/>
  <c r="M51" i="2"/>
  <c r="M48" i="2"/>
  <c r="M49" i="2"/>
  <c r="M47" i="2"/>
  <c r="AZ78" i="7" l="1"/>
  <c r="AZ77" i="7"/>
  <c r="AZ79" i="7"/>
  <c r="AZ80" i="7"/>
  <c r="AZ15" i="7"/>
  <c r="AZ17" i="7"/>
  <c r="AZ16" i="7"/>
  <c r="AZ18" i="7"/>
  <c r="CP24" i="2" l="1"/>
  <c r="CS24" i="2"/>
  <c r="CT24" i="2"/>
  <c r="CU24" i="2"/>
  <c r="CV24" i="2"/>
  <c r="CW24" i="2"/>
  <c r="CG24" i="2"/>
  <c r="Z24" i="2" s="1"/>
  <c r="C137" i="2" l="1"/>
  <c r="BT18" i="8" l="1"/>
  <c r="BS18" i="8"/>
  <c r="BR18" i="8"/>
  <c r="BQ18" i="8"/>
  <c r="BP18" i="8"/>
  <c r="BO18" i="8"/>
  <c r="BN18" i="8"/>
  <c r="L18" i="8"/>
  <c r="L17" i="8"/>
  <c r="BU11" i="8"/>
  <c r="BT11" i="8"/>
  <c r="BS11" i="8"/>
  <c r="BR11" i="8"/>
  <c r="BQ11" i="8"/>
  <c r="BP11" i="8"/>
  <c r="BO11" i="8"/>
  <c r="BN11" i="8"/>
  <c r="L10" i="8"/>
  <c r="B50" i="8" l="1"/>
  <c r="B49" i="8"/>
  <c r="BM28" i="18"/>
  <c r="AL96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CB23" i="5" l="1"/>
  <c r="CD23" i="5"/>
  <c r="CC23" i="5"/>
  <c r="CE23" i="5"/>
  <c r="CE22" i="5"/>
  <c r="CC22" i="5"/>
  <c r="CC20" i="5"/>
  <c r="CE20" i="5"/>
  <c r="CD22" i="5"/>
  <c r="CB22" i="5"/>
  <c r="CB20" i="5"/>
  <c r="CD20" i="5"/>
  <c r="BJ28" i="18"/>
  <c r="BD28" i="18"/>
  <c r="DL23" i="5"/>
  <c r="BB28" i="18"/>
  <c r="BC28" i="18"/>
  <c r="BE28" i="18"/>
  <c r="BK28" i="18"/>
  <c r="BL28" i="18"/>
  <c r="DN88" i="5"/>
  <c r="DL88" i="5"/>
  <c r="CD88" i="5"/>
  <c r="CB88" i="5"/>
  <c r="CC41" i="5"/>
  <c r="CE41" i="5"/>
  <c r="DM76" i="5"/>
  <c r="CE76" i="5"/>
  <c r="CC76" i="5"/>
  <c r="DO76" i="5"/>
  <c r="CB77" i="5"/>
  <c r="DN77" i="5"/>
  <c r="CD77" i="5"/>
  <c r="DL77" i="5"/>
  <c r="DL89" i="5"/>
  <c r="CD89" i="5"/>
  <c r="CB89" i="5"/>
  <c r="DN89" i="5"/>
  <c r="CB90" i="5"/>
  <c r="DN90" i="5"/>
  <c r="CD90" i="5"/>
  <c r="DL90" i="5"/>
  <c r="DN22" i="5"/>
  <c r="DL22" i="5"/>
  <c r="DN85" i="5"/>
  <c r="DL85" i="5"/>
  <c r="CB85" i="5"/>
  <c r="CD85" i="5"/>
  <c r="DQ42" i="5"/>
  <c r="CE42" i="5"/>
  <c r="CC42" i="5"/>
  <c r="DL76" i="5"/>
  <c r="CD76" i="5"/>
  <c r="CB76" i="5"/>
  <c r="DN76" i="5"/>
  <c r="DL83" i="5"/>
  <c r="CD83" i="5"/>
  <c r="CB83" i="5"/>
  <c r="DN83" i="5"/>
  <c r="CC90" i="5"/>
  <c r="DO90" i="5"/>
  <c r="CE90" i="5"/>
  <c r="DM90" i="5"/>
  <c r="DO22" i="5"/>
  <c r="DM22" i="5"/>
  <c r="DL86" i="5"/>
  <c r="CD86" i="5"/>
  <c r="CB86" i="5"/>
  <c r="DN86" i="5"/>
  <c r="CD93" i="5"/>
  <c r="CB93" i="5"/>
  <c r="DN93" i="5"/>
  <c r="DL93" i="5"/>
  <c r="CB41" i="5"/>
  <c r="CD41" i="5"/>
  <c r="CC93" i="5"/>
  <c r="DO93" i="5"/>
  <c r="CE93" i="5"/>
  <c r="DM93" i="5"/>
  <c r="DP40" i="5"/>
  <c r="CB40" i="5"/>
  <c r="CD40" i="5"/>
  <c r="CC40" i="5"/>
  <c r="CE40" i="5"/>
  <c r="DL95" i="5"/>
  <c r="CD95" i="5"/>
  <c r="CB95" i="5"/>
  <c r="DN95" i="5"/>
  <c r="DO20" i="5"/>
  <c r="DM20" i="5"/>
  <c r="CC38" i="5"/>
  <c r="CE38" i="5"/>
  <c r="CB91" i="5"/>
  <c r="DN91" i="5"/>
  <c r="DL91" i="5"/>
  <c r="CD91" i="5"/>
  <c r="DN23" i="5"/>
  <c r="DM86" i="5"/>
  <c r="CE86" i="5"/>
  <c r="CC86" i="5"/>
  <c r="DO86" i="5"/>
  <c r="DO88" i="5"/>
  <c r="DM88" i="5"/>
  <c r="CE88" i="5"/>
  <c r="CC88" i="5"/>
  <c r="DL20" i="5"/>
  <c r="DN20" i="5"/>
  <c r="DM95" i="5"/>
  <c r="CE95" i="5"/>
  <c r="CC95" i="5"/>
  <c r="DO95" i="5"/>
  <c r="DO91" i="5"/>
  <c r="DM91" i="5"/>
  <c r="CE91" i="5"/>
  <c r="CC91" i="5"/>
  <c r="DM23" i="5"/>
  <c r="DO23" i="5"/>
  <c r="DP39" i="5"/>
  <c r="CD39" i="5"/>
  <c r="CB39" i="5"/>
  <c r="DQ39" i="5"/>
  <c r="CE39" i="5"/>
  <c r="CC39" i="5"/>
  <c r="DN94" i="5"/>
  <c r="DL94" i="5"/>
  <c r="CB94" i="5"/>
  <c r="CD94" i="5"/>
  <c r="DO94" i="5"/>
  <c r="DM94" i="5"/>
  <c r="CE94" i="5"/>
  <c r="CC94" i="5"/>
  <c r="CB38" i="5"/>
  <c r="CD38" i="5"/>
  <c r="DM89" i="5"/>
  <c r="CE89" i="5"/>
  <c r="CC89" i="5"/>
  <c r="DO89" i="5"/>
  <c r="CC37" i="5"/>
  <c r="CE37" i="5"/>
  <c r="DL92" i="5"/>
  <c r="CD92" i="5"/>
  <c r="CB92" i="5"/>
  <c r="DN92" i="5"/>
  <c r="CB37" i="5"/>
  <c r="CD37" i="5"/>
  <c r="DO75" i="5"/>
  <c r="DM75" i="5"/>
  <c r="CE75" i="5"/>
  <c r="CC75" i="5"/>
  <c r="CC77" i="5"/>
  <c r="DO77" i="5"/>
  <c r="CE77" i="5"/>
  <c r="DM77" i="5"/>
  <c r="DP42" i="5"/>
  <c r="CD42" i="5"/>
  <c r="CB42" i="5"/>
  <c r="DM92" i="5"/>
  <c r="CE92" i="5"/>
  <c r="CC92" i="5"/>
  <c r="DO92" i="5"/>
  <c r="DN75" i="5"/>
  <c r="DL75" i="5"/>
  <c r="CD75" i="5"/>
  <c r="CB75" i="5"/>
  <c r="F96" i="5"/>
  <c r="E96" i="5"/>
  <c r="DM41" i="5"/>
  <c r="DL42" i="5"/>
  <c r="DM40" i="5"/>
  <c r="DP41" i="5"/>
  <c r="DM37" i="5"/>
  <c r="DP37" i="5"/>
  <c r="DQ40" i="5"/>
  <c r="DQ41" i="5"/>
  <c r="DM42" i="5"/>
  <c r="DL40" i="5"/>
  <c r="DL41" i="5"/>
  <c r="DM38" i="5"/>
  <c r="DP38" i="5"/>
  <c r="DL39" i="5"/>
  <c r="DQ37" i="5"/>
  <c r="DQ38" i="5"/>
  <c r="DM39" i="5"/>
  <c r="DL37" i="5"/>
  <c r="DL38" i="5"/>
  <c r="AM89" i="5" l="1"/>
  <c r="AM23" i="5"/>
  <c r="V28" i="18"/>
  <c r="AM22" i="5"/>
  <c r="AM20" i="5"/>
  <c r="AM86" i="5"/>
  <c r="AM75" i="5"/>
  <c r="AM41" i="5"/>
  <c r="D96" i="5"/>
  <c r="AM93" i="5"/>
  <c r="AM90" i="5"/>
  <c r="AM88" i="5"/>
  <c r="AM91" i="5"/>
  <c r="AM40" i="5"/>
  <c r="AM38" i="5"/>
  <c r="AM95" i="5"/>
  <c r="AM94" i="5"/>
  <c r="AM37" i="5"/>
  <c r="AM39" i="5"/>
  <c r="AM77" i="5"/>
  <c r="AM42" i="5"/>
  <c r="AM92" i="5"/>
  <c r="AM76" i="5"/>
  <c r="S25" i="2"/>
  <c r="CD25" i="4" l="1"/>
  <c r="CF25" i="4"/>
  <c r="CP25" i="4"/>
  <c r="CR25" i="4"/>
  <c r="CE25" i="4"/>
  <c r="CC25" i="4"/>
  <c r="CO25" i="4"/>
  <c r="CQ25" i="4"/>
  <c r="L137" i="2"/>
  <c r="K137" i="2"/>
  <c r="J137" i="2"/>
  <c r="I137" i="2"/>
  <c r="AT25" i="4" l="1"/>
  <c r="L53" i="2"/>
  <c r="K53" i="2"/>
  <c r="J53" i="2"/>
  <c r="H53" i="2"/>
  <c r="X25" i="2"/>
  <c r="W25" i="2"/>
  <c r="V25" i="2"/>
  <c r="U25" i="2"/>
  <c r="T25" i="2"/>
  <c r="R25" i="2"/>
  <c r="N25" i="2"/>
  <c r="M25" i="2"/>
  <c r="L25" i="2"/>
  <c r="K25" i="2"/>
  <c r="J25" i="2"/>
  <c r="I25" i="2"/>
  <c r="H25" i="2"/>
  <c r="G25" i="2"/>
  <c r="F25" i="2"/>
  <c r="E25" i="2"/>
  <c r="AK16" i="16" l="1"/>
  <c r="I19" i="16"/>
  <c r="H19" i="16"/>
  <c r="R19" i="16"/>
  <c r="Q19" i="16"/>
  <c r="O19" i="16"/>
  <c r="N19" i="16"/>
  <c r="L19" i="16"/>
  <c r="K19" i="16"/>
  <c r="G29" i="6"/>
  <c r="AL12" i="16" l="1"/>
  <c r="AN12" i="16"/>
  <c r="AK12" i="16"/>
  <c r="AM12" i="16"/>
  <c r="AT12" i="16"/>
  <c r="AR12" i="16"/>
  <c r="AM16" i="16"/>
  <c r="AT16" i="16"/>
  <c r="AR16" i="16"/>
  <c r="AS12" i="16"/>
  <c r="AU12" i="16"/>
  <c r="F19" i="16"/>
  <c r="E19" i="16"/>
  <c r="AN17" i="16"/>
  <c r="S12" i="16" l="1"/>
  <c r="AU17" i="16"/>
  <c r="AS17" i="16"/>
  <c r="AL17" i="16"/>
  <c r="DX28" i="5" l="1"/>
  <c r="CK44" i="2" l="1"/>
  <c r="DR85" i="17" l="1"/>
  <c r="DQ85" i="17"/>
  <c r="DR84" i="17"/>
  <c r="DQ84" i="17"/>
  <c r="DR83" i="17"/>
  <c r="DQ83" i="17"/>
  <c r="DR82" i="17"/>
  <c r="DQ82" i="17"/>
  <c r="DR81" i="17"/>
  <c r="DQ81" i="17"/>
  <c r="DR80" i="17"/>
  <c r="DQ80" i="17"/>
  <c r="DR79" i="17"/>
  <c r="CB83" i="17"/>
  <c r="CB84" i="17"/>
  <c r="CD103" i="17"/>
  <c r="DT105" i="17"/>
  <c r="DS98" i="17"/>
  <c r="CD96" i="17"/>
  <c r="DU91" i="17"/>
  <c r="DU84" i="17"/>
  <c r="CB81" i="17"/>
  <c r="CB79" i="17"/>
  <c r="CB80" i="17"/>
  <c r="Q73" i="17"/>
  <c r="CP45" i="17" l="1"/>
  <c r="EE45" i="17"/>
  <c r="CE97" i="17"/>
  <c r="CD90" i="17"/>
  <c r="DS91" i="17"/>
  <c r="DV98" i="17"/>
  <c r="DU98" i="17"/>
  <c r="CE103" i="17"/>
  <c r="I103" i="17" s="1"/>
  <c r="DS105" i="17"/>
  <c r="CD83" i="17"/>
  <c r="DU105" i="17"/>
  <c r="DT84" i="17"/>
  <c r="DS84" i="17"/>
  <c r="CD104" i="17"/>
  <c r="DT91" i="17"/>
  <c r="CD97" i="17"/>
  <c r="DT98" i="17"/>
  <c r="DV84" i="17"/>
  <c r="DV91" i="17"/>
  <c r="DV105" i="17"/>
  <c r="CE104" i="17"/>
  <c r="CE90" i="17"/>
  <c r="CE83" i="17"/>
  <c r="I83" i="17" s="1"/>
  <c r="CE96" i="17"/>
  <c r="I96" i="17" s="1"/>
  <c r="I97" i="17" l="1"/>
  <c r="I104" i="17"/>
  <c r="I90" i="17"/>
  <c r="AG15" i="17"/>
  <c r="CD134" i="17" s="1"/>
  <c r="AJ15" i="17"/>
  <c r="G15" i="17"/>
  <c r="CE78" i="17" l="1"/>
  <c r="DT79" i="17"/>
  <c r="DV79" i="17"/>
  <c r="CD78" i="17"/>
  <c r="I78" i="17" s="1"/>
  <c r="DU79" i="17"/>
  <c r="DS79" i="17"/>
  <c r="I12" i="18"/>
  <c r="H12" i="18"/>
  <c r="G12" i="18"/>
  <c r="CD31" i="2" l="1"/>
  <c r="CC31" i="2"/>
  <c r="CF31" i="2"/>
  <c r="CH31" i="2"/>
  <c r="CI31" i="2"/>
  <c r="CE31" i="2"/>
  <c r="CB31" i="2"/>
  <c r="Z31" i="2" l="1"/>
  <c r="BB14" i="18"/>
  <c r="BJ14" i="18"/>
  <c r="BK14" i="18"/>
  <c r="BC14" i="18"/>
  <c r="DI40" i="17"/>
  <c r="DH40" i="17"/>
  <c r="DH33" i="17"/>
  <c r="DI33" i="17"/>
  <c r="DH34" i="17"/>
  <c r="DI34" i="17"/>
  <c r="DH35" i="17"/>
  <c r="DI35" i="17"/>
  <c r="DH36" i="17"/>
  <c r="DI36" i="17"/>
  <c r="DH38" i="17"/>
  <c r="DI38" i="17"/>
  <c r="DI32" i="17"/>
  <c r="DH32" i="17"/>
  <c r="DH14" i="17"/>
  <c r="DI14" i="17"/>
  <c r="DH16" i="17"/>
  <c r="DI16" i="17"/>
  <c r="DH17" i="17"/>
  <c r="DI17" i="17"/>
  <c r="DH19" i="17"/>
  <c r="DI19" i="17"/>
  <c r="DH20" i="17"/>
  <c r="DI20" i="17"/>
  <c r="DH22" i="17"/>
  <c r="DI22" i="17"/>
  <c r="DH23" i="17"/>
  <c r="DI23" i="17"/>
  <c r="DH25" i="17"/>
  <c r="DI25" i="17"/>
  <c r="DH26" i="17"/>
  <c r="DI26" i="17"/>
  <c r="DH28" i="17"/>
  <c r="DI28" i="17"/>
  <c r="DH29" i="17"/>
  <c r="DI29" i="17"/>
  <c r="DH31" i="17"/>
  <c r="DI31" i="17"/>
  <c r="DH12" i="17"/>
  <c r="AE39" i="17"/>
  <c r="AF39" i="17"/>
  <c r="AE37" i="17"/>
  <c r="AF37" i="17"/>
  <c r="AE30" i="17"/>
  <c r="AF30" i="17"/>
  <c r="AE27" i="17"/>
  <c r="AF27" i="17"/>
  <c r="AE24" i="17"/>
  <c r="AF24" i="17"/>
  <c r="AE21" i="17"/>
  <c r="AF21" i="17"/>
  <c r="AE18" i="17"/>
  <c r="AF18" i="17"/>
  <c r="AE15" i="17"/>
  <c r="AF15" i="17"/>
  <c r="T14" i="18" l="1"/>
  <c r="DK13" i="17"/>
  <c r="ET13" i="17"/>
  <c r="EV13" i="17"/>
  <c r="DH13" i="17"/>
  <c r="EU13" i="17"/>
  <c r="ES13" i="17"/>
  <c r="CX12" i="17"/>
  <c r="EM12" i="17"/>
  <c r="CY12" i="17"/>
  <c r="EN12" i="17"/>
  <c r="DI13" i="17"/>
  <c r="ER12" i="17"/>
  <c r="DI12" i="17"/>
  <c r="EU28" i="17"/>
  <c r="ES28" i="17"/>
  <c r="EU23" i="17"/>
  <c r="ES23" i="17"/>
  <c r="EU19" i="17"/>
  <c r="ES19" i="17"/>
  <c r="ES14" i="17"/>
  <c r="EU14" i="17"/>
  <c r="EU38" i="17"/>
  <c r="ES38" i="17"/>
  <c r="EU34" i="17"/>
  <c r="ES34" i="17"/>
  <c r="EV36" i="17"/>
  <c r="ET36" i="17"/>
  <c r="EV33" i="17"/>
  <c r="ET33" i="17"/>
  <c r="EU26" i="17"/>
  <c r="ES26" i="17"/>
  <c r="EU22" i="17"/>
  <c r="ES22" i="17"/>
  <c r="EU17" i="17"/>
  <c r="ES17" i="17"/>
  <c r="EU36" i="17"/>
  <c r="ES36" i="17"/>
  <c r="EU33" i="17"/>
  <c r="ES33" i="17"/>
  <c r="ET35" i="17"/>
  <c r="EV35" i="17"/>
  <c r="EU40" i="17"/>
  <c r="ES40" i="17"/>
  <c r="ES29" i="17"/>
  <c r="EU29" i="17"/>
  <c r="EU25" i="17"/>
  <c r="ES25" i="17"/>
  <c r="ES20" i="17"/>
  <c r="EU20" i="17"/>
  <c r="EU16" i="17"/>
  <c r="ES16" i="17"/>
  <c r="ES35" i="17"/>
  <c r="EU35" i="17"/>
  <c r="EV34" i="17"/>
  <c r="ET34" i="17"/>
  <c r="EU32" i="17"/>
  <c r="ES32" i="17"/>
  <c r="EV31" i="17"/>
  <c r="ET31" i="17"/>
  <c r="EU31" i="17"/>
  <c r="ES31" i="17"/>
  <c r="EV40" i="17"/>
  <c r="ET40" i="17"/>
  <c r="EV38" i="17"/>
  <c r="ET38" i="17"/>
  <c r="EV32" i="17"/>
  <c r="ET32" i="17"/>
  <c r="EV29" i="17"/>
  <c r="ET29" i="17"/>
  <c r="EV28" i="17"/>
  <c r="ET28" i="17"/>
  <c r="ET26" i="17"/>
  <c r="EV26" i="17"/>
  <c r="ET25" i="17"/>
  <c r="EV25" i="17"/>
  <c r="EV23" i="17"/>
  <c r="ET23" i="17"/>
  <c r="EV22" i="17"/>
  <c r="ET22" i="17"/>
  <c r="ET20" i="17"/>
  <c r="EV20" i="17"/>
  <c r="ET19" i="17"/>
  <c r="EV19" i="17"/>
  <c r="ET17" i="17"/>
  <c r="EV17" i="17"/>
  <c r="ET16" i="17"/>
  <c r="EV16" i="17"/>
  <c r="EV14" i="17"/>
  <c r="ET14" i="17"/>
  <c r="ET12" i="17"/>
  <c r="DK23" i="17"/>
  <c r="DK34" i="17"/>
  <c r="DJ23" i="17"/>
  <c r="DJ17" i="17"/>
  <c r="DK32" i="17"/>
  <c r="DJ34" i="17"/>
  <c r="DK28" i="17"/>
  <c r="DK22" i="17"/>
  <c r="DK16" i="17"/>
  <c r="DK38" i="17"/>
  <c r="DK33" i="17"/>
  <c r="DJ28" i="17"/>
  <c r="DJ22" i="17"/>
  <c r="DJ16" i="17"/>
  <c r="DJ38" i="17"/>
  <c r="DJ33" i="17"/>
  <c r="DK26" i="17"/>
  <c r="DK29" i="17"/>
  <c r="DK17" i="17"/>
  <c r="DK20" i="17"/>
  <c r="DK14" i="17"/>
  <c r="DK36" i="17"/>
  <c r="DJ40" i="17"/>
  <c r="AM40" i="17" s="1"/>
  <c r="DJ26" i="17"/>
  <c r="DJ20" i="17"/>
  <c r="DJ14" i="17"/>
  <c r="DJ36" i="17"/>
  <c r="DK40" i="17"/>
  <c r="DK31" i="17"/>
  <c r="DK25" i="17"/>
  <c r="DK19" i="17"/>
  <c r="DK35" i="17"/>
  <c r="DJ31" i="17"/>
  <c r="DJ25" i="17"/>
  <c r="DJ19" i="17"/>
  <c r="DJ13" i="17"/>
  <c r="DJ35" i="17"/>
  <c r="DJ29" i="17"/>
  <c r="DJ32" i="17"/>
  <c r="CO52" i="4" l="1"/>
  <c r="CR52" i="4"/>
  <c r="CQ52" i="4"/>
  <c r="CP52" i="4"/>
  <c r="AM34" i="17"/>
  <c r="AM29" i="17"/>
  <c r="AM20" i="17"/>
  <c r="AM31" i="17"/>
  <c r="AM36" i="17"/>
  <c r="AM19" i="17"/>
  <c r="AM28" i="17"/>
  <c r="AM23" i="17"/>
  <c r="AM33" i="17"/>
  <c r="AM35" i="17"/>
  <c r="AM16" i="17"/>
  <c r="AM26" i="17"/>
  <c r="AM38" i="17"/>
  <c r="AM25" i="17"/>
  <c r="AM13" i="17"/>
  <c r="AM14" i="17"/>
  <c r="AM17" i="17"/>
  <c r="AM22" i="17"/>
  <c r="AM32" i="17"/>
  <c r="AU195" i="17" l="1"/>
  <c r="AV195" i="17"/>
  <c r="AT195" i="17"/>
  <c r="AS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AR195" i="17"/>
  <c r="H195" i="17"/>
  <c r="S12" i="18" l="1"/>
  <c r="R12" i="18"/>
  <c r="Q12" i="18"/>
  <c r="P12" i="18"/>
  <c r="O12" i="18"/>
  <c r="N12" i="18"/>
  <c r="M12" i="18"/>
  <c r="L12" i="18"/>
  <c r="K12" i="18"/>
  <c r="J12" i="18"/>
  <c r="F12" i="18"/>
  <c r="CF140" i="17" l="1"/>
  <c r="CF139" i="17"/>
  <c r="CD140" i="17"/>
  <c r="CD139" i="17"/>
  <c r="CC140" i="17"/>
  <c r="CC139" i="17"/>
  <c r="CB140" i="17"/>
  <c r="DV139" i="17"/>
  <c r="DU140" i="17"/>
  <c r="DU139" i="17"/>
  <c r="DT140" i="17"/>
  <c r="DT139" i="17"/>
  <c r="DS139" i="17"/>
  <c r="DS140" i="17"/>
  <c r="DR140" i="17"/>
  <c r="DQ140" i="17"/>
  <c r="H29" i="6" l="1"/>
  <c r="CP28" i="6" l="1"/>
  <c r="CC28" i="6"/>
  <c r="CR28" i="6"/>
  <c r="CE28" i="6"/>
  <c r="CF27" i="6"/>
  <c r="CD27" i="6"/>
  <c r="CQ27" i="6"/>
  <c r="CS27" i="6"/>
  <c r="CE27" i="6"/>
  <c r="CP27" i="6"/>
  <c r="CR27" i="6"/>
  <c r="CC27" i="6"/>
  <c r="CD87" i="5"/>
  <c r="CB87" i="5"/>
  <c r="DN87" i="5"/>
  <c r="DL87" i="5"/>
  <c r="CC87" i="5"/>
  <c r="DO87" i="5"/>
  <c r="CE87" i="5"/>
  <c r="DM87" i="5"/>
  <c r="AC28" i="6" l="1"/>
  <c r="AC27" i="6"/>
  <c r="AM87" i="5"/>
  <c r="H137" i="2"/>
  <c r="G137" i="2"/>
  <c r="F137" i="2"/>
  <c r="E137" i="2"/>
  <c r="D137" i="2"/>
  <c r="G71" i="17" l="1"/>
  <c r="G30" i="17"/>
  <c r="AL24" i="17"/>
  <c r="I27" i="17"/>
  <c r="G21" i="17"/>
  <c r="I15" i="17"/>
  <c r="CC37" i="4" l="1"/>
  <c r="CE37" i="4"/>
  <c r="CO37" i="4"/>
  <c r="CQ37" i="4"/>
  <c r="CU53" i="6"/>
  <c r="CS53" i="6"/>
  <c r="CQ53" i="6"/>
  <c r="CH53" i="6"/>
  <c r="CF53" i="6"/>
  <c r="CD53" i="6"/>
  <c r="E74" i="2"/>
  <c r="E69" i="2"/>
  <c r="CB78" i="2"/>
  <c r="I53" i="2"/>
  <c r="G53" i="2"/>
  <c r="F53" i="2"/>
  <c r="D53" i="2"/>
  <c r="C53" i="2"/>
  <c r="C61" i="2"/>
  <c r="CB59" i="2"/>
  <c r="F115" i="2"/>
  <c r="E115" i="2"/>
  <c r="D115" i="2"/>
  <c r="C115" i="2"/>
  <c r="E124" i="2"/>
  <c r="CF69" i="4"/>
  <c r="CF65" i="4"/>
  <c r="CO65" i="4"/>
  <c r="CF79" i="4"/>
  <c r="CB48" i="5"/>
  <c r="G20" i="6"/>
  <c r="AN52" i="16"/>
  <c r="AN51" i="16"/>
  <c r="AN49" i="16"/>
  <c r="AN59" i="16"/>
  <c r="AN71" i="16"/>
  <c r="CR18" i="4" l="1"/>
  <c r="CP18" i="4"/>
  <c r="CQ18" i="4"/>
  <c r="CO18" i="4"/>
  <c r="CE20" i="4"/>
  <c r="CC20" i="4"/>
  <c r="AT20" i="4" s="1"/>
  <c r="CQ20" i="4"/>
  <c r="CO20" i="4"/>
  <c r="CC12" i="4"/>
  <c r="CQ12" i="4"/>
  <c r="CO12" i="4"/>
  <c r="CE12" i="4"/>
  <c r="CE23" i="4"/>
  <c r="CC23" i="4"/>
  <c r="AT23" i="4" s="1"/>
  <c r="CO23" i="4"/>
  <c r="CQ23" i="4"/>
  <c r="CF20" i="4"/>
  <c r="CD20" i="4"/>
  <c r="CP20" i="4"/>
  <c r="CR20" i="4"/>
  <c r="CE24" i="4"/>
  <c r="CC24" i="4"/>
  <c r="CQ24" i="4"/>
  <c r="CO24" i="4"/>
  <c r="CR12" i="4"/>
  <c r="CP12" i="4"/>
  <c r="CF12" i="4"/>
  <c r="CD12" i="4"/>
  <c r="CD28" i="5"/>
  <c r="CB28" i="5"/>
  <c r="CE19" i="5"/>
  <c r="CC19" i="5"/>
  <c r="AM19" i="5" s="1"/>
  <c r="CE76" i="4"/>
  <c r="CC76" i="4"/>
  <c r="CB57" i="4"/>
  <c r="CN57" i="4"/>
  <c r="CP57" i="4"/>
  <c r="CO15" i="4"/>
  <c r="CQ15" i="4"/>
  <c r="CR11" i="2"/>
  <c r="CD11" i="2"/>
  <c r="CC11" i="2"/>
  <c r="CC20" i="2"/>
  <c r="CD20" i="2"/>
  <c r="CR56" i="6"/>
  <c r="CG56" i="6"/>
  <c r="CP56" i="6"/>
  <c r="CE56" i="6"/>
  <c r="CC56" i="6"/>
  <c r="CT56" i="6"/>
  <c r="CT57" i="6"/>
  <c r="CR57" i="6"/>
  <c r="CG57" i="6"/>
  <c r="CP57" i="6"/>
  <c r="CE57" i="6"/>
  <c r="CC57" i="6"/>
  <c r="CP53" i="6"/>
  <c r="CT53" i="6"/>
  <c r="CR53" i="6"/>
  <c r="CT48" i="6"/>
  <c r="CR48" i="6"/>
  <c r="CP48" i="6"/>
  <c r="CG34" i="6"/>
  <c r="CE34" i="6"/>
  <c r="CC34" i="6"/>
  <c r="CP34" i="6"/>
  <c r="CR34" i="6"/>
  <c r="CT34" i="6"/>
  <c r="CH34" i="6"/>
  <c r="CF34" i="6"/>
  <c r="CD34" i="6"/>
  <c r="CU34" i="6"/>
  <c r="CQ34" i="6"/>
  <c r="CS34" i="6"/>
  <c r="CT55" i="6"/>
  <c r="CP55" i="6"/>
  <c r="CR55" i="6"/>
  <c r="CT54" i="6"/>
  <c r="CP54" i="6"/>
  <c r="CR54" i="6"/>
  <c r="CH43" i="6"/>
  <c r="CF43" i="6"/>
  <c r="CD43" i="6"/>
  <c r="CG43" i="6"/>
  <c r="CE43" i="6"/>
  <c r="CC43" i="6"/>
  <c r="CT43" i="6"/>
  <c r="CP43" i="6"/>
  <c r="CR43" i="6"/>
  <c r="CC26" i="6"/>
  <c r="CP26" i="6"/>
  <c r="CR26" i="6"/>
  <c r="CE26" i="6"/>
  <c r="CD26" i="6"/>
  <c r="CQ26" i="6"/>
  <c r="CF26" i="6"/>
  <c r="CS26" i="6"/>
  <c r="CQ12" i="6"/>
  <c r="CD12" i="6"/>
  <c r="CH12" i="6"/>
  <c r="CF12" i="6"/>
  <c r="CU12" i="6"/>
  <c r="CS12" i="6"/>
  <c r="CR12" i="6"/>
  <c r="CC12" i="6"/>
  <c r="CP12" i="6"/>
  <c r="CG12" i="6"/>
  <c r="CE12" i="6"/>
  <c r="CT12" i="6"/>
  <c r="CR15" i="4"/>
  <c r="CP15" i="4"/>
  <c r="CO57" i="4"/>
  <c r="CE57" i="4"/>
  <c r="CP76" i="4"/>
  <c r="CR76" i="4"/>
  <c r="CD76" i="4"/>
  <c r="CF76" i="4"/>
  <c r="CQ20" i="2"/>
  <c r="CR20" i="2"/>
  <c r="CQ11" i="2"/>
  <c r="CP11" i="2"/>
  <c r="CH20" i="2"/>
  <c r="CE20" i="2"/>
  <c r="CB20" i="2"/>
  <c r="CF20" i="2"/>
  <c r="CI20" i="2"/>
  <c r="CB11" i="2"/>
  <c r="CI11" i="2"/>
  <c r="CE11" i="2"/>
  <c r="CO96" i="2"/>
  <c r="CC96" i="2"/>
  <c r="CB96" i="2"/>
  <c r="CB69" i="2"/>
  <c r="CO69" i="2"/>
  <c r="CO59" i="2"/>
  <c r="F59" i="2"/>
  <c r="DN28" i="5"/>
  <c r="CP96" i="2"/>
  <c r="CH11" i="2"/>
  <c r="CQ76" i="4"/>
  <c r="CO76" i="4"/>
  <c r="CD57" i="4"/>
  <c r="CR69" i="4"/>
  <c r="CD69" i="4"/>
  <c r="CP69" i="4"/>
  <c r="CC57" i="4"/>
  <c r="CQ57" i="4"/>
  <c r="CF15" i="4"/>
  <c r="CD15" i="4"/>
  <c r="CD18" i="4"/>
  <c r="CF18" i="4"/>
  <c r="CR79" i="4"/>
  <c r="CP79" i="4"/>
  <c r="CD79" i="4"/>
  <c r="CC15" i="4"/>
  <c r="CE15" i="4"/>
  <c r="CE65" i="4"/>
  <c r="CC65" i="4"/>
  <c r="CQ65" i="4"/>
  <c r="CC18" i="4"/>
  <c r="CE18" i="4"/>
  <c r="CQ79" i="4"/>
  <c r="CO79" i="4"/>
  <c r="CE79" i="4"/>
  <c r="CC79" i="4"/>
  <c r="CQ69" i="4"/>
  <c r="CC69" i="4"/>
  <c r="CE69" i="4"/>
  <c r="CO69" i="4"/>
  <c r="CP65" i="4"/>
  <c r="CD65" i="4"/>
  <c r="CR65" i="4"/>
  <c r="DL48" i="5"/>
  <c r="CD48" i="5"/>
  <c r="DN48" i="5"/>
  <c r="DN82" i="5"/>
  <c r="DL82" i="5"/>
  <c r="CB82" i="5"/>
  <c r="CD82" i="5"/>
  <c r="CB31" i="5"/>
  <c r="CD31" i="5"/>
  <c r="DO82" i="5"/>
  <c r="DM82" i="5"/>
  <c r="CE82" i="5"/>
  <c r="CC82" i="5"/>
  <c r="DO19" i="5"/>
  <c r="DM19" i="5"/>
  <c r="CD30" i="5"/>
  <c r="CB30" i="5"/>
  <c r="DM48" i="5"/>
  <c r="CE48" i="5"/>
  <c r="CC48" i="5"/>
  <c r="DO48" i="5"/>
  <c r="CD84" i="5"/>
  <c r="CB84" i="5"/>
  <c r="DN84" i="5"/>
  <c r="DL84" i="5"/>
  <c r="DM83" i="5"/>
  <c r="CE83" i="5"/>
  <c r="CC83" i="5"/>
  <c r="DO83" i="5"/>
  <c r="CE61" i="5"/>
  <c r="DO61" i="5"/>
  <c r="CC61" i="5"/>
  <c r="DM61" i="5"/>
  <c r="CB32" i="5"/>
  <c r="CD32" i="5"/>
  <c r="CC84" i="5"/>
  <c r="DO84" i="5"/>
  <c r="CE84" i="5"/>
  <c r="DM84" i="5"/>
  <c r="DO85" i="5"/>
  <c r="DM85" i="5"/>
  <c r="CE85" i="5"/>
  <c r="CC85" i="5"/>
  <c r="CB65" i="5"/>
  <c r="DN65" i="5"/>
  <c r="CD65" i="5"/>
  <c r="DL65" i="5"/>
  <c r="DO65" i="5"/>
  <c r="CC65" i="5"/>
  <c r="DM65" i="5"/>
  <c r="CE65" i="5"/>
  <c r="CB29" i="5"/>
  <c r="CD29" i="5"/>
  <c r="CD61" i="5"/>
  <c r="DN61" i="5"/>
  <c r="CB61" i="5"/>
  <c r="DL61" i="5"/>
  <c r="AR58" i="16"/>
  <c r="AM58" i="16"/>
  <c r="AT58" i="16"/>
  <c r="AK58" i="16"/>
  <c r="AS59" i="16"/>
  <c r="AU59" i="16"/>
  <c r="AL59" i="16"/>
  <c r="AT49" i="16"/>
  <c r="AK49" i="16"/>
  <c r="AM49" i="16"/>
  <c r="AR49" i="16"/>
  <c r="AK71" i="16"/>
  <c r="AT71" i="16"/>
  <c r="AR71" i="16"/>
  <c r="AM71" i="16"/>
  <c r="AL71" i="16"/>
  <c r="AU71" i="16"/>
  <c r="AS71" i="16"/>
  <c r="AL49" i="16"/>
  <c r="AS49" i="16"/>
  <c r="AU49" i="16"/>
  <c r="AS52" i="16"/>
  <c r="AL52" i="16"/>
  <c r="AU52" i="16"/>
  <c r="AU51" i="16"/>
  <c r="AS51" i="16"/>
  <c r="AL51" i="16"/>
  <c r="CC55" i="6"/>
  <c r="CG55" i="6"/>
  <c r="CE55" i="6"/>
  <c r="CC54" i="6"/>
  <c r="CG54" i="6"/>
  <c r="CE54" i="6"/>
  <c r="CC53" i="6"/>
  <c r="CG53" i="6"/>
  <c r="CE53" i="6"/>
  <c r="CS43" i="6"/>
  <c r="CQ43" i="6"/>
  <c r="CU43" i="6"/>
  <c r="CE48" i="6"/>
  <c r="CG48" i="6"/>
  <c r="CC48" i="6"/>
  <c r="CV11" i="2"/>
  <c r="CF11" i="2"/>
  <c r="CS11" i="2"/>
  <c r="CT11" i="2"/>
  <c r="CW11" i="2"/>
  <c r="CV20" i="2"/>
  <c r="CW20" i="2"/>
  <c r="CP20" i="2"/>
  <c r="CS20" i="2"/>
  <c r="CT20" i="2"/>
  <c r="D61" i="2"/>
  <c r="F57" i="2"/>
  <c r="CB22" i="10"/>
  <c r="CB12" i="4" l="1"/>
  <c r="AT12" i="4" s="1"/>
  <c r="CN12" i="4"/>
  <c r="AS79" i="4"/>
  <c r="AS69" i="4"/>
  <c r="AC53" i="6"/>
  <c r="AC34" i="6"/>
  <c r="AC26" i="6"/>
  <c r="AC12" i="6"/>
  <c r="AS57" i="4"/>
  <c r="Z20" i="2"/>
  <c r="Z11" i="2"/>
  <c r="CN17" i="10"/>
  <c r="CC17" i="10"/>
  <c r="CM17" i="10"/>
  <c r="CB17" i="10"/>
  <c r="CM13" i="10"/>
  <c r="CB13" i="10"/>
  <c r="CM14" i="10"/>
  <c r="CB14" i="10"/>
  <c r="CN15" i="10"/>
  <c r="CC15" i="10"/>
  <c r="CM15" i="10"/>
  <c r="CB15" i="10"/>
  <c r="CC14" i="10"/>
  <c r="CN14" i="10"/>
  <c r="CB12" i="10"/>
  <c r="CM12" i="10"/>
  <c r="L96" i="2"/>
  <c r="S71" i="16"/>
  <c r="S49" i="16"/>
  <c r="AM83" i="5"/>
  <c r="AM84" i="5"/>
  <c r="AM65" i="5"/>
  <c r="AM85" i="5"/>
  <c r="AM61" i="5"/>
  <c r="AM48" i="5"/>
  <c r="AM82" i="5"/>
  <c r="E12" i="18"/>
  <c r="D12" i="18"/>
  <c r="CB79" i="2"/>
  <c r="CE22" i="10" l="1"/>
  <c r="CP22" i="10"/>
  <c r="CO22" i="10"/>
  <c r="CD22" i="10"/>
  <c r="CO17" i="10"/>
  <c r="CP17" i="10"/>
  <c r="CQ17" i="10"/>
  <c r="CR17" i="10"/>
  <c r="CD17" i="10"/>
  <c r="CE17" i="10"/>
  <c r="CF17" i="10"/>
  <c r="CG17" i="10"/>
  <c r="CO13" i="10"/>
  <c r="CP13" i="10"/>
  <c r="CQ13" i="10"/>
  <c r="CR13" i="10"/>
  <c r="CD13" i="10"/>
  <c r="CE13" i="10"/>
  <c r="CF13" i="10"/>
  <c r="CG13" i="10"/>
  <c r="CO15" i="10"/>
  <c r="CP15" i="10"/>
  <c r="CQ15" i="10"/>
  <c r="CR15" i="10"/>
  <c r="CD15" i="10"/>
  <c r="CE15" i="10"/>
  <c r="CF15" i="10"/>
  <c r="CG15" i="10"/>
  <c r="CO14" i="10"/>
  <c r="CP14" i="10"/>
  <c r="CQ14" i="10"/>
  <c r="CR14" i="10"/>
  <c r="CD14" i="10"/>
  <c r="CE14" i="10"/>
  <c r="CF14" i="10"/>
  <c r="CG14" i="10"/>
  <c r="B33" i="10"/>
  <c r="CG12" i="10"/>
  <c r="CF12" i="10"/>
  <c r="CE12" i="10"/>
  <c r="CD12" i="10"/>
  <c r="CR12" i="10"/>
  <c r="CQ12" i="10"/>
  <c r="CP12" i="10"/>
  <c r="CO12" i="10"/>
  <c r="CB98" i="2"/>
  <c r="CC98" i="2"/>
  <c r="CC99" i="2"/>
  <c r="CB99" i="2"/>
  <c r="CB100" i="2"/>
  <c r="CC100" i="2"/>
  <c r="CC97" i="2"/>
  <c r="CB97" i="2"/>
  <c r="CC102" i="2"/>
  <c r="CB102" i="2"/>
  <c r="CB101" i="2"/>
  <c r="CC101" i="2"/>
  <c r="CO77" i="2"/>
  <c r="CB77" i="2"/>
  <c r="CO97" i="2"/>
  <c r="CP97" i="2"/>
  <c r="CP102" i="2"/>
  <c r="CO102" i="2"/>
  <c r="CO101" i="2"/>
  <c r="CP101" i="2"/>
  <c r="CP100" i="2"/>
  <c r="CO100" i="2"/>
  <c r="CP99" i="2"/>
  <c r="CO99" i="2"/>
  <c r="CO98" i="2"/>
  <c r="CP98" i="2"/>
  <c r="O112" i="17"/>
  <c r="N112" i="17"/>
  <c r="CY109" i="7"/>
  <c r="CY40" i="7"/>
  <c r="AN77" i="16"/>
  <c r="AN78" i="16"/>
  <c r="AN62" i="16"/>
  <c r="CO109" i="7" l="1"/>
  <c r="CC109" i="7"/>
  <c r="CB109" i="7"/>
  <c r="CX109" i="7"/>
  <c r="CP109" i="7"/>
  <c r="CO40" i="7"/>
  <c r="CB40" i="7"/>
  <c r="CX40" i="7"/>
  <c r="CP40" i="7"/>
  <c r="AZ12" i="10"/>
  <c r="AZ17" i="10"/>
  <c r="AZ13" i="10"/>
  <c r="AZ15" i="10"/>
  <c r="AZ14" i="10"/>
  <c r="AL22" i="10"/>
  <c r="B34" i="10"/>
  <c r="L101" i="2"/>
  <c r="L97" i="2"/>
  <c r="L99" i="2"/>
  <c r="L98" i="2"/>
  <c r="L102" i="2"/>
  <c r="L100" i="2"/>
  <c r="CR40" i="7"/>
  <c r="CT40" i="7"/>
  <c r="CF109" i="7"/>
  <c r="CL109" i="7"/>
  <c r="CD109" i="7"/>
  <c r="CS109" i="7"/>
  <c r="CQ109" i="7"/>
  <c r="CS40" i="7"/>
  <c r="CQ40" i="7"/>
  <c r="CE109" i="7"/>
  <c r="CR109" i="7"/>
  <c r="CK109" i="7"/>
  <c r="CG109" i="7"/>
  <c r="CT109" i="7"/>
  <c r="DM60" i="5"/>
  <c r="CC60" i="5"/>
  <c r="DO60" i="5"/>
  <c r="CE60" i="5"/>
  <c r="DL60" i="5"/>
  <c r="CB60" i="5"/>
  <c r="DN60" i="5"/>
  <c r="CD60" i="5"/>
  <c r="AU77" i="16"/>
  <c r="AS77" i="16"/>
  <c r="AL77" i="16"/>
  <c r="AU78" i="16"/>
  <c r="AS78" i="16"/>
  <c r="AL78" i="16"/>
  <c r="AM77" i="16"/>
  <c r="AT77" i="16"/>
  <c r="AR77" i="16"/>
  <c r="AK77" i="16"/>
  <c r="AK78" i="16"/>
  <c r="AT78" i="16"/>
  <c r="AR78" i="16"/>
  <c r="AM78" i="16"/>
  <c r="AL62" i="16"/>
  <c r="AU62" i="16"/>
  <c r="AS62" i="16"/>
  <c r="AR62" i="16"/>
  <c r="AM62" i="16"/>
  <c r="AK62" i="16"/>
  <c r="AT62" i="16"/>
  <c r="CD40" i="7"/>
  <c r="CF40" i="7"/>
  <c r="CL40" i="7"/>
  <c r="CE40" i="7"/>
  <c r="CK40" i="7"/>
  <c r="CG40" i="7"/>
  <c r="CH40" i="7" l="1"/>
  <c r="CI40" i="7"/>
  <c r="CC40" i="7"/>
  <c r="CI109" i="7"/>
  <c r="CH109" i="7"/>
  <c r="S77" i="16"/>
  <c r="S78" i="16"/>
  <c r="S62" i="16"/>
  <c r="CW109" i="7"/>
  <c r="CV109" i="7"/>
  <c r="CJ109" i="7"/>
  <c r="CU109" i="7"/>
  <c r="CU40" i="7"/>
  <c r="AM60" i="5"/>
  <c r="CJ40" i="7"/>
  <c r="CV40" i="7"/>
  <c r="CW40" i="7"/>
  <c r="CD179" i="17"/>
  <c r="CF21" i="4" l="1"/>
  <c r="CD21" i="4"/>
  <c r="CP21" i="4"/>
  <c r="CR21" i="4"/>
  <c r="AZ109" i="7"/>
  <c r="AZ40" i="7"/>
  <c r="CD163" i="17"/>
  <c r="CB163" i="17"/>
  <c r="CB179" i="17"/>
  <c r="CE163" i="17"/>
  <c r="CC163" i="17"/>
  <c r="CE179" i="17"/>
  <c r="CC179" i="17"/>
  <c r="DT179" i="17"/>
  <c r="DR179" i="17"/>
  <c r="DS179" i="17"/>
  <c r="DQ179" i="17"/>
  <c r="DS163" i="17"/>
  <c r="DQ163" i="17"/>
  <c r="DT163" i="17"/>
  <c r="DR163" i="17"/>
  <c r="H30" i="17"/>
  <c r="H27" i="17"/>
  <c r="G27" i="17"/>
  <c r="H24" i="17"/>
  <c r="G24" i="17"/>
  <c r="H21" i="17"/>
  <c r="H18" i="17"/>
  <c r="G18" i="17"/>
  <c r="H15" i="17"/>
  <c r="I39" i="17"/>
  <c r="DQ12" i="17" s="1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D39" i="17"/>
  <c r="AG39" i="17"/>
  <c r="AH39" i="17"/>
  <c r="AI39" i="17"/>
  <c r="DD12" i="17" s="1"/>
  <c r="AJ39" i="17"/>
  <c r="DE12" i="17" s="1"/>
  <c r="AK39" i="17"/>
  <c r="AL39" i="17"/>
  <c r="DG12" i="17" s="1"/>
  <c r="AL37" i="17"/>
  <c r="AK37" i="17"/>
  <c r="AJ37" i="17"/>
  <c r="AI37" i="17"/>
  <c r="AH37" i="17"/>
  <c r="AG37" i="17"/>
  <c r="AD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AL30" i="17"/>
  <c r="AK30" i="17"/>
  <c r="AJ30" i="17"/>
  <c r="AI30" i="17"/>
  <c r="AH30" i="17"/>
  <c r="AG30" i="17"/>
  <c r="AD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AL27" i="17"/>
  <c r="AK27" i="17"/>
  <c r="AJ27" i="17"/>
  <c r="AI27" i="17"/>
  <c r="AH27" i="17"/>
  <c r="AG27" i="17"/>
  <c r="AD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AK24" i="17"/>
  <c r="AJ24" i="17"/>
  <c r="AI24" i="17"/>
  <c r="AH24" i="17"/>
  <c r="AG24" i="17"/>
  <c r="AD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AL21" i="17"/>
  <c r="AK21" i="17"/>
  <c r="AJ21" i="17"/>
  <c r="AI21" i="17"/>
  <c r="AH21" i="17"/>
  <c r="AG21" i="17"/>
  <c r="AD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AL18" i="17"/>
  <c r="AK18" i="17"/>
  <c r="AJ18" i="17"/>
  <c r="AI18" i="17"/>
  <c r="AH18" i="17"/>
  <c r="AG18" i="17"/>
  <c r="AD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AL15" i="17"/>
  <c r="AK15" i="17"/>
  <c r="AI15" i="17"/>
  <c r="AH15" i="17"/>
  <c r="CE134" i="17" s="1"/>
  <c r="AD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CD42" i="4" l="1"/>
  <c r="CF42" i="4"/>
  <c r="CP42" i="4"/>
  <c r="CR42" i="4"/>
  <c r="CC42" i="4"/>
  <c r="CE42" i="4"/>
  <c r="CO42" i="4"/>
  <c r="CQ42" i="4"/>
  <c r="DF12" i="17"/>
  <c r="EV12" i="17"/>
  <c r="DA12" i="17"/>
  <c r="EP12" i="17"/>
  <c r="CW12" i="17"/>
  <c r="EL12" i="17"/>
  <c r="CO12" i="17"/>
  <c r="ED12" i="17"/>
  <c r="CG12" i="17"/>
  <c r="DV12" i="17"/>
  <c r="CU12" i="17"/>
  <c r="EJ12" i="17"/>
  <c r="CM12" i="17"/>
  <c r="EB12" i="17"/>
  <c r="CE12" i="17"/>
  <c r="DT12" i="17"/>
  <c r="CH12" i="17"/>
  <c r="DW12" i="17"/>
  <c r="CD12" i="17"/>
  <c r="DS12" i="17"/>
  <c r="CZ12" i="17"/>
  <c r="EO12" i="17"/>
  <c r="CP12" i="17"/>
  <c r="EE12" i="17"/>
  <c r="CV12" i="17"/>
  <c r="EK12" i="17"/>
  <c r="CN12" i="17"/>
  <c r="EC12" i="17"/>
  <c r="CL12" i="17"/>
  <c r="EA12" i="17"/>
  <c r="CS12" i="17"/>
  <c r="EH12" i="17"/>
  <c r="CK12" i="17"/>
  <c r="DZ12" i="17"/>
  <c r="CC12" i="17"/>
  <c r="DR12" i="17"/>
  <c r="CT12" i="17"/>
  <c r="EI12" i="17"/>
  <c r="CR12" i="17"/>
  <c r="EG12" i="17"/>
  <c r="CJ12" i="17"/>
  <c r="DY12" i="17"/>
  <c r="CF12" i="17"/>
  <c r="DU12" i="17"/>
  <c r="CQ12" i="17"/>
  <c r="EF12" i="17"/>
  <c r="CI12" i="17"/>
  <c r="DX12" i="17"/>
  <c r="CB12" i="17"/>
  <c r="CL53" i="17"/>
  <c r="CN53" i="17"/>
  <c r="EC53" i="17"/>
  <c r="EA53" i="17"/>
  <c r="EU12" i="17"/>
  <c r="E18" i="17"/>
  <c r="E21" i="17"/>
  <c r="E15" i="17"/>
  <c r="E37" i="17"/>
  <c r="F37" i="17"/>
  <c r="E39" i="17"/>
  <c r="F24" i="17"/>
  <c r="F27" i="17"/>
  <c r="F39" i="17"/>
  <c r="E24" i="17"/>
  <c r="E30" i="17"/>
  <c r="F15" i="17"/>
  <c r="E27" i="17"/>
  <c r="F18" i="17"/>
  <c r="F30" i="17"/>
  <c r="F21" i="17"/>
  <c r="AM12" i="17" l="1"/>
  <c r="AW179" i="17"/>
  <c r="D30" i="17"/>
  <c r="AW163" i="17"/>
  <c r="D39" i="17"/>
  <c r="CD27" i="2" l="1"/>
  <c r="CC27" i="2"/>
  <c r="CD19" i="2"/>
  <c r="CC19" i="2"/>
  <c r="CD29" i="2"/>
  <c r="CC29" i="2"/>
  <c r="CD30" i="2"/>
  <c r="CC30" i="2"/>
  <c r="CC28" i="2"/>
  <c r="CD28" i="2"/>
  <c r="CB27" i="2"/>
  <c r="CR27" i="2"/>
  <c r="CE27" i="2"/>
  <c r="CQ27" i="2"/>
  <c r="CF27" i="2"/>
  <c r="CQ19" i="2"/>
  <c r="CR19" i="2"/>
  <c r="CQ29" i="2"/>
  <c r="CF29" i="2"/>
  <c r="CR29" i="2"/>
  <c r="CB29" i="2"/>
  <c r="CE29" i="2"/>
  <c r="CQ30" i="2"/>
  <c r="CB30" i="2"/>
  <c r="CF30" i="2"/>
  <c r="CE30" i="2"/>
  <c r="CR30" i="2"/>
  <c r="CB28" i="2"/>
  <c r="CE28" i="2"/>
  <c r="CF28" i="2"/>
  <c r="CQ28" i="2"/>
  <c r="CR28" i="2"/>
  <c r="CH30" i="2"/>
  <c r="CI30" i="2"/>
  <c r="CH19" i="2"/>
  <c r="CB19" i="2"/>
  <c r="CE19" i="2"/>
  <c r="CI19" i="2"/>
  <c r="CF19" i="2"/>
  <c r="CH29" i="2"/>
  <c r="CI29" i="2"/>
  <c r="CH27" i="2"/>
  <c r="CI27" i="2"/>
  <c r="CH28" i="2"/>
  <c r="CI28" i="2"/>
  <c r="CV19" i="2"/>
  <c r="CT19" i="2"/>
  <c r="CW19" i="2"/>
  <c r="CP19" i="2"/>
  <c r="CS19" i="2"/>
  <c r="CW29" i="2"/>
  <c r="CP29" i="2"/>
  <c r="CV29" i="2"/>
  <c r="CS29" i="2"/>
  <c r="CT29" i="2"/>
  <c r="CT27" i="2"/>
  <c r="CV27" i="2"/>
  <c r="CW27" i="2"/>
  <c r="CS27" i="2"/>
  <c r="CP27" i="2"/>
  <c r="CP30" i="2"/>
  <c r="CW30" i="2"/>
  <c r="CS30" i="2"/>
  <c r="CT30" i="2"/>
  <c r="CV30" i="2"/>
  <c r="CV28" i="2"/>
  <c r="CW28" i="2"/>
  <c r="CP28" i="2"/>
  <c r="CS28" i="2"/>
  <c r="CT28" i="2"/>
  <c r="CD188" i="17"/>
  <c r="CD187" i="17"/>
  <c r="CD161" i="17"/>
  <c r="CD186" i="17"/>
  <c r="CD185" i="17"/>
  <c r="CD152" i="17"/>
  <c r="CD151" i="17"/>
  <c r="CD150" i="17"/>
  <c r="CD149" i="17"/>
  <c r="CD148" i="17"/>
  <c r="CD164" i="17"/>
  <c r="CD159" i="17"/>
  <c r="AB38" i="6"/>
  <c r="AA38" i="6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AH213" i="17"/>
  <c r="G213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AH206" i="17"/>
  <c r="G206" i="17"/>
  <c r="CC26" i="2" l="1"/>
  <c r="CD26" i="2"/>
  <c r="Z29" i="2"/>
  <c r="Z30" i="2"/>
  <c r="CB26" i="2"/>
  <c r="CR26" i="2"/>
  <c r="CQ26" i="2"/>
  <c r="Z19" i="2"/>
  <c r="Z28" i="2"/>
  <c r="Z27" i="2"/>
  <c r="CH26" i="2"/>
  <c r="CI26" i="2"/>
  <c r="CF208" i="17"/>
  <c r="CD208" i="17"/>
  <c r="CB208" i="17"/>
  <c r="CH208" i="17"/>
  <c r="CF204" i="17"/>
  <c r="CD204" i="17"/>
  <c r="CB204" i="17"/>
  <c r="CH204" i="17"/>
  <c r="CG211" i="17"/>
  <c r="CE211" i="17"/>
  <c r="CI211" i="17"/>
  <c r="CC211" i="17"/>
  <c r="CG207" i="17"/>
  <c r="CE207" i="17"/>
  <c r="CC207" i="17"/>
  <c r="CI207" i="17"/>
  <c r="CG212" i="17"/>
  <c r="CE212" i="17"/>
  <c r="CI212" i="17"/>
  <c r="CC212" i="17"/>
  <c r="CF211" i="17"/>
  <c r="CD211" i="17"/>
  <c r="CB211" i="17"/>
  <c r="CH211" i="17"/>
  <c r="CF207" i="17"/>
  <c r="CH207" i="17"/>
  <c r="CD207" i="17"/>
  <c r="CB207" i="17"/>
  <c r="CF212" i="17"/>
  <c r="CH212" i="17"/>
  <c r="CD212" i="17"/>
  <c r="CB212" i="17"/>
  <c r="CG208" i="17"/>
  <c r="CI208" i="17"/>
  <c r="CE208" i="17"/>
  <c r="CC208" i="17"/>
  <c r="CG205" i="17"/>
  <c r="CE205" i="17"/>
  <c r="CI205" i="17"/>
  <c r="CC205" i="17"/>
  <c r="CG204" i="17"/>
  <c r="CE204" i="17"/>
  <c r="CI204" i="17"/>
  <c r="CC204" i="17"/>
  <c r="CD205" i="17"/>
  <c r="CF205" i="17"/>
  <c r="CH205" i="17"/>
  <c r="CB205" i="17"/>
  <c r="CG210" i="17"/>
  <c r="CE210" i="17"/>
  <c r="CC210" i="17"/>
  <c r="CI210" i="17"/>
  <c r="CF210" i="17"/>
  <c r="CH210" i="17"/>
  <c r="CD210" i="17"/>
  <c r="CB210" i="17"/>
  <c r="CG214" i="17"/>
  <c r="CE214" i="17"/>
  <c r="CC214" i="17"/>
  <c r="CI214" i="17"/>
  <c r="CG209" i="17"/>
  <c r="CI209" i="17"/>
  <c r="CE209" i="17"/>
  <c r="CC209" i="17"/>
  <c r="CF214" i="17"/>
  <c r="CD214" i="17"/>
  <c r="CB214" i="17"/>
  <c r="CH214" i="17"/>
  <c r="CF209" i="17"/>
  <c r="CH209" i="17"/>
  <c r="CD209" i="17"/>
  <c r="CB209" i="17"/>
  <c r="CE26" i="2"/>
  <c r="CS26" i="2"/>
  <c r="CT26" i="2"/>
  <c r="CF26" i="2"/>
  <c r="CV26" i="2"/>
  <c r="CW26" i="2"/>
  <c r="CP26" i="2"/>
  <c r="CB161" i="17"/>
  <c r="CB164" i="17"/>
  <c r="CB150" i="17"/>
  <c r="CB185" i="17"/>
  <c r="CB187" i="17"/>
  <c r="CB152" i="17"/>
  <c r="CB149" i="17"/>
  <c r="CB148" i="17"/>
  <c r="CB151" i="17"/>
  <c r="CB186" i="17"/>
  <c r="CB188" i="17"/>
  <c r="CB159" i="17"/>
  <c r="CE152" i="17"/>
  <c r="CC152" i="17"/>
  <c r="CE149" i="17"/>
  <c r="CC149" i="17"/>
  <c r="CE150" i="17"/>
  <c r="CC150" i="17"/>
  <c r="CE187" i="17"/>
  <c r="CC187" i="17"/>
  <c r="CE161" i="17"/>
  <c r="CC161" i="17"/>
  <c r="CE185" i="17"/>
  <c r="CC185" i="17"/>
  <c r="CC159" i="17"/>
  <c r="CE159" i="17"/>
  <c r="CE164" i="17"/>
  <c r="CC164" i="17"/>
  <c r="CE148" i="17"/>
  <c r="CC148" i="17"/>
  <c r="CE151" i="17"/>
  <c r="CC151" i="17"/>
  <c r="CE186" i="17"/>
  <c r="CC186" i="17"/>
  <c r="CE188" i="17"/>
  <c r="CC188" i="17"/>
  <c r="DR164" i="17"/>
  <c r="DT164" i="17"/>
  <c r="DT209" i="17"/>
  <c r="DV209" i="17"/>
  <c r="DX209" i="17"/>
  <c r="DR209" i="17"/>
  <c r="DS148" i="17"/>
  <c r="DQ148" i="17"/>
  <c r="DQ152" i="17"/>
  <c r="DS152" i="17"/>
  <c r="DS187" i="17"/>
  <c r="DQ187" i="17"/>
  <c r="DW214" i="17"/>
  <c r="DU214" i="17"/>
  <c r="DS214" i="17"/>
  <c r="DQ214" i="17"/>
  <c r="DW209" i="17"/>
  <c r="DU209" i="17"/>
  <c r="DS209" i="17"/>
  <c r="DQ209" i="17"/>
  <c r="DR148" i="17"/>
  <c r="DT148" i="17"/>
  <c r="DT152" i="17"/>
  <c r="DR152" i="17"/>
  <c r="DT187" i="17"/>
  <c r="DR187" i="17"/>
  <c r="DX210" i="17"/>
  <c r="DV210" i="17"/>
  <c r="DT210" i="17"/>
  <c r="DR210" i="17"/>
  <c r="DS164" i="17"/>
  <c r="DQ164" i="17"/>
  <c r="DT161" i="17"/>
  <c r="DR161" i="17"/>
  <c r="DS149" i="17"/>
  <c r="DQ149" i="17"/>
  <c r="DS185" i="17"/>
  <c r="DQ185" i="17"/>
  <c r="DS188" i="17"/>
  <c r="DQ188" i="17"/>
  <c r="DS151" i="17"/>
  <c r="DQ151" i="17"/>
  <c r="DW210" i="17"/>
  <c r="DU210" i="17"/>
  <c r="DS210" i="17"/>
  <c r="DQ210" i="17"/>
  <c r="DX208" i="17"/>
  <c r="DV208" i="17"/>
  <c r="DT208" i="17"/>
  <c r="DR208" i="17"/>
  <c r="DT149" i="17"/>
  <c r="DR149" i="17"/>
  <c r="DT185" i="17"/>
  <c r="DR185" i="17"/>
  <c r="DT188" i="17"/>
  <c r="DR188" i="17"/>
  <c r="DT151" i="17"/>
  <c r="DR151" i="17"/>
  <c r="DW208" i="17"/>
  <c r="DU208" i="17"/>
  <c r="DS208" i="17"/>
  <c r="DQ208" i="17"/>
  <c r="DW204" i="17"/>
  <c r="DU204" i="17"/>
  <c r="DS204" i="17"/>
  <c r="DQ204" i="17"/>
  <c r="DX207" i="17"/>
  <c r="DV207" i="17"/>
  <c r="DT207" i="17"/>
  <c r="DR207" i="17"/>
  <c r="DS159" i="17"/>
  <c r="DQ159" i="17"/>
  <c r="DS150" i="17"/>
  <c r="DQ150" i="17"/>
  <c r="DQ186" i="17"/>
  <c r="DS186" i="17"/>
  <c r="DQ205" i="17"/>
  <c r="DS205" i="17"/>
  <c r="DU205" i="17"/>
  <c r="DW205" i="17"/>
  <c r="DS161" i="17"/>
  <c r="DQ161" i="17"/>
  <c r="DX205" i="17"/>
  <c r="DV205" i="17"/>
  <c r="DT205" i="17"/>
  <c r="DR205" i="17"/>
  <c r="DX214" i="17"/>
  <c r="DV214" i="17"/>
  <c r="DT214" i="17"/>
  <c r="DR214" i="17"/>
  <c r="DX212" i="17"/>
  <c r="DV212" i="17"/>
  <c r="DT212" i="17"/>
  <c r="DR212" i="17"/>
  <c r="DW212" i="17"/>
  <c r="DU212" i="17"/>
  <c r="DS212" i="17"/>
  <c r="DQ212" i="17"/>
  <c r="DX211" i="17"/>
  <c r="DT211" i="17"/>
  <c r="DR211" i="17"/>
  <c r="DV211" i="17"/>
  <c r="DX204" i="17"/>
  <c r="DV204" i="17"/>
  <c r="DT204" i="17"/>
  <c r="DR204" i="17"/>
  <c r="DW211" i="17"/>
  <c r="DU211" i="17"/>
  <c r="DS211" i="17"/>
  <c r="DQ211" i="17"/>
  <c r="DW207" i="17"/>
  <c r="DQ207" i="17"/>
  <c r="DU207" i="17"/>
  <c r="DS207" i="17"/>
  <c r="DT159" i="17"/>
  <c r="DR159" i="17"/>
  <c r="DR150" i="17"/>
  <c r="DT150" i="17"/>
  <c r="DT186" i="17"/>
  <c r="DR186" i="17"/>
  <c r="E206" i="17"/>
  <c r="F213" i="17"/>
  <c r="E213" i="17"/>
  <c r="F206" i="17"/>
  <c r="CE43" i="4" l="1"/>
  <c r="CC43" i="4"/>
  <c r="CO43" i="4"/>
  <c r="CQ43" i="4"/>
  <c r="CE41" i="4"/>
  <c r="CC41" i="4"/>
  <c r="CO41" i="4"/>
  <c r="CQ41" i="4"/>
  <c r="CE40" i="4"/>
  <c r="CC40" i="4"/>
  <c r="CQ40" i="4"/>
  <c r="CO40" i="4"/>
  <c r="CF43" i="4"/>
  <c r="CD43" i="4"/>
  <c r="CP43" i="4"/>
  <c r="CR43" i="4"/>
  <c r="CD41" i="4"/>
  <c r="CF41" i="4"/>
  <c r="CP41" i="4"/>
  <c r="CR41" i="4"/>
  <c r="CF40" i="4"/>
  <c r="CD40" i="4"/>
  <c r="CP40" i="4"/>
  <c r="CR40" i="4"/>
  <c r="Z26" i="2"/>
  <c r="AI214" i="17"/>
  <c r="AI209" i="17"/>
  <c r="AI210" i="17"/>
  <c r="AI205" i="17"/>
  <c r="AI212" i="17"/>
  <c r="AI204" i="17"/>
  <c r="AI208" i="17"/>
  <c r="AI211" i="17"/>
  <c r="AI207" i="17"/>
  <c r="CB203" i="17"/>
  <c r="CI203" i="17"/>
  <c r="D206" i="17"/>
  <c r="D213" i="17"/>
  <c r="CD169" i="17"/>
  <c r="CD170" i="17"/>
  <c r="CD171" i="17"/>
  <c r="CD168" i="17"/>
  <c r="CD172" i="17"/>
  <c r="CD162" i="17"/>
  <c r="CD167" i="17"/>
  <c r="CD166" i="17"/>
  <c r="CD174" i="17"/>
  <c r="CD180" i="17"/>
  <c r="CD173" i="17"/>
  <c r="CD177" i="17"/>
  <c r="CD178" i="17"/>
  <c r="CD154" i="17"/>
  <c r="CD153" i="17"/>
  <c r="CD181" i="17"/>
  <c r="CD155" i="17"/>
  <c r="CD182" i="17"/>
  <c r="CD156" i="17"/>
  <c r="CD183" i="17"/>
  <c r="CD184" i="17"/>
  <c r="CD157" i="17"/>
  <c r="CD158" i="17"/>
  <c r="CD165" i="17"/>
  <c r="CD160" i="17"/>
  <c r="CD189" i="17"/>
  <c r="CD176" i="17"/>
  <c r="CD190" i="17"/>
  <c r="CD175" i="17"/>
  <c r="CC146" i="17"/>
  <c r="CB146" i="17"/>
  <c r="CD146" i="17" l="1"/>
  <c r="CH203" i="17"/>
  <c r="CF203" i="17"/>
  <c r="CD203" i="17"/>
  <c r="CG203" i="17"/>
  <c r="CC203" i="17"/>
  <c r="DT203" i="17"/>
  <c r="CE203" i="17"/>
  <c r="DW203" i="17"/>
  <c r="DS203" i="17"/>
  <c r="DQ203" i="17"/>
  <c r="DR203" i="17"/>
  <c r="CB156" i="17"/>
  <c r="CB167" i="17"/>
  <c r="CB168" i="17"/>
  <c r="CB169" i="17"/>
  <c r="CB176" i="17"/>
  <c r="CB181" i="17"/>
  <c r="CB189" i="17"/>
  <c r="CB178" i="17"/>
  <c r="CB165" i="17"/>
  <c r="CB182" i="17"/>
  <c r="CB153" i="17"/>
  <c r="CB177" i="17"/>
  <c r="CB174" i="17"/>
  <c r="CB162" i="17"/>
  <c r="CB171" i="17"/>
  <c r="CB180" i="17"/>
  <c r="CB184" i="17"/>
  <c r="CB175" i="17"/>
  <c r="CB157" i="17"/>
  <c r="CB160" i="17"/>
  <c r="CB190" i="17"/>
  <c r="CB158" i="17"/>
  <c r="CB183" i="17"/>
  <c r="CB155" i="17"/>
  <c r="CB154" i="17"/>
  <c r="CB173" i="17"/>
  <c r="CB166" i="17"/>
  <c r="CB172" i="17"/>
  <c r="CB170" i="17"/>
  <c r="CE156" i="17"/>
  <c r="CC156" i="17"/>
  <c r="CE167" i="17"/>
  <c r="CC167" i="17"/>
  <c r="CE175" i="17"/>
  <c r="CC175" i="17"/>
  <c r="CE157" i="17"/>
  <c r="CC157" i="17"/>
  <c r="CE180" i="17"/>
  <c r="CC180" i="17"/>
  <c r="CE160" i="17"/>
  <c r="CC160" i="17"/>
  <c r="CC153" i="17"/>
  <c r="CE153" i="17"/>
  <c r="CE162" i="17"/>
  <c r="CC162" i="17"/>
  <c r="CE146" i="17"/>
  <c r="CE190" i="17"/>
  <c r="CC190" i="17"/>
  <c r="CE181" i="17"/>
  <c r="CC181" i="17"/>
  <c r="CE168" i="17"/>
  <c r="CC168" i="17"/>
  <c r="CC165" i="17"/>
  <c r="CE165" i="17"/>
  <c r="CC182" i="17"/>
  <c r="CE182" i="17"/>
  <c r="CE174" i="17"/>
  <c r="CC174" i="17"/>
  <c r="CE158" i="17"/>
  <c r="CC158" i="17"/>
  <c r="CE155" i="17"/>
  <c r="CC155" i="17"/>
  <c r="CE173" i="17"/>
  <c r="CC173" i="17"/>
  <c r="CE172" i="17"/>
  <c r="CC172" i="17"/>
  <c r="CE176" i="17"/>
  <c r="CC176" i="17"/>
  <c r="CE178" i="17"/>
  <c r="CC178" i="17"/>
  <c r="CE169" i="17"/>
  <c r="CC169" i="17"/>
  <c r="CE184" i="17"/>
  <c r="CC184" i="17"/>
  <c r="CC177" i="17"/>
  <c r="CE177" i="17"/>
  <c r="CC171" i="17"/>
  <c r="CE171" i="17"/>
  <c r="CC183" i="17"/>
  <c r="CE183" i="17"/>
  <c r="CE154" i="17"/>
  <c r="CC154" i="17"/>
  <c r="CE166" i="17"/>
  <c r="CC166" i="17"/>
  <c r="CE170" i="17"/>
  <c r="CC170" i="17"/>
  <c r="CC189" i="17"/>
  <c r="CE189" i="17"/>
  <c r="DS183" i="17"/>
  <c r="DQ183" i="17"/>
  <c r="DT190" i="17"/>
  <c r="DR190" i="17"/>
  <c r="DT156" i="17"/>
  <c r="DR156" i="17"/>
  <c r="DT176" i="17"/>
  <c r="DR176" i="17"/>
  <c r="DS158" i="17"/>
  <c r="DQ158" i="17"/>
  <c r="DS173" i="17"/>
  <c r="DQ173" i="17"/>
  <c r="DX203" i="17"/>
  <c r="DV203" i="17"/>
  <c r="DS175" i="17"/>
  <c r="DQ175" i="17"/>
  <c r="DT157" i="17"/>
  <c r="DR157" i="17"/>
  <c r="DR182" i="17"/>
  <c r="DT182" i="17"/>
  <c r="DT154" i="17"/>
  <c r="DR154" i="17"/>
  <c r="DR180" i="17"/>
  <c r="DT180" i="17"/>
  <c r="DT162" i="17"/>
  <c r="DR162" i="17"/>
  <c r="DT170" i="17"/>
  <c r="DR170" i="17"/>
  <c r="DT160" i="17"/>
  <c r="DR160" i="17"/>
  <c r="DU203" i="17"/>
  <c r="DS165" i="17"/>
  <c r="DQ165" i="17"/>
  <c r="DQ168" i="17"/>
  <c r="DS168" i="17"/>
  <c r="DT167" i="17"/>
  <c r="DR167" i="17"/>
  <c r="DS153" i="17"/>
  <c r="DQ153" i="17"/>
  <c r="DS171" i="17"/>
  <c r="DQ171" i="17"/>
  <c r="DS157" i="17"/>
  <c r="DQ157" i="17"/>
  <c r="DS180" i="17"/>
  <c r="DQ180" i="17"/>
  <c r="DQ170" i="17"/>
  <c r="DS170" i="17"/>
  <c r="DT165" i="17"/>
  <c r="DR165" i="17"/>
  <c r="DS166" i="17"/>
  <c r="DQ166" i="17"/>
  <c r="DT153" i="17"/>
  <c r="DR153" i="17"/>
  <c r="DT171" i="17"/>
  <c r="DR171" i="17"/>
  <c r="DT189" i="17"/>
  <c r="DR189" i="17"/>
  <c r="DQ162" i="17"/>
  <c r="DS162" i="17"/>
  <c r="DT155" i="17"/>
  <c r="DR155" i="17"/>
  <c r="DT178" i="17"/>
  <c r="DR178" i="17"/>
  <c r="DT174" i="17"/>
  <c r="DR174" i="17"/>
  <c r="DR172" i="17"/>
  <c r="DT172" i="17"/>
  <c r="DT169" i="17"/>
  <c r="DR169" i="17"/>
  <c r="DS177" i="17"/>
  <c r="DQ177" i="17"/>
  <c r="DT173" i="17"/>
  <c r="DR173" i="17"/>
  <c r="DS182" i="17"/>
  <c r="DQ182" i="17"/>
  <c r="DT184" i="17"/>
  <c r="DR184" i="17"/>
  <c r="DS155" i="17"/>
  <c r="DQ155" i="17"/>
  <c r="DS178" i="17"/>
  <c r="DQ178" i="17"/>
  <c r="DS174" i="17"/>
  <c r="DQ174" i="17"/>
  <c r="DS172" i="17"/>
  <c r="DQ172" i="17"/>
  <c r="DS169" i="17"/>
  <c r="DQ169" i="17"/>
  <c r="DS181" i="17"/>
  <c r="DQ181" i="17"/>
  <c r="DR158" i="17"/>
  <c r="DT158" i="17"/>
  <c r="DS156" i="17"/>
  <c r="DQ156" i="17"/>
  <c r="DS167" i="17"/>
  <c r="DQ167" i="17"/>
  <c r="DS190" i="17"/>
  <c r="DQ190" i="17"/>
  <c r="DQ154" i="17"/>
  <c r="DS154" i="17"/>
  <c r="DS176" i="17"/>
  <c r="DQ176" i="17"/>
  <c r="DS189" i="17"/>
  <c r="DQ189" i="17"/>
  <c r="DQ184" i="17"/>
  <c r="DS184" i="17"/>
  <c r="DQ160" i="17"/>
  <c r="DS160" i="17"/>
  <c r="DT183" i="17"/>
  <c r="DR183" i="17"/>
  <c r="DT181" i="17"/>
  <c r="DR181" i="17"/>
  <c r="DT177" i="17"/>
  <c r="DR177" i="17"/>
  <c r="DR166" i="17"/>
  <c r="DT166" i="17"/>
  <c r="DT168" i="17"/>
  <c r="DR168" i="17"/>
  <c r="DT175" i="17"/>
  <c r="DR175" i="17"/>
  <c r="DR146" i="17"/>
  <c r="DT146" i="17"/>
  <c r="DS146" i="17"/>
  <c r="DQ146" i="17"/>
  <c r="AW185" i="17"/>
  <c r="AW149" i="17"/>
  <c r="AW151" i="17"/>
  <c r="AW187" i="17"/>
  <c r="AW150" i="17"/>
  <c r="AW186" i="17"/>
  <c r="AW188" i="17"/>
  <c r="AW161" i="17"/>
  <c r="AW148" i="17"/>
  <c r="AW152" i="17"/>
  <c r="AW164" i="17"/>
  <c r="AW159" i="17"/>
  <c r="AW146" i="17" l="1"/>
  <c r="AI203" i="17"/>
  <c r="G195" i="17"/>
  <c r="E195" i="17" s="1"/>
  <c r="CB196" i="17"/>
  <c r="F195" i="17"/>
  <c r="CH196" i="17" l="1"/>
  <c r="CB198" i="17"/>
  <c r="CH198" i="17"/>
  <c r="CI197" i="17"/>
  <c r="CC197" i="17"/>
  <c r="CI196" i="17"/>
  <c r="CC196" i="17"/>
  <c r="CH197" i="17"/>
  <c r="CB197" i="17"/>
  <c r="CI198" i="17"/>
  <c r="CC198" i="17"/>
  <c r="CE196" i="17"/>
  <c r="CD198" i="17"/>
  <c r="CD197" i="17"/>
  <c r="CE198" i="17"/>
  <c r="CE197" i="17"/>
  <c r="CD196" i="17"/>
  <c r="DT195" i="17"/>
  <c r="DR195" i="17"/>
  <c r="DS197" i="17"/>
  <c r="DQ197" i="17"/>
  <c r="DS196" i="17"/>
  <c r="DQ196" i="17"/>
  <c r="DT197" i="17"/>
  <c r="DR197" i="17"/>
  <c r="DT198" i="17"/>
  <c r="DR198" i="17"/>
  <c r="DT196" i="17"/>
  <c r="DR196" i="17"/>
  <c r="DS198" i="17"/>
  <c r="DQ198" i="17"/>
  <c r="DS195" i="17"/>
  <c r="DQ195" i="17"/>
  <c r="AW173" i="17"/>
  <c r="AW182" i="17"/>
  <c r="AW158" i="17"/>
  <c r="AW171" i="17"/>
  <c r="AW184" i="17"/>
  <c r="AW156" i="17"/>
  <c r="AW174" i="17"/>
  <c r="AW189" i="17"/>
  <c r="AW190" i="17"/>
  <c r="AW178" i="17"/>
  <c r="AW154" i="17"/>
  <c r="AW181" i="17"/>
  <c r="AW172" i="17"/>
  <c r="AW169" i="17"/>
  <c r="AW162" i="17"/>
  <c r="AW155" i="17"/>
  <c r="AW177" i="17"/>
  <c r="AW168" i="17"/>
  <c r="AW170" i="17"/>
  <c r="AW157" i="17"/>
  <c r="AW153" i="17"/>
  <c r="AW180" i="17"/>
  <c r="AW166" i="17"/>
  <c r="AW167" i="17"/>
  <c r="AW160" i="17"/>
  <c r="AW175" i="17"/>
  <c r="AW176" i="17"/>
  <c r="AW183" i="17"/>
  <c r="AW165" i="17"/>
  <c r="D195" i="17"/>
  <c r="Q59" i="17"/>
  <c r="T64" i="17"/>
  <c r="Q64" i="17"/>
  <c r="G73" i="17"/>
  <c r="G64" i="17"/>
  <c r="G59" i="17"/>
  <c r="G56" i="17"/>
  <c r="P52" i="17"/>
  <c r="O52" i="17"/>
  <c r="N52" i="17"/>
  <c r="M52" i="17"/>
  <c r="L52" i="17"/>
  <c r="K52" i="17"/>
  <c r="J52" i="17"/>
  <c r="I52" i="17"/>
  <c r="H52" i="17"/>
  <c r="G52" i="17"/>
  <c r="P49" i="17"/>
  <c r="O49" i="17"/>
  <c r="N49" i="17"/>
  <c r="M49" i="17"/>
  <c r="L49" i="17"/>
  <c r="K49" i="17"/>
  <c r="J49" i="17"/>
  <c r="I49" i="17"/>
  <c r="H49" i="17"/>
  <c r="G49" i="17"/>
  <c r="ED46" i="17"/>
  <c r="EA46" i="17"/>
  <c r="CE105" i="17"/>
  <c r="CD85" i="17"/>
  <c r="CB35" i="2"/>
  <c r="CH36" i="2" l="1"/>
  <c r="CQ36" i="2"/>
  <c r="CR36" i="2"/>
  <c r="CC36" i="2"/>
  <c r="CD36" i="2"/>
  <c r="CH37" i="2"/>
  <c r="CQ37" i="2"/>
  <c r="CR37" i="2"/>
  <c r="CC37" i="2"/>
  <c r="CD37" i="2"/>
  <c r="CD16" i="2"/>
  <c r="CC16" i="2"/>
  <c r="CD17" i="2"/>
  <c r="CC17" i="2"/>
  <c r="CD18" i="2"/>
  <c r="CC18" i="2"/>
  <c r="CH38" i="2"/>
  <c r="CC38" i="2"/>
  <c r="CD38" i="2"/>
  <c r="CQ38" i="2"/>
  <c r="CR38" i="2"/>
  <c r="CH39" i="2"/>
  <c r="CQ39" i="2"/>
  <c r="CR39" i="2"/>
  <c r="CC39" i="2"/>
  <c r="CD39" i="2"/>
  <c r="CC22" i="2"/>
  <c r="CD22" i="2"/>
  <c r="CC23" i="2"/>
  <c r="CD23" i="2"/>
  <c r="CC15" i="2"/>
  <c r="CD15" i="2"/>
  <c r="CC21" i="2"/>
  <c r="CD21" i="2"/>
  <c r="CC12" i="2"/>
  <c r="CD12" i="2"/>
  <c r="CC13" i="2"/>
  <c r="CD13" i="2"/>
  <c r="CC14" i="2"/>
  <c r="CD14" i="2"/>
  <c r="CH40" i="2"/>
  <c r="CQ40" i="2"/>
  <c r="CR40" i="2"/>
  <c r="CC40" i="2"/>
  <c r="CD40" i="2"/>
  <c r="ED45" i="17"/>
  <c r="CO45" i="17"/>
  <c r="EB45" i="17"/>
  <c r="CM45" i="17"/>
  <c r="CB45" i="17"/>
  <c r="DQ45" i="17"/>
  <c r="EA45" i="17"/>
  <c r="CN45" i="17"/>
  <c r="CL45" i="17"/>
  <c r="DR110" i="17"/>
  <c r="CE109" i="17"/>
  <c r="CF109" i="17"/>
  <c r="CG109" i="17"/>
  <c r="CD109" i="17"/>
  <c r="CH35" i="2"/>
  <c r="CW35" i="2"/>
  <c r="CV35" i="2"/>
  <c r="CT35" i="2"/>
  <c r="CS35" i="2"/>
  <c r="CR35" i="2"/>
  <c r="CQ35" i="2"/>
  <c r="CQ16" i="2"/>
  <c r="CR16" i="2"/>
  <c r="CR15" i="2"/>
  <c r="CQ15" i="2"/>
  <c r="CQ12" i="2"/>
  <c r="CR12" i="2"/>
  <c r="CQ22" i="2"/>
  <c r="CR22" i="2"/>
  <c r="CR17" i="2"/>
  <c r="CQ17" i="2"/>
  <c r="CQ18" i="2"/>
  <c r="CR18" i="2"/>
  <c r="CR13" i="2"/>
  <c r="CQ13" i="2"/>
  <c r="CR23" i="2"/>
  <c r="CQ23" i="2"/>
  <c r="CR14" i="2"/>
  <c r="CQ14" i="2"/>
  <c r="CQ21" i="2"/>
  <c r="CS21" i="2"/>
  <c r="CR21" i="2"/>
  <c r="CH17" i="2"/>
  <c r="CB17" i="2"/>
  <c r="CE17" i="2"/>
  <c r="CI17" i="2"/>
  <c r="CF17" i="2"/>
  <c r="CI12" i="2"/>
  <c r="CB12" i="2"/>
  <c r="CE12" i="2"/>
  <c r="CF12" i="2"/>
  <c r="CH22" i="2"/>
  <c r="CE22" i="2"/>
  <c r="CF22" i="2"/>
  <c r="CB22" i="2"/>
  <c r="CI22" i="2"/>
  <c r="CH13" i="2"/>
  <c r="CB13" i="2"/>
  <c r="CE13" i="2"/>
  <c r="CF13" i="2"/>
  <c r="CI13" i="2"/>
  <c r="CE23" i="2"/>
  <c r="CB23" i="2"/>
  <c r="CI23" i="2"/>
  <c r="CH16" i="2"/>
  <c r="CB16" i="2"/>
  <c r="CI16" i="2"/>
  <c r="CE16" i="2"/>
  <c r="CF16" i="2"/>
  <c r="CH18" i="2"/>
  <c r="CI18" i="2"/>
  <c r="CE18" i="2"/>
  <c r="CF18" i="2"/>
  <c r="CB18" i="2"/>
  <c r="CH14" i="2"/>
  <c r="CB14" i="2"/>
  <c r="CE14" i="2"/>
  <c r="CF14" i="2"/>
  <c r="CI14" i="2"/>
  <c r="CH15" i="2"/>
  <c r="CB15" i="2"/>
  <c r="CI15" i="2"/>
  <c r="CE15" i="2"/>
  <c r="CF15" i="2"/>
  <c r="CG21" i="2"/>
  <c r="CE21" i="2"/>
  <c r="CI21" i="2"/>
  <c r="CB21" i="2"/>
  <c r="CH12" i="2"/>
  <c r="CH21" i="2"/>
  <c r="CH23" i="2"/>
  <c r="CQ70" i="4"/>
  <c r="CC70" i="4"/>
  <c r="CE70" i="4"/>
  <c r="CO70" i="4"/>
  <c r="CB38" i="2"/>
  <c r="CS38" i="2"/>
  <c r="CE38" i="2"/>
  <c r="CU38" i="2"/>
  <c r="CG38" i="2"/>
  <c r="CV38" i="2"/>
  <c r="CW38" i="2"/>
  <c r="CI38" i="2"/>
  <c r="CP38" i="2"/>
  <c r="CE39" i="2"/>
  <c r="CT39" i="2"/>
  <c r="CF39" i="2"/>
  <c r="CS39" i="2"/>
  <c r="CV39" i="2"/>
  <c r="CW39" i="2"/>
  <c r="CI39" i="2"/>
  <c r="CP39" i="2"/>
  <c r="CB39" i="2"/>
  <c r="CW40" i="2"/>
  <c r="CI40" i="2"/>
  <c r="CP40" i="2"/>
  <c r="CV40" i="2"/>
  <c r="CB40" i="2"/>
  <c r="CS40" i="2"/>
  <c r="CE40" i="2"/>
  <c r="CT40" i="2"/>
  <c r="CF40" i="2"/>
  <c r="CG36" i="2"/>
  <c r="CV36" i="2"/>
  <c r="CU36" i="2"/>
  <c r="CW36" i="2"/>
  <c r="CI36" i="2"/>
  <c r="CP36" i="2"/>
  <c r="CB36" i="2"/>
  <c r="CS36" i="2"/>
  <c r="CE36" i="2"/>
  <c r="CI35" i="2"/>
  <c r="CP35" i="2"/>
  <c r="CF35" i="2"/>
  <c r="CE35" i="2"/>
  <c r="CI37" i="2"/>
  <c r="CW37" i="2"/>
  <c r="CP37" i="2"/>
  <c r="CB37" i="2"/>
  <c r="CS37" i="2"/>
  <c r="CE37" i="2"/>
  <c r="CT37" i="2"/>
  <c r="CF37" i="2"/>
  <c r="CV37" i="2"/>
  <c r="CL74" i="17"/>
  <c r="CN74" i="17"/>
  <c r="CO66" i="17"/>
  <c r="CM66" i="17"/>
  <c r="CM46" i="17"/>
  <c r="CO46" i="17"/>
  <c r="CM57" i="17"/>
  <c r="CO57" i="17"/>
  <c r="CM67" i="17"/>
  <c r="CO67" i="17"/>
  <c r="CL55" i="17"/>
  <c r="CN55" i="17"/>
  <c r="CN66" i="17"/>
  <c r="CL66" i="17"/>
  <c r="CM47" i="17"/>
  <c r="CO47" i="17"/>
  <c r="CM58" i="17"/>
  <c r="CO58" i="17"/>
  <c r="CM68" i="17"/>
  <c r="CO68" i="17"/>
  <c r="CN50" i="17"/>
  <c r="CL50" i="17"/>
  <c r="CO48" i="17"/>
  <c r="CM48" i="17"/>
  <c r="CO60" i="17"/>
  <c r="CM60" i="17"/>
  <c r="CO69" i="17"/>
  <c r="CM69" i="17"/>
  <c r="CN54" i="17"/>
  <c r="CL54" i="17"/>
  <c r="CL68" i="17"/>
  <c r="CN68" i="17"/>
  <c r="CO74" i="17"/>
  <c r="CM74" i="17"/>
  <c r="CM62" i="17"/>
  <c r="CO62" i="17"/>
  <c r="CN51" i="17"/>
  <c r="CL51" i="17"/>
  <c r="CO55" i="17"/>
  <c r="CM55" i="17"/>
  <c r="CN65" i="17"/>
  <c r="CL65" i="17"/>
  <c r="CL57" i="17"/>
  <c r="U57" i="17" s="1"/>
  <c r="CN57" i="17"/>
  <c r="CL67" i="17"/>
  <c r="CN67" i="17"/>
  <c r="CL46" i="17"/>
  <c r="CN46" i="17"/>
  <c r="CL58" i="17"/>
  <c r="CN58" i="17"/>
  <c r="CM50" i="17"/>
  <c r="CO50" i="17"/>
  <c r="CM61" i="17"/>
  <c r="CO61" i="17"/>
  <c r="CL47" i="17"/>
  <c r="CN47" i="17"/>
  <c r="CN60" i="17"/>
  <c r="CL60" i="17"/>
  <c r="CN69" i="17"/>
  <c r="CL69" i="17"/>
  <c r="CM51" i="17"/>
  <c r="CO51" i="17"/>
  <c r="CM72" i="17"/>
  <c r="CO72" i="17"/>
  <c r="CL48" i="17"/>
  <c r="CN48" i="17"/>
  <c r="CN61" i="17"/>
  <c r="CL61" i="17"/>
  <c r="CN70" i="17"/>
  <c r="CL70" i="17"/>
  <c r="CO53" i="17"/>
  <c r="CM53" i="17"/>
  <c r="CO63" i="17"/>
  <c r="CM63" i="17"/>
  <c r="CM70" i="17"/>
  <c r="CO70" i="17"/>
  <c r="CL63" i="17"/>
  <c r="CN63" i="17"/>
  <c r="CN62" i="17"/>
  <c r="CL62" i="17"/>
  <c r="CN72" i="17"/>
  <c r="CL72" i="17"/>
  <c r="CO54" i="17"/>
  <c r="CM54" i="17"/>
  <c r="CO65" i="17"/>
  <c r="CM65" i="17"/>
  <c r="CP15" i="2"/>
  <c r="CS15" i="2"/>
  <c r="CT15" i="2"/>
  <c r="CV15" i="2"/>
  <c r="CW15" i="2"/>
  <c r="CP14" i="2"/>
  <c r="CS14" i="2"/>
  <c r="CT14" i="2"/>
  <c r="CV14" i="2"/>
  <c r="CW14" i="2"/>
  <c r="CS16" i="2"/>
  <c r="CT16" i="2"/>
  <c r="CV16" i="2"/>
  <c r="CP16" i="2"/>
  <c r="CW16" i="2"/>
  <c r="CS17" i="2"/>
  <c r="CT17" i="2"/>
  <c r="CV17" i="2"/>
  <c r="CW17" i="2"/>
  <c r="CP17" i="2"/>
  <c r="CT18" i="2"/>
  <c r="CV18" i="2"/>
  <c r="CW18" i="2"/>
  <c r="CP18" i="2"/>
  <c r="CS18" i="2"/>
  <c r="CW21" i="2"/>
  <c r="CP21" i="2"/>
  <c r="CU21" i="2"/>
  <c r="CV21" i="2"/>
  <c r="CP22" i="2"/>
  <c r="CS22" i="2"/>
  <c r="CT22" i="2"/>
  <c r="CW22" i="2"/>
  <c r="CV22" i="2"/>
  <c r="CV12" i="2"/>
  <c r="CW12" i="2"/>
  <c r="CP12" i="2"/>
  <c r="CS12" i="2"/>
  <c r="CT12" i="2"/>
  <c r="CW13" i="2"/>
  <c r="CP13" i="2"/>
  <c r="CV13" i="2"/>
  <c r="CS13" i="2"/>
  <c r="CT13" i="2"/>
  <c r="CP23" i="2"/>
  <c r="CG23" i="2"/>
  <c r="CS23" i="2"/>
  <c r="CU23" i="2"/>
  <c r="CV23" i="2"/>
  <c r="CW23" i="2"/>
  <c r="CD98" i="17"/>
  <c r="CE98" i="17"/>
  <c r="CD95" i="17"/>
  <c r="I95" i="17" s="1"/>
  <c r="CE95" i="17"/>
  <c r="CE99" i="17"/>
  <c r="CD99" i="17"/>
  <c r="I99" i="17" s="1"/>
  <c r="CD84" i="17"/>
  <c r="CE84" i="17"/>
  <c r="CE89" i="17"/>
  <c r="CD89" i="17"/>
  <c r="CD100" i="17"/>
  <c r="I100" i="17" s="1"/>
  <c r="CE100" i="17"/>
  <c r="CD80" i="17"/>
  <c r="CE80" i="17"/>
  <c r="CD91" i="17"/>
  <c r="CE91" i="17"/>
  <c r="CD86" i="17"/>
  <c r="CE86" i="17"/>
  <c r="CE92" i="17"/>
  <c r="CD92" i="17"/>
  <c r="CE102" i="17"/>
  <c r="CD102" i="17"/>
  <c r="I102" i="17" s="1"/>
  <c r="CE94" i="17"/>
  <c r="CD94" i="17"/>
  <c r="CE82" i="17"/>
  <c r="CD82" i="17"/>
  <c r="CD93" i="17"/>
  <c r="I93" i="17" s="1"/>
  <c r="CE93" i="17"/>
  <c r="CE85" i="17"/>
  <c r="I85" i="17" s="1"/>
  <c r="CD105" i="17"/>
  <c r="I105" i="17" s="1"/>
  <c r="CD81" i="17"/>
  <c r="CE81" i="17"/>
  <c r="CE88" i="17"/>
  <c r="CD88" i="17"/>
  <c r="CE87" i="17"/>
  <c r="CD87" i="17"/>
  <c r="CD79" i="17"/>
  <c r="CE79" i="17"/>
  <c r="CD101" i="17"/>
  <c r="CE101" i="17"/>
  <c r="EC66" i="17"/>
  <c r="EA66" i="17"/>
  <c r="EA57" i="17"/>
  <c r="EC57" i="17"/>
  <c r="ED69" i="17"/>
  <c r="EB69" i="17"/>
  <c r="EC46" i="17"/>
  <c r="ED61" i="17"/>
  <c r="EB61" i="17"/>
  <c r="EB74" i="17"/>
  <c r="ED74" i="17"/>
  <c r="EA47" i="17"/>
  <c r="EC47" i="17"/>
  <c r="EA60" i="17"/>
  <c r="EC60" i="17"/>
  <c r="EA69" i="17"/>
  <c r="EC69" i="17"/>
  <c r="ED51" i="17"/>
  <c r="EB51" i="17"/>
  <c r="ED62" i="17"/>
  <c r="EB62" i="17"/>
  <c r="ED72" i="17"/>
  <c r="EB72" i="17"/>
  <c r="ED47" i="17"/>
  <c r="EB47" i="17"/>
  <c r="ED60" i="17"/>
  <c r="EB60" i="17"/>
  <c r="EC58" i="17"/>
  <c r="EA58" i="17"/>
  <c r="EA61" i="17"/>
  <c r="EC61" i="17"/>
  <c r="EA67" i="17"/>
  <c r="EC67" i="17"/>
  <c r="ED50" i="17"/>
  <c r="EB50" i="17"/>
  <c r="EA70" i="17"/>
  <c r="EC70" i="17"/>
  <c r="ED70" i="17"/>
  <c r="EB70" i="17"/>
  <c r="EA62" i="17"/>
  <c r="EC62" i="17"/>
  <c r="EA72" i="17"/>
  <c r="EC72" i="17"/>
  <c r="ED54" i="17"/>
  <c r="EB54" i="17"/>
  <c r="ED65" i="17"/>
  <c r="EB65" i="17"/>
  <c r="ED58" i="17"/>
  <c r="EB58" i="17"/>
  <c r="EA50" i="17"/>
  <c r="EC50" i="17"/>
  <c r="ED48" i="17"/>
  <c r="EB48" i="17"/>
  <c r="EA48" i="17"/>
  <c r="EC48" i="17"/>
  <c r="ED53" i="17"/>
  <c r="EB53" i="17"/>
  <c r="ED63" i="17"/>
  <c r="EB63" i="17"/>
  <c r="EA51" i="17"/>
  <c r="EC51" i="17"/>
  <c r="EA63" i="17"/>
  <c r="EC63" i="17"/>
  <c r="EA74" i="17"/>
  <c r="EC74" i="17"/>
  <c r="ED55" i="17"/>
  <c r="EB55" i="17"/>
  <c r="ED66" i="17"/>
  <c r="EB66" i="17"/>
  <c r="EA55" i="17"/>
  <c r="EC55" i="17"/>
  <c r="EA54" i="17"/>
  <c r="EC54" i="17"/>
  <c r="EA65" i="17"/>
  <c r="EC65" i="17"/>
  <c r="EB46" i="17"/>
  <c r="ED57" i="17"/>
  <c r="EB57" i="17"/>
  <c r="ED67" i="17"/>
  <c r="EB67" i="17"/>
  <c r="ED68" i="17"/>
  <c r="EB68" i="17"/>
  <c r="EC45" i="17"/>
  <c r="EA68" i="17"/>
  <c r="EC68" i="17"/>
  <c r="DS82" i="17"/>
  <c r="DV82" i="17"/>
  <c r="DU82" i="17"/>
  <c r="DT82" i="17"/>
  <c r="DS90" i="17"/>
  <c r="DV90" i="17"/>
  <c r="DT90" i="17"/>
  <c r="DU90" i="17"/>
  <c r="DU97" i="17"/>
  <c r="DS97" i="17"/>
  <c r="DT97" i="17"/>
  <c r="DV97" i="17"/>
  <c r="DU104" i="17"/>
  <c r="DV104" i="17"/>
  <c r="DT104" i="17"/>
  <c r="DS104" i="17"/>
  <c r="DU94" i="17"/>
  <c r="DV94" i="17"/>
  <c r="DT94" i="17"/>
  <c r="DS94" i="17"/>
  <c r="DU80" i="17"/>
  <c r="DT80" i="17"/>
  <c r="DS80" i="17"/>
  <c r="DV80" i="17"/>
  <c r="DU81" i="17"/>
  <c r="DV81" i="17"/>
  <c r="DT81" i="17"/>
  <c r="DS81" i="17"/>
  <c r="DS96" i="17"/>
  <c r="DV96" i="17"/>
  <c r="DU96" i="17"/>
  <c r="DT96" i="17"/>
  <c r="DU103" i="17"/>
  <c r="DS103" i="17"/>
  <c r="DT103" i="17"/>
  <c r="DV103" i="17"/>
  <c r="DU83" i="17"/>
  <c r="DT83" i="17"/>
  <c r="DS83" i="17"/>
  <c r="DV83" i="17"/>
  <c r="DU92" i="17"/>
  <c r="DT92" i="17"/>
  <c r="DS92" i="17"/>
  <c r="DV92" i="17"/>
  <c r="DV99" i="17"/>
  <c r="DU99" i="17"/>
  <c r="DT99" i="17"/>
  <c r="DS99" i="17"/>
  <c r="DU110" i="17"/>
  <c r="DT110" i="17"/>
  <c r="DS110" i="17"/>
  <c r="DU85" i="17"/>
  <c r="DV85" i="17"/>
  <c r="DT85" i="17"/>
  <c r="DS85" i="17"/>
  <c r="DS100" i="17"/>
  <c r="DV100" i="17"/>
  <c r="DU100" i="17"/>
  <c r="DT100" i="17"/>
  <c r="DS106" i="17"/>
  <c r="DV106" i="17"/>
  <c r="DT106" i="17"/>
  <c r="DU106" i="17"/>
  <c r="DV95" i="17"/>
  <c r="DU95" i="17"/>
  <c r="DT95" i="17"/>
  <c r="DS95" i="17"/>
  <c r="DU93" i="17"/>
  <c r="DT93" i="17"/>
  <c r="DS93" i="17"/>
  <c r="DV93" i="17"/>
  <c r="DS89" i="17"/>
  <c r="DU89" i="17"/>
  <c r="DV89" i="17"/>
  <c r="DT89" i="17"/>
  <c r="DS88" i="17"/>
  <c r="DV88" i="17"/>
  <c r="DU88" i="17"/>
  <c r="DT88" i="17"/>
  <c r="DV87" i="17"/>
  <c r="DU87" i="17"/>
  <c r="DT87" i="17"/>
  <c r="DS87" i="17"/>
  <c r="DS86" i="17"/>
  <c r="DU86" i="17"/>
  <c r="DV86" i="17"/>
  <c r="DT86" i="17"/>
  <c r="DV102" i="17"/>
  <c r="DU102" i="17"/>
  <c r="DT102" i="17"/>
  <c r="DS102" i="17"/>
  <c r="DV101" i="17"/>
  <c r="DU101" i="17"/>
  <c r="DT101" i="17"/>
  <c r="DS101" i="17"/>
  <c r="E52" i="17"/>
  <c r="F52" i="17"/>
  <c r="E49" i="17"/>
  <c r="F49" i="17"/>
  <c r="CH131" i="17"/>
  <c r="N131" i="17" s="1"/>
  <c r="I88" i="17" l="1"/>
  <c r="I82" i="17"/>
  <c r="I89" i="17"/>
  <c r="U72" i="17"/>
  <c r="U60" i="17"/>
  <c r="I101" i="17"/>
  <c r="I81" i="17"/>
  <c r="I91" i="17"/>
  <c r="I84" i="17"/>
  <c r="U47" i="17"/>
  <c r="U46" i="17"/>
  <c r="U68" i="17"/>
  <c r="U70" i="17"/>
  <c r="U66" i="17"/>
  <c r="U65" i="17"/>
  <c r="U54" i="17"/>
  <c r="U50" i="17"/>
  <c r="P109" i="17"/>
  <c r="I86" i="17"/>
  <c r="U48" i="17"/>
  <c r="U74" i="17"/>
  <c r="I94" i="17"/>
  <c r="U62" i="17"/>
  <c r="U53" i="17"/>
  <c r="U58" i="17"/>
  <c r="I98" i="17"/>
  <c r="U51" i="17"/>
  <c r="I79" i="17"/>
  <c r="I80" i="17"/>
  <c r="U63" i="17"/>
  <c r="U67" i="17"/>
  <c r="I87" i="17"/>
  <c r="I92" i="17"/>
  <c r="U61" i="17"/>
  <c r="U69" i="17"/>
  <c r="U55" i="17"/>
  <c r="Z14" i="2"/>
  <c r="Z35" i="2"/>
  <c r="Z23" i="2"/>
  <c r="Z21" i="2"/>
  <c r="Z15" i="2"/>
  <c r="Z18" i="2"/>
  <c r="Z22" i="2"/>
  <c r="Z16" i="2"/>
  <c r="Z12" i="2"/>
  <c r="Z13" i="2"/>
  <c r="Z17" i="2"/>
  <c r="Z36" i="2"/>
  <c r="Z39" i="2"/>
  <c r="Z40" i="2"/>
  <c r="Z37" i="2"/>
  <c r="Z38" i="2"/>
  <c r="AW197" i="17"/>
  <c r="AW198" i="17"/>
  <c r="AW196" i="17"/>
  <c r="H43" i="16"/>
  <c r="G15" i="6"/>
  <c r="G21" i="6" s="1"/>
  <c r="G38" i="6"/>
  <c r="CX106" i="7"/>
  <c r="CY110" i="7"/>
  <c r="CY100" i="7"/>
  <c r="CY99" i="7"/>
  <c r="CY94" i="7"/>
  <c r="CY95" i="7"/>
  <c r="CY85" i="7"/>
  <c r="CY84" i="7"/>
  <c r="CO99" i="7" l="1"/>
  <c r="CB99" i="7"/>
  <c r="CX99" i="7"/>
  <c r="CO110" i="7"/>
  <c r="CC110" i="7"/>
  <c r="CB110" i="7"/>
  <c r="CX110" i="7"/>
  <c r="CP110" i="7"/>
  <c r="CX84" i="7"/>
  <c r="CC84" i="7"/>
  <c r="CP84" i="7"/>
  <c r="CO84" i="7"/>
  <c r="CB84" i="7"/>
  <c r="CC85" i="7"/>
  <c r="CB85" i="7"/>
  <c r="CO85" i="7"/>
  <c r="CX85" i="7"/>
  <c r="CP85" i="7"/>
  <c r="CX100" i="7"/>
  <c r="CO100" i="7"/>
  <c r="CB100" i="7"/>
  <c r="CP90" i="7"/>
  <c r="CX90" i="7"/>
  <c r="CC90" i="7"/>
  <c r="CC94" i="7"/>
  <c r="CX94" i="7"/>
  <c r="CP94" i="7"/>
  <c r="CO94" i="7"/>
  <c r="CB94" i="7"/>
  <c r="CC95" i="7"/>
  <c r="CP95" i="7"/>
  <c r="CX95" i="7"/>
  <c r="CO95" i="7"/>
  <c r="CB95" i="7"/>
  <c r="CQ75" i="7"/>
  <c r="CY75" i="7"/>
  <c r="CP75" i="7"/>
  <c r="CC75" i="7"/>
  <c r="CO75" i="7"/>
  <c r="CX75" i="7"/>
  <c r="CB75" i="7"/>
  <c r="CS48" i="6"/>
  <c r="CU48" i="6"/>
  <c r="CD48" i="6"/>
  <c r="CQ48" i="6"/>
  <c r="CH48" i="6"/>
  <c r="CF48" i="6"/>
  <c r="BC13" i="18"/>
  <c r="BB13" i="18"/>
  <c r="BK13" i="18"/>
  <c r="BJ13" i="18"/>
  <c r="CT95" i="7"/>
  <c r="CR95" i="7"/>
  <c r="CK95" i="7"/>
  <c r="CG95" i="7"/>
  <c r="CE95" i="7"/>
  <c r="CK100" i="7"/>
  <c r="CT100" i="7"/>
  <c r="CG100" i="7"/>
  <c r="CR100" i="7"/>
  <c r="CE100" i="7"/>
  <c r="CQ99" i="7"/>
  <c r="CF99" i="7"/>
  <c r="CD99" i="7"/>
  <c r="CL99" i="7"/>
  <c r="CS99" i="7"/>
  <c r="CS75" i="7"/>
  <c r="CF75" i="7"/>
  <c r="CL75" i="7"/>
  <c r="CD75" i="7"/>
  <c r="CK106" i="7"/>
  <c r="CE106" i="7"/>
  <c r="CR106" i="7"/>
  <c r="CG106" i="7"/>
  <c r="CT106" i="7"/>
  <c r="CR99" i="7"/>
  <c r="CG99" i="7"/>
  <c r="CE99" i="7"/>
  <c r="CT99" i="7"/>
  <c r="CK99" i="7"/>
  <c r="CQ110" i="7"/>
  <c r="CF110" i="7"/>
  <c r="CS110" i="7"/>
  <c r="CD110" i="7"/>
  <c r="CL110" i="7"/>
  <c r="CR84" i="7"/>
  <c r="CK84" i="7"/>
  <c r="CG84" i="7"/>
  <c r="CT84" i="7"/>
  <c r="CE84" i="7"/>
  <c r="CR110" i="7"/>
  <c r="CG110" i="7"/>
  <c r="CK110" i="7"/>
  <c r="CE110" i="7"/>
  <c r="CT110" i="7"/>
  <c r="CL85" i="7"/>
  <c r="CS85" i="7"/>
  <c r="CD85" i="7"/>
  <c r="CQ85" i="7"/>
  <c r="CF85" i="7"/>
  <c r="CT85" i="7"/>
  <c r="CR85" i="7"/>
  <c r="CE85" i="7"/>
  <c r="CK85" i="7"/>
  <c r="CG85" i="7"/>
  <c r="CR75" i="7"/>
  <c r="CT75" i="7"/>
  <c r="CG75" i="7"/>
  <c r="CE75" i="7"/>
  <c r="CK75" i="7"/>
  <c r="CS95" i="7"/>
  <c r="CL95" i="7"/>
  <c r="CF95" i="7"/>
  <c r="CD95" i="7"/>
  <c r="CQ95" i="7"/>
  <c r="CE90" i="7"/>
  <c r="CR90" i="7"/>
  <c r="CK90" i="7"/>
  <c r="CT90" i="7"/>
  <c r="CG90" i="7"/>
  <c r="CQ100" i="7"/>
  <c r="CL100" i="7"/>
  <c r="CF100" i="7"/>
  <c r="CD100" i="7"/>
  <c r="CS100" i="7"/>
  <c r="CF84" i="7"/>
  <c r="CQ84" i="7"/>
  <c r="CD84" i="7"/>
  <c r="CS84" i="7"/>
  <c r="CL84" i="7"/>
  <c r="CQ94" i="7"/>
  <c r="CF94" i="7"/>
  <c r="CS94" i="7"/>
  <c r="CD94" i="7"/>
  <c r="CL94" i="7"/>
  <c r="CR94" i="7"/>
  <c r="CG94" i="7"/>
  <c r="CK94" i="7"/>
  <c r="CE94" i="7"/>
  <c r="CT94" i="7"/>
  <c r="BD27" i="18"/>
  <c r="BE27" i="18"/>
  <c r="BJ27" i="18"/>
  <c r="BK27" i="18"/>
  <c r="BL27" i="18"/>
  <c r="BM27" i="18"/>
  <c r="BB27" i="18"/>
  <c r="BC27" i="18"/>
  <c r="CE30" i="5"/>
  <c r="CC30" i="5"/>
  <c r="CC32" i="5"/>
  <c r="CE32" i="5"/>
  <c r="DQ32" i="5"/>
  <c r="DQ30" i="5"/>
  <c r="CY23" i="7"/>
  <c r="CY22" i="7"/>
  <c r="CX13" i="7"/>
  <c r="CY48" i="7"/>
  <c r="CY38" i="7"/>
  <c r="CY37" i="7"/>
  <c r="CY33" i="7"/>
  <c r="CY32" i="7"/>
  <c r="CC69" i="7"/>
  <c r="CB69" i="7"/>
  <c r="AN67" i="16"/>
  <c r="AN66" i="16"/>
  <c r="AN65" i="16"/>
  <c r="AN64" i="16"/>
  <c r="AN63" i="16"/>
  <c r="AN61" i="16"/>
  <c r="AN60" i="16"/>
  <c r="AN58" i="16"/>
  <c r="L43" i="16"/>
  <c r="K43" i="16"/>
  <c r="N43" i="16"/>
  <c r="O43" i="16"/>
  <c r="R43" i="16"/>
  <c r="Q43" i="16"/>
  <c r="CE58" i="4"/>
  <c r="CB13" i="5"/>
  <c r="CC28" i="5"/>
  <c r="CE60" i="4"/>
  <c r="CP32" i="7" l="1"/>
  <c r="CO32" i="7"/>
  <c r="CB32" i="7"/>
  <c r="CX32" i="7"/>
  <c r="CX39" i="7"/>
  <c r="CP39" i="7"/>
  <c r="CO39" i="7"/>
  <c r="CB39" i="7"/>
  <c r="CX48" i="7"/>
  <c r="CO48" i="7"/>
  <c r="CB48" i="7"/>
  <c r="CP48" i="7"/>
  <c r="CH100" i="7"/>
  <c r="CI100" i="7"/>
  <c r="CH95" i="7"/>
  <c r="CI95" i="7"/>
  <c r="AZ95" i="7" s="1"/>
  <c r="CI110" i="7"/>
  <c r="CH110" i="7"/>
  <c r="CP33" i="7"/>
  <c r="CB33" i="7"/>
  <c r="CO33" i="7"/>
  <c r="CX33" i="7"/>
  <c r="CI94" i="7"/>
  <c r="CH94" i="7"/>
  <c r="CX22" i="7"/>
  <c r="CP22" i="7"/>
  <c r="CO22" i="7"/>
  <c r="CB22" i="7"/>
  <c r="CO37" i="7"/>
  <c r="CB37" i="7"/>
  <c r="CX37" i="7"/>
  <c r="CP23" i="7"/>
  <c r="CO23" i="7"/>
  <c r="CB23" i="7"/>
  <c r="CX23" i="7"/>
  <c r="CO38" i="7"/>
  <c r="CB38" i="7"/>
  <c r="CX38" i="7"/>
  <c r="CQ16" i="4"/>
  <c r="CO16" i="4"/>
  <c r="CO17" i="4"/>
  <c r="CQ17" i="4"/>
  <c r="CF37" i="4"/>
  <c r="CD37" i="4"/>
  <c r="CP37" i="4"/>
  <c r="CR37" i="4"/>
  <c r="CR17" i="4"/>
  <c r="CP17" i="4"/>
  <c r="CC22" i="4"/>
  <c r="CE22" i="4"/>
  <c r="CQ22" i="4"/>
  <c r="CO22" i="4"/>
  <c r="CR16" i="4"/>
  <c r="CP16" i="4"/>
  <c r="CO19" i="4"/>
  <c r="CQ19" i="4"/>
  <c r="CQ13" i="4"/>
  <c r="CO13" i="4"/>
  <c r="CD19" i="4"/>
  <c r="CR19" i="4"/>
  <c r="CP19" i="4"/>
  <c r="CC21" i="4"/>
  <c r="AT21" i="4" s="1"/>
  <c r="CE21" i="4"/>
  <c r="CQ21" i="4"/>
  <c r="CO21" i="4"/>
  <c r="CY13" i="7"/>
  <c r="CL13" i="7"/>
  <c r="CH56" i="6"/>
  <c r="CQ56" i="6"/>
  <c r="CS56" i="6"/>
  <c r="CF56" i="6"/>
  <c r="CD56" i="6"/>
  <c r="CU56" i="6"/>
  <c r="CS57" i="6"/>
  <c r="CH57" i="6"/>
  <c r="CQ57" i="6"/>
  <c r="CF57" i="6"/>
  <c r="CU57" i="6"/>
  <c r="CD57" i="6"/>
  <c r="CE35" i="6"/>
  <c r="CT35" i="6"/>
  <c r="CG35" i="6"/>
  <c r="CP35" i="6"/>
  <c r="CR35" i="6"/>
  <c r="CC35" i="6"/>
  <c r="CP36" i="6"/>
  <c r="CT36" i="6"/>
  <c r="CC36" i="6"/>
  <c r="CR36" i="6"/>
  <c r="CE36" i="6"/>
  <c r="CG36" i="6"/>
  <c r="CE37" i="6"/>
  <c r="CT37" i="6"/>
  <c r="CC37" i="6"/>
  <c r="CG37" i="6"/>
  <c r="CR37" i="6"/>
  <c r="CP37" i="6"/>
  <c r="CD35" i="6"/>
  <c r="CS35" i="6"/>
  <c r="CF35" i="6"/>
  <c r="CU35" i="6"/>
  <c r="CH35" i="6"/>
  <c r="CQ35" i="6"/>
  <c r="CH36" i="6"/>
  <c r="CU36" i="6"/>
  <c r="CQ36" i="6"/>
  <c r="CF36" i="6"/>
  <c r="CD36" i="6"/>
  <c r="CS36" i="6"/>
  <c r="CD37" i="6"/>
  <c r="CS37" i="6"/>
  <c r="CF37" i="6"/>
  <c r="CU37" i="6"/>
  <c r="CH37" i="6"/>
  <c r="CQ37" i="6"/>
  <c r="CQ18" i="6"/>
  <c r="CH18" i="6"/>
  <c r="CD18" i="6"/>
  <c r="CS18" i="6"/>
  <c r="CU18" i="6"/>
  <c r="CF18" i="6"/>
  <c r="CS19" i="6"/>
  <c r="CH19" i="6"/>
  <c r="CD19" i="6"/>
  <c r="CF19" i="6"/>
  <c r="CU19" i="6"/>
  <c r="CQ19" i="6"/>
  <c r="CR19" i="6"/>
  <c r="CT19" i="6"/>
  <c r="CC19" i="6"/>
  <c r="CE19" i="6"/>
  <c r="CG19" i="6"/>
  <c r="CP19" i="6"/>
  <c r="CP18" i="6"/>
  <c r="CG18" i="6"/>
  <c r="CR18" i="6"/>
  <c r="CT18" i="6"/>
  <c r="CC18" i="6"/>
  <c r="CE18" i="6"/>
  <c r="CS14" i="6"/>
  <c r="CQ14" i="6"/>
  <c r="CH14" i="6"/>
  <c r="CU14" i="6"/>
  <c r="CD14" i="6"/>
  <c r="CF14" i="6"/>
  <c r="CP14" i="6"/>
  <c r="CC14" i="6"/>
  <c r="CR14" i="6"/>
  <c r="CT14" i="6"/>
  <c r="CE14" i="6"/>
  <c r="CG14" i="6"/>
  <c r="V27" i="18"/>
  <c r="T13" i="18"/>
  <c r="CB13" i="7"/>
  <c r="CP13" i="7"/>
  <c r="CO13" i="7"/>
  <c r="CK13" i="7"/>
  <c r="CQ54" i="6"/>
  <c r="CS54" i="6"/>
  <c r="CU54" i="6"/>
  <c r="CF55" i="6"/>
  <c r="CD55" i="6"/>
  <c r="CQ55" i="6"/>
  <c r="CU55" i="6"/>
  <c r="CS55" i="6"/>
  <c r="CH55" i="6"/>
  <c r="CT17" i="6"/>
  <c r="CR17" i="6"/>
  <c r="CG17" i="6"/>
  <c r="CC17" i="6"/>
  <c r="CP17" i="6"/>
  <c r="CE17" i="6"/>
  <c r="CS16" i="6"/>
  <c r="CD16" i="6"/>
  <c r="CQ16" i="6"/>
  <c r="CH16" i="6"/>
  <c r="CF16" i="6"/>
  <c r="CU16" i="6"/>
  <c r="CQ17" i="6"/>
  <c r="CF17" i="6"/>
  <c r="CH17" i="6"/>
  <c r="CD17" i="6"/>
  <c r="CS17" i="6"/>
  <c r="CU17" i="6"/>
  <c r="CT16" i="6"/>
  <c r="CP16" i="6"/>
  <c r="CC16" i="6"/>
  <c r="CE16" i="6"/>
  <c r="CG16" i="6"/>
  <c r="CR16" i="6"/>
  <c r="CP13" i="6"/>
  <c r="CG13" i="6"/>
  <c r="CR13" i="6"/>
  <c r="CT13" i="6"/>
  <c r="CE13" i="6"/>
  <c r="CC13" i="6"/>
  <c r="CS13" i="6"/>
  <c r="CF13" i="6"/>
  <c r="CQ13" i="6"/>
  <c r="CD13" i="6"/>
  <c r="CU13" i="6"/>
  <c r="CH13" i="6"/>
  <c r="CR13" i="7"/>
  <c r="CG13" i="7"/>
  <c r="CE13" i="7"/>
  <c r="CF13" i="7"/>
  <c r="CD13" i="7"/>
  <c r="DO28" i="5"/>
  <c r="DL28" i="5"/>
  <c r="DM28" i="5"/>
  <c r="CE28" i="5"/>
  <c r="CC13" i="5"/>
  <c r="CE13" i="5"/>
  <c r="CE66" i="4"/>
  <c r="CC66" i="4"/>
  <c r="CQ66" i="4"/>
  <c r="CO66" i="4"/>
  <c r="CE17" i="4"/>
  <c r="CC17" i="4"/>
  <c r="CD16" i="4"/>
  <c r="CF16" i="4"/>
  <c r="CF17" i="4"/>
  <c r="CD17" i="4"/>
  <c r="CE19" i="4"/>
  <c r="CC19" i="4"/>
  <c r="CC13" i="4"/>
  <c r="CE13" i="4"/>
  <c r="CF19" i="4"/>
  <c r="CQ60" i="4"/>
  <c r="CC60" i="4"/>
  <c r="CO60" i="4"/>
  <c r="CQ77" i="4"/>
  <c r="CO77" i="4"/>
  <c r="CE77" i="4"/>
  <c r="CC77" i="4"/>
  <c r="CQ58" i="4"/>
  <c r="CC58" i="4"/>
  <c r="CO58" i="4"/>
  <c r="CE16" i="4"/>
  <c r="CC16" i="4"/>
  <c r="CT43" i="4"/>
  <c r="CG48" i="7"/>
  <c r="CE48" i="7"/>
  <c r="CV100" i="7"/>
  <c r="CU100" i="7"/>
  <c r="CJ100" i="7"/>
  <c r="CW100" i="7"/>
  <c r="CJ95" i="7"/>
  <c r="CV95" i="7"/>
  <c r="CW95" i="7"/>
  <c r="CU95" i="7"/>
  <c r="CO69" i="7"/>
  <c r="CP69" i="7"/>
  <c r="CU110" i="7"/>
  <c r="CJ110" i="7"/>
  <c r="CW110" i="7"/>
  <c r="CV110" i="7"/>
  <c r="CD48" i="7"/>
  <c r="CF48" i="7"/>
  <c r="CV94" i="7"/>
  <c r="CW94" i="7"/>
  <c r="CU94" i="7"/>
  <c r="CJ94" i="7"/>
  <c r="CB68" i="5"/>
  <c r="DN68" i="5"/>
  <c r="CD68" i="5"/>
  <c r="DL68" i="5"/>
  <c r="CD13" i="5"/>
  <c r="DL13" i="5"/>
  <c r="DN13" i="5"/>
  <c r="DO68" i="5"/>
  <c r="CC68" i="5"/>
  <c r="DM68" i="5"/>
  <c r="CE68" i="5"/>
  <c r="CB80" i="5"/>
  <c r="DN80" i="5"/>
  <c r="CD80" i="5"/>
  <c r="DL80" i="5"/>
  <c r="CC80" i="5"/>
  <c r="DO80" i="5"/>
  <c r="CE80" i="5"/>
  <c r="DM80" i="5"/>
  <c r="CD73" i="5"/>
  <c r="DN73" i="5"/>
  <c r="CB73" i="5"/>
  <c r="DL73" i="5"/>
  <c r="DM13" i="5"/>
  <c r="DO13" i="5"/>
  <c r="CE73" i="5"/>
  <c r="DO73" i="5"/>
  <c r="CC73" i="5"/>
  <c r="DM73" i="5"/>
  <c r="AR66" i="16"/>
  <c r="AM66" i="16"/>
  <c r="AT66" i="16"/>
  <c r="AK66" i="16"/>
  <c r="AU67" i="16"/>
  <c r="AS67" i="16"/>
  <c r="AL67" i="16"/>
  <c r="AK60" i="16"/>
  <c r="AT60" i="16"/>
  <c r="AR60" i="16"/>
  <c r="AM60" i="16"/>
  <c r="AL60" i="16"/>
  <c r="AU60" i="16"/>
  <c r="AS60" i="16"/>
  <c r="AR51" i="16"/>
  <c r="AM51" i="16"/>
  <c r="AK51" i="16"/>
  <c r="AT51" i="16"/>
  <c r="AM61" i="16"/>
  <c r="AT61" i="16"/>
  <c r="AK61" i="16"/>
  <c r="AR61" i="16"/>
  <c r="AL61" i="16"/>
  <c r="AU61" i="16"/>
  <c r="AS61" i="16"/>
  <c r="AR52" i="16"/>
  <c r="AM52" i="16"/>
  <c r="AK52" i="16"/>
  <c r="AT52" i="16"/>
  <c r="AU58" i="16"/>
  <c r="AS58" i="16"/>
  <c r="AL58" i="16"/>
  <c r="S58" i="16" s="1"/>
  <c r="AR63" i="16"/>
  <c r="AM63" i="16"/>
  <c r="AK63" i="16"/>
  <c r="AT63" i="16"/>
  <c r="AS63" i="16"/>
  <c r="AL63" i="16"/>
  <c r="AU63" i="16"/>
  <c r="AK67" i="16"/>
  <c r="AR67" i="16"/>
  <c r="AT67" i="16"/>
  <c r="AM67" i="16"/>
  <c r="AK59" i="16"/>
  <c r="AT59" i="16"/>
  <c r="AR59" i="16"/>
  <c r="AM59" i="16"/>
  <c r="AT64" i="16"/>
  <c r="AR64" i="16"/>
  <c r="AK64" i="16"/>
  <c r="AM64" i="16"/>
  <c r="AS64" i="16"/>
  <c r="AL64" i="16"/>
  <c r="AU64" i="16"/>
  <c r="AU66" i="16"/>
  <c r="AS66" i="16"/>
  <c r="AL66" i="16"/>
  <c r="AT65" i="16"/>
  <c r="AM65" i="16"/>
  <c r="AR65" i="16"/>
  <c r="AK65" i="16"/>
  <c r="AU65" i="16"/>
  <c r="AS65" i="16"/>
  <c r="AL65" i="16"/>
  <c r="CE33" i="7"/>
  <c r="CT33" i="7"/>
  <c r="CK33" i="7"/>
  <c r="CR33" i="7"/>
  <c r="CG33" i="7"/>
  <c r="CT37" i="7"/>
  <c r="CK37" i="7"/>
  <c r="CE37" i="7"/>
  <c r="CG37" i="7"/>
  <c r="CR37" i="7"/>
  <c r="CR38" i="7"/>
  <c r="CT38" i="7"/>
  <c r="CK38" i="7"/>
  <c r="CE38" i="7"/>
  <c r="CG38" i="7"/>
  <c r="CS38" i="7"/>
  <c r="CD38" i="7"/>
  <c r="CL38" i="7"/>
  <c r="CF38" i="7"/>
  <c r="CQ38" i="7"/>
  <c r="CE22" i="7"/>
  <c r="CG22" i="7"/>
  <c r="CT22" i="7"/>
  <c r="CR22" i="7"/>
  <c r="CK22" i="7"/>
  <c r="CR39" i="7"/>
  <c r="CK39" i="7"/>
  <c r="CE39" i="7"/>
  <c r="CT39" i="7"/>
  <c r="CG39" i="7"/>
  <c r="CL48" i="7"/>
  <c r="CS48" i="7"/>
  <c r="CQ48" i="7"/>
  <c r="CE23" i="7"/>
  <c r="CR23" i="7"/>
  <c r="CK23" i="7"/>
  <c r="CG23" i="7"/>
  <c r="CT23" i="7"/>
  <c r="CT48" i="7"/>
  <c r="CR48" i="7"/>
  <c r="CK48" i="7"/>
  <c r="CQ32" i="7"/>
  <c r="CF32" i="7"/>
  <c r="CL32" i="7"/>
  <c r="CD32" i="7"/>
  <c r="CS32" i="7"/>
  <c r="CF22" i="7"/>
  <c r="CD22" i="7"/>
  <c r="CS22" i="7"/>
  <c r="CL22" i="7"/>
  <c r="CQ22" i="7"/>
  <c r="CL33" i="7"/>
  <c r="CD33" i="7"/>
  <c r="CS33" i="7"/>
  <c r="CQ33" i="7"/>
  <c r="CF33" i="7"/>
  <c r="CF23" i="7"/>
  <c r="CD23" i="7"/>
  <c r="CQ23" i="7"/>
  <c r="CL23" i="7"/>
  <c r="CS23" i="7"/>
  <c r="CS37" i="7"/>
  <c r="CD37" i="7"/>
  <c r="CL37" i="7"/>
  <c r="CF37" i="7"/>
  <c r="CQ37" i="7"/>
  <c r="CG32" i="7"/>
  <c r="CE32" i="7"/>
  <c r="CT32" i="7"/>
  <c r="CK32" i="7"/>
  <c r="CR32" i="7"/>
  <c r="CS13" i="7"/>
  <c r="CQ13" i="7"/>
  <c r="CT13" i="7"/>
  <c r="CD54" i="6"/>
  <c r="CH54" i="6"/>
  <c r="CF54" i="6"/>
  <c r="DO42" i="5"/>
  <c r="DO41" i="5"/>
  <c r="DO40" i="5"/>
  <c r="DO39" i="5"/>
  <c r="DO38" i="5"/>
  <c r="DO37" i="5"/>
  <c r="DO35" i="5"/>
  <c r="DO36" i="5"/>
  <c r="DO33" i="5"/>
  <c r="DO29" i="5"/>
  <c r="DO30" i="5"/>
  <c r="DQ28" i="5"/>
  <c r="DO31" i="5"/>
  <c r="DO32" i="5"/>
  <c r="DO34" i="5"/>
  <c r="T38" i="6"/>
  <c r="S38" i="6"/>
  <c r="R38" i="6"/>
  <c r="Q38" i="6"/>
  <c r="N38" i="6"/>
  <c r="M38" i="6"/>
  <c r="L38" i="6"/>
  <c r="K38" i="6"/>
  <c r="X29" i="6"/>
  <c r="W29" i="6"/>
  <c r="V29" i="6"/>
  <c r="U29" i="6"/>
  <c r="T29" i="6"/>
  <c r="S29" i="6"/>
  <c r="R29" i="6"/>
  <c r="Q29" i="6"/>
  <c r="T20" i="6"/>
  <c r="S20" i="6"/>
  <c r="T15" i="6"/>
  <c r="S15" i="6"/>
  <c r="R20" i="6"/>
  <c r="Q20" i="6"/>
  <c r="R15" i="6"/>
  <c r="Q15" i="6"/>
  <c r="N20" i="6"/>
  <c r="M20" i="6"/>
  <c r="N15" i="6"/>
  <c r="M15" i="6"/>
  <c r="P20" i="6"/>
  <c r="O20" i="6"/>
  <c r="P15" i="6"/>
  <c r="O15" i="6"/>
  <c r="AB20" i="6"/>
  <c r="AA20" i="6"/>
  <c r="AB15" i="6"/>
  <c r="AA15" i="6"/>
  <c r="CH32" i="7" l="1"/>
  <c r="CI32" i="7"/>
  <c r="CC32" i="7"/>
  <c r="CH48" i="7"/>
  <c r="CI48" i="7"/>
  <c r="CC48" i="7"/>
  <c r="CI33" i="7"/>
  <c r="CH33" i="7"/>
  <c r="CC33" i="7"/>
  <c r="CH43" i="4"/>
  <c r="AM13" i="5"/>
  <c r="CC13" i="7"/>
  <c r="CH13" i="7"/>
  <c r="CI13" i="7"/>
  <c r="AC56" i="6"/>
  <c r="AC57" i="6"/>
  <c r="AC37" i="6"/>
  <c r="AC35" i="6"/>
  <c r="AC36" i="6"/>
  <c r="AC19" i="6"/>
  <c r="AC18" i="6"/>
  <c r="AC14" i="6"/>
  <c r="AC17" i="6"/>
  <c r="AC16" i="6"/>
  <c r="AC13" i="6"/>
  <c r="AZ94" i="7"/>
  <c r="CJ13" i="7"/>
  <c r="S51" i="16"/>
  <c r="S59" i="16"/>
  <c r="S63" i="16"/>
  <c r="S64" i="16"/>
  <c r="S67" i="16"/>
  <c r="S60" i="16"/>
  <c r="S65" i="16"/>
  <c r="S61" i="16"/>
  <c r="S52" i="16"/>
  <c r="S66" i="16"/>
  <c r="AZ110" i="7"/>
  <c r="S69" i="7"/>
  <c r="AZ100" i="7"/>
  <c r="AM80" i="5"/>
  <c r="AM73" i="5"/>
  <c r="AM68" i="5"/>
  <c r="CV33" i="7"/>
  <c r="CU33" i="7"/>
  <c r="CJ33" i="7"/>
  <c r="CW33" i="7"/>
  <c r="CV48" i="7"/>
  <c r="CU48" i="7"/>
  <c r="CJ48" i="7"/>
  <c r="CW48" i="7"/>
  <c r="CW32" i="7"/>
  <c r="CV32" i="7"/>
  <c r="CU32" i="7"/>
  <c r="CJ32" i="7"/>
  <c r="CW13" i="7"/>
  <c r="CV13" i="7"/>
  <c r="CU13" i="7"/>
  <c r="AC54" i="6"/>
  <c r="AB21" i="6"/>
  <c r="R21" i="6"/>
  <c r="M21" i="6"/>
  <c r="N21" i="6"/>
  <c r="O21" i="6"/>
  <c r="S21" i="6"/>
  <c r="P21" i="6"/>
  <c r="T21" i="6"/>
  <c r="AA21" i="6"/>
  <c r="Q21" i="6"/>
  <c r="AZ33" i="7" l="1"/>
  <c r="AZ48" i="7"/>
  <c r="AZ32" i="7"/>
  <c r="AZ13" i="7"/>
  <c r="N73" i="17"/>
  <c r="M73" i="17"/>
  <c r="N71" i="17"/>
  <c r="M71" i="17"/>
  <c r="N64" i="17"/>
  <c r="M64" i="17"/>
  <c r="N59" i="17"/>
  <c r="M59" i="17"/>
  <c r="N56" i="17"/>
  <c r="M56" i="17"/>
  <c r="L73" i="17"/>
  <c r="K73" i="17"/>
  <c r="L71" i="17"/>
  <c r="K71" i="17"/>
  <c r="L64" i="17"/>
  <c r="K64" i="17"/>
  <c r="L59" i="17"/>
  <c r="K59" i="17"/>
  <c r="L56" i="17"/>
  <c r="K56" i="17"/>
  <c r="J73" i="17"/>
  <c r="I73" i="17"/>
  <c r="J71" i="17"/>
  <c r="I71" i="17"/>
  <c r="J64" i="17"/>
  <c r="I64" i="17"/>
  <c r="J59" i="17"/>
  <c r="I59" i="17"/>
  <c r="J56" i="17"/>
  <c r="I56" i="17"/>
  <c r="CG45" i="17" l="1"/>
  <c r="DV45" i="17"/>
  <c r="CH45" i="17"/>
  <c r="DW45" i="17"/>
  <c r="CI45" i="17"/>
  <c r="DX45" i="17"/>
  <c r="CD45" i="17"/>
  <c r="DS45" i="17"/>
  <c r="CF45" i="17"/>
  <c r="DU45" i="17"/>
  <c r="CE45" i="17"/>
  <c r="DT45" i="17"/>
  <c r="CE58" i="5" l="1"/>
  <c r="DO58" i="5"/>
  <c r="CC58" i="5"/>
  <c r="DM58" i="5"/>
  <c r="CD67" i="5"/>
  <c r="DN67" i="5"/>
  <c r="CB67" i="5"/>
  <c r="DL67" i="5"/>
  <c r="CE70" i="5"/>
  <c r="DO70" i="5"/>
  <c r="CC70" i="5"/>
  <c r="DM70" i="5"/>
  <c r="CD58" i="5"/>
  <c r="DN58" i="5"/>
  <c r="CB58" i="5"/>
  <c r="DL58" i="5"/>
  <c r="CE67" i="5"/>
  <c r="DO67" i="5"/>
  <c r="CC67" i="5"/>
  <c r="DM67" i="5"/>
  <c r="CD70" i="5"/>
  <c r="DN70" i="5"/>
  <c r="CB70" i="5"/>
  <c r="DL70" i="5"/>
  <c r="CD36" i="5"/>
  <c r="CB36" i="5"/>
  <c r="CE36" i="5"/>
  <c r="CC36" i="5"/>
  <c r="CB50" i="5"/>
  <c r="DN50" i="5"/>
  <c r="CD50" i="5"/>
  <c r="DL50" i="5"/>
  <c r="DO50" i="5"/>
  <c r="CC50" i="5"/>
  <c r="DM50" i="5"/>
  <c r="CE50" i="5"/>
  <c r="DN41" i="5"/>
  <c r="DN42" i="5"/>
  <c r="DN39" i="5"/>
  <c r="DN38" i="5"/>
  <c r="DQ36" i="5"/>
  <c r="DN35" i="5"/>
  <c r="AM70" i="5" l="1"/>
  <c r="AM58" i="5"/>
  <c r="AM67" i="5"/>
  <c r="DL66" i="5"/>
  <c r="CB66" i="5"/>
  <c r="DN66" i="5"/>
  <c r="CD66" i="5"/>
  <c r="AM50" i="5"/>
  <c r="DM66" i="5"/>
  <c r="CC66" i="5"/>
  <c r="DO66" i="5"/>
  <c r="CE66" i="5"/>
  <c r="CC35" i="5"/>
  <c r="CE35" i="5"/>
  <c r="DL57" i="5"/>
  <c r="CB57" i="5"/>
  <c r="DN57" i="5"/>
  <c r="CD57" i="5"/>
  <c r="AM36" i="5"/>
  <c r="CB35" i="5"/>
  <c r="CD35" i="5"/>
  <c r="DM57" i="5"/>
  <c r="CC57" i="5"/>
  <c r="DO57" i="5"/>
  <c r="CE57" i="5"/>
  <c r="DQ35" i="5"/>
  <c r="DM35" i="5"/>
  <c r="DL35" i="5"/>
  <c r="DP35" i="5"/>
  <c r="AM35" i="5" l="1"/>
  <c r="AM66" i="5"/>
  <c r="AM57" i="5"/>
  <c r="CD147" i="17"/>
  <c r="CB147" i="17" l="1"/>
  <c r="CE147" i="17"/>
  <c r="CC147" i="17"/>
  <c r="DS147" i="17"/>
  <c r="DQ147" i="17"/>
  <c r="DT147" i="17"/>
  <c r="DR147" i="17"/>
  <c r="K112" i="17" l="1"/>
  <c r="L135" i="17" l="1"/>
  <c r="M135" i="17"/>
  <c r="G135" i="17"/>
  <c r="CF78" i="4"/>
  <c r="CF82" i="4"/>
  <c r="CF81" i="4"/>
  <c r="CF80" i="4"/>
  <c r="CF77" i="4"/>
  <c r="CE59" i="4"/>
  <c r="CP84" i="4" l="1"/>
  <c r="CR84" i="4"/>
  <c r="CD84" i="4"/>
  <c r="CF84" i="4"/>
  <c r="CP83" i="4"/>
  <c r="CR83" i="4"/>
  <c r="CD83" i="4"/>
  <c r="CF83" i="4"/>
  <c r="CQ83" i="4"/>
  <c r="CE83" i="4"/>
  <c r="CO83" i="4"/>
  <c r="CC83" i="4"/>
  <c r="CC84" i="4"/>
  <c r="CO84" i="4"/>
  <c r="CQ84" i="4"/>
  <c r="CE84" i="4"/>
  <c r="CB60" i="4"/>
  <c r="CD60" i="4"/>
  <c r="CN60" i="4"/>
  <c r="CP60" i="4"/>
  <c r="CR82" i="4"/>
  <c r="CP82" i="4"/>
  <c r="CD82" i="4"/>
  <c r="CQ80" i="4"/>
  <c r="CO80" i="4"/>
  <c r="CE80" i="4"/>
  <c r="CC80" i="4"/>
  <c r="CQ82" i="4"/>
  <c r="CO82" i="4"/>
  <c r="CE82" i="4"/>
  <c r="CC82" i="4"/>
  <c r="CR77" i="4"/>
  <c r="CP77" i="4"/>
  <c r="CD77" i="4"/>
  <c r="AS77" i="4" s="1"/>
  <c r="CR80" i="4"/>
  <c r="CP80" i="4"/>
  <c r="CD80" i="4"/>
  <c r="CR78" i="4"/>
  <c r="CP78" i="4"/>
  <c r="CD78" i="4"/>
  <c r="CQ81" i="4"/>
  <c r="CO81" i="4"/>
  <c r="CE81" i="4"/>
  <c r="CC81" i="4"/>
  <c r="CQ59" i="4"/>
  <c r="CC59" i="4"/>
  <c r="CO59" i="4"/>
  <c r="CQ78" i="4"/>
  <c r="CO78" i="4"/>
  <c r="CE78" i="4"/>
  <c r="CC78" i="4"/>
  <c r="CB58" i="4"/>
  <c r="CP58" i="4"/>
  <c r="CD58" i="4"/>
  <c r="CN58" i="4"/>
  <c r="CB59" i="4"/>
  <c r="CD59" i="4"/>
  <c r="CN59" i="4"/>
  <c r="CP59" i="4"/>
  <c r="CR81" i="4"/>
  <c r="CP81" i="4"/>
  <c r="CD81" i="4"/>
  <c r="CH134" i="17"/>
  <c r="N134" i="17" s="1"/>
  <c r="CH132" i="17"/>
  <c r="N132" i="17" s="1"/>
  <c r="CH133" i="17"/>
  <c r="N133" i="17" s="1"/>
  <c r="AS83" i="4" l="1"/>
  <c r="AS84" i="4"/>
  <c r="AS82" i="4"/>
  <c r="AS81" i="4"/>
  <c r="AS80" i="4"/>
  <c r="AS78" i="4"/>
  <c r="AS58" i="4"/>
  <c r="AS60" i="4"/>
  <c r="AS59" i="4"/>
  <c r="DO59" i="5"/>
  <c r="CC59" i="5"/>
  <c r="DM59" i="5"/>
  <c r="CE59" i="5"/>
  <c r="DO62" i="5"/>
  <c r="CC62" i="5"/>
  <c r="DM62" i="5"/>
  <c r="CE62" i="5"/>
  <c r="DL72" i="5"/>
  <c r="CB72" i="5"/>
  <c r="DN72" i="5"/>
  <c r="CD72" i="5"/>
  <c r="CB62" i="5"/>
  <c r="DN62" i="5"/>
  <c r="CD62" i="5"/>
  <c r="DL62" i="5"/>
  <c r="CB53" i="5"/>
  <c r="DN53" i="5"/>
  <c r="CD53" i="5"/>
  <c r="DL53" i="5"/>
  <c r="DM63" i="5"/>
  <c r="CC63" i="5"/>
  <c r="DO63" i="5"/>
  <c r="CE63" i="5"/>
  <c r="DL69" i="5"/>
  <c r="CB69" i="5"/>
  <c r="DN69" i="5"/>
  <c r="CD69" i="5"/>
  <c r="DL51" i="5"/>
  <c r="CB51" i="5"/>
  <c r="DN51" i="5"/>
  <c r="CD51" i="5"/>
  <c r="DM72" i="5"/>
  <c r="CC72" i="5"/>
  <c r="DO72" i="5"/>
  <c r="CE72" i="5"/>
  <c r="CE52" i="5"/>
  <c r="DO52" i="5"/>
  <c r="CC52" i="5"/>
  <c r="DM52" i="5"/>
  <c r="DL79" i="5"/>
  <c r="CD79" i="5"/>
  <c r="CB79" i="5"/>
  <c r="DN79" i="5"/>
  <c r="CD64" i="5"/>
  <c r="DN64" i="5"/>
  <c r="CB64" i="5"/>
  <c r="DL64" i="5"/>
  <c r="CE64" i="5"/>
  <c r="DO64" i="5"/>
  <c r="CC64" i="5"/>
  <c r="DM64" i="5"/>
  <c r="DM69" i="5"/>
  <c r="CC69" i="5"/>
  <c r="DO69" i="5"/>
  <c r="CE69" i="5"/>
  <c r="DM51" i="5"/>
  <c r="CC51" i="5"/>
  <c r="DO51" i="5"/>
  <c r="CE51" i="5"/>
  <c r="DN78" i="5"/>
  <c r="DL78" i="5"/>
  <c r="CD78" i="5"/>
  <c r="CB78" i="5"/>
  <c r="DL63" i="5"/>
  <c r="CB63" i="5"/>
  <c r="DN63" i="5"/>
  <c r="CD63" i="5"/>
  <c r="DM79" i="5"/>
  <c r="CE79" i="5"/>
  <c r="CC79" i="5"/>
  <c r="DO79" i="5"/>
  <c r="DM54" i="5"/>
  <c r="CC54" i="5"/>
  <c r="DO54" i="5"/>
  <c r="CE54" i="5"/>
  <c r="CB56" i="5"/>
  <c r="DN56" i="5"/>
  <c r="CD56" i="5"/>
  <c r="DL56" i="5"/>
  <c r="CB59" i="5"/>
  <c r="DN59" i="5"/>
  <c r="CD59" i="5"/>
  <c r="DL59" i="5"/>
  <c r="CD52" i="5"/>
  <c r="DN52" i="5"/>
  <c r="CB52" i="5"/>
  <c r="DL52" i="5"/>
  <c r="DO78" i="5"/>
  <c r="DM78" i="5"/>
  <c r="CE78" i="5"/>
  <c r="CC78" i="5"/>
  <c r="DO53" i="5"/>
  <c r="CC53" i="5"/>
  <c r="DM53" i="5"/>
  <c r="CE53" i="5"/>
  <c r="DL54" i="5"/>
  <c r="CB54" i="5"/>
  <c r="DN54" i="5"/>
  <c r="CD54" i="5"/>
  <c r="CD55" i="5"/>
  <c r="DN55" i="5"/>
  <c r="CB55" i="5"/>
  <c r="DL55" i="5"/>
  <c r="CE55" i="5"/>
  <c r="DO55" i="5"/>
  <c r="CC55" i="5"/>
  <c r="DM55" i="5"/>
  <c r="CD49" i="5"/>
  <c r="DN49" i="5"/>
  <c r="CB49" i="5"/>
  <c r="DL49" i="5"/>
  <c r="CB71" i="5"/>
  <c r="DN71" i="5"/>
  <c r="CD71" i="5"/>
  <c r="DL71" i="5"/>
  <c r="CE49" i="5"/>
  <c r="DO49" i="5"/>
  <c r="CC49" i="5"/>
  <c r="DM49" i="5"/>
  <c r="DO56" i="5"/>
  <c r="CC56" i="5"/>
  <c r="DM56" i="5"/>
  <c r="CE56" i="5"/>
  <c r="DO71" i="5"/>
  <c r="CC71" i="5"/>
  <c r="DM71" i="5"/>
  <c r="CE71" i="5"/>
  <c r="K135" i="17"/>
  <c r="J135" i="17"/>
  <c r="I135" i="17"/>
  <c r="H135" i="17"/>
  <c r="AM52" i="5" l="1"/>
  <c r="AM64" i="5"/>
  <c r="AM79" i="5"/>
  <c r="AM63" i="5"/>
  <c r="AM51" i="5"/>
  <c r="AM72" i="5"/>
  <c r="AM55" i="5"/>
  <c r="AM56" i="5"/>
  <c r="AM53" i="5"/>
  <c r="AM71" i="5"/>
  <c r="AM78" i="5"/>
  <c r="AM59" i="5"/>
  <c r="AM49" i="5"/>
  <c r="AM54" i="5"/>
  <c r="AM69" i="5"/>
  <c r="AM62" i="5"/>
  <c r="F135" i="17"/>
  <c r="E135" i="17"/>
  <c r="D135" i="17" l="1"/>
  <c r="CY117" i="7" l="1"/>
  <c r="CY116" i="7"/>
  <c r="CY115" i="7"/>
  <c r="CY114" i="7"/>
  <c r="CY52" i="7"/>
  <c r="CY55" i="7"/>
  <c r="CY54" i="7"/>
  <c r="CY53" i="7"/>
  <c r="CO114" i="7" l="1"/>
  <c r="CB114" i="7"/>
  <c r="CX114" i="7"/>
  <c r="CP114" i="7"/>
  <c r="CC114" i="7"/>
  <c r="CP54" i="7"/>
  <c r="CX54" i="7"/>
  <c r="CO54" i="7"/>
  <c r="CB54" i="7"/>
  <c r="CP55" i="7"/>
  <c r="CO55" i="7"/>
  <c r="CX55" i="7"/>
  <c r="CB55" i="7"/>
  <c r="CO116" i="7"/>
  <c r="CC116" i="7"/>
  <c r="CB116" i="7"/>
  <c r="CX116" i="7"/>
  <c r="CP116" i="7"/>
  <c r="CP53" i="7"/>
  <c r="CX53" i="7"/>
  <c r="CB53" i="7"/>
  <c r="CO53" i="7"/>
  <c r="CO115" i="7"/>
  <c r="CC115" i="7"/>
  <c r="CB115" i="7"/>
  <c r="CP115" i="7"/>
  <c r="CX115" i="7"/>
  <c r="CX52" i="7"/>
  <c r="CP52" i="7"/>
  <c r="CB52" i="7"/>
  <c r="CO52" i="7"/>
  <c r="CO117" i="7"/>
  <c r="CC117" i="7"/>
  <c r="CB117" i="7"/>
  <c r="CX117" i="7"/>
  <c r="CP117" i="7"/>
  <c r="CS115" i="7"/>
  <c r="CL115" i="7"/>
  <c r="CF115" i="7"/>
  <c r="CD115" i="7"/>
  <c r="CQ115" i="7"/>
  <c r="CT115" i="7"/>
  <c r="CR115" i="7"/>
  <c r="CE115" i="7"/>
  <c r="CK115" i="7"/>
  <c r="CG115" i="7"/>
  <c r="CL116" i="7"/>
  <c r="CD116" i="7"/>
  <c r="CQ116" i="7"/>
  <c r="CF116" i="7"/>
  <c r="CS116" i="7"/>
  <c r="CQ114" i="7"/>
  <c r="CF114" i="7"/>
  <c r="CS114" i="7"/>
  <c r="CD114" i="7"/>
  <c r="CL114" i="7"/>
  <c r="CK116" i="7"/>
  <c r="CT116" i="7"/>
  <c r="CG116" i="7"/>
  <c r="CE116" i="7"/>
  <c r="CR116" i="7"/>
  <c r="CF117" i="7"/>
  <c r="CL117" i="7"/>
  <c r="CD117" i="7"/>
  <c r="CS117" i="7"/>
  <c r="CQ117" i="7"/>
  <c r="CR114" i="7"/>
  <c r="CG114" i="7"/>
  <c r="CK114" i="7"/>
  <c r="CT114" i="7"/>
  <c r="CE114" i="7"/>
  <c r="CE117" i="7"/>
  <c r="CR117" i="7"/>
  <c r="CK117" i="7"/>
  <c r="CG117" i="7"/>
  <c r="CT117" i="7"/>
  <c r="CD53" i="7"/>
  <c r="CS53" i="7"/>
  <c r="CF53" i="7"/>
  <c r="CL53" i="7"/>
  <c r="CQ53" i="7"/>
  <c r="CS54" i="7"/>
  <c r="CD54" i="7"/>
  <c r="CL54" i="7"/>
  <c r="CQ54" i="7"/>
  <c r="CF54" i="7"/>
  <c r="CT54" i="7"/>
  <c r="CK54" i="7"/>
  <c r="CR54" i="7"/>
  <c r="CE54" i="7"/>
  <c r="CG54" i="7"/>
  <c r="CT53" i="7"/>
  <c r="CE53" i="7"/>
  <c r="CK53" i="7"/>
  <c r="CR53" i="7"/>
  <c r="CG53" i="7"/>
  <c r="CQ55" i="7"/>
  <c r="CD55" i="7"/>
  <c r="CF55" i="7"/>
  <c r="CL55" i="7"/>
  <c r="CS55" i="7"/>
  <c r="CQ52" i="7"/>
  <c r="CL52" i="7"/>
  <c r="CD52" i="7"/>
  <c r="CF52" i="7"/>
  <c r="CS52" i="7"/>
  <c r="CE55" i="7"/>
  <c r="CG55" i="7"/>
  <c r="CK55" i="7"/>
  <c r="CT55" i="7"/>
  <c r="CR55" i="7"/>
  <c r="CR52" i="7"/>
  <c r="CK52" i="7"/>
  <c r="CE52" i="7"/>
  <c r="CT52" i="7"/>
  <c r="CG52" i="7"/>
  <c r="CI53" i="7" l="1"/>
  <c r="CH53" i="7"/>
  <c r="CC53" i="7"/>
  <c r="CH52" i="7"/>
  <c r="CI52" i="7"/>
  <c r="CC52" i="7"/>
  <c r="CH114" i="7"/>
  <c r="CI114" i="7"/>
  <c r="CI55" i="7"/>
  <c r="CH55" i="7"/>
  <c r="CC55" i="7"/>
  <c r="CH116" i="7"/>
  <c r="CI116" i="7"/>
  <c r="CI115" i="7"/>
  <c r="CH115" i="7"/>
  <c r="CH117" i="7"/>
  <c r="CI117" i="7"/>
  <c r="CH54" i="7"/>
  <c r="CI54" i="7"/>
  <c r="CC54" i="7"/>
  <c r="CV116" i="7"/>
  <c r="CU116" i="7"/>
  <c r="CJ116" i="7"/>
  <c r="CW116" i="7"/>
  <c r="CJ115" i="7"/>
  <c r="CW115" i="7"/>
  <c r="CU115" i="7"/>
  <c r="CV115" i="7"/>
  <c r="CW117" i="7"/>
  <c r="CV117" i="7"/>
  <c r="CJ117" i="7"/>
  <c r="CU117" i="7"/>
  <c r="CU114" i="7"/>
  <c r="CJ114" i="7"/>
  <c r="CW114" i="7"/>
  <c r="CV114" i="7"/>
  <c r="CW54" i="7"/>
  <c r="CV54" i="7"/>
  <c r="CJ54" i="7"/>
  <c r="CU54" i="7"/>
  <c r="CW52" i="7"/>
  <c r="CV52" i="7"/>
  <c r="CU52" i="7"/>
  <c r="CJ52" i="7"/>
  <c r="CW55" i="7"/>
  <c r="CV55" i="7"/>
  <c r="CJ55" i="7"/>
  <c r="CU55" i="7"/>
  <c r="CW53" i="7"/>
  <c r="CV53" i="7"/>
  <c r="CU53" i="7"/>
  <c r="CJ53" i="7"/>
  <c r="CY56" i="7"/>
  <c r="AZ116" i="7" l="1"/>
  <c r="CX56" i="7"/>
  <c r="CO56" i="7"/>
  <c r="CB56" i="7"/>
  <c r="CP56" i="7"/>
  <c r="AZ115" i="7"/>
  <c r="AZ53" i="7"/>
  <c r="AZ114" i="7"/>
  <c r="AZ117" i="7"/>
  <c r="CF56" i="7"/>
  <c r="CS56" i="7"/>
  <c r="CL56" i="7"/>
  <c r="CD56" i="7"/>
  <c r="CQ56" i="7"/>
  <c r="CG56" i="7"/>
  <c r="CT56" i="7"/>
  <c r="CE56" i="7"/>
  <c r="CR56" i="7"/>
  <c r="CK56" i="7"/>
  <c r="AZ55" i="7"/>
  <c r="AZ52" i="7"/>
  <c r="AZ54" i="7"/>
  <c r="CH56" i="7" l="1"/>
  <c r="CI56" i="7"/>
  <c r="CC56" i="7"/>
  <c r="CV56" i="7"/>
  <c r="CU56" i="7"/>
  <c r="CJ56" i="7"/>
  <c r="CW56" i="7"/>
  <c r="AZ56" i="7" l="1"/>
  <c r="M124" i="2"/>
  <c r="L124" i="2"/>
  <c r="K124" i="2"/>
  <c r="J124" i="2"/>
  <c r="I124" i="2"/>
  <c r="H124" i="2"/>
  <c r="G124" i="2"/>
  <c r="F124" i="2"/>
  <c r="D124" i="2" l="1"/>
  <c r="D14" i="12" l="1"/>
  <c r="I3" i="1"/>
  <c r="AG3" i="1" s="1"/>
  <c r="AG4" i="1" l="1"/>
  <c r="D25" i="2" l="1"/>
  <c r="CY41" i="7"/>
  <c r="CS41" i="7" l="1"/>
  <c r="CL41" i="7"/>
  <c r="CD41" i="7"/>
  <c r="CQ41" i="7"/>
  <c r="CF41" i="7"/>
  <c r="CX108" i="7"/>
  <c r="CX107" i="7"/>
  <c r="CY120" i="7"/>
  <c r="CY118" i="7"/>
  <c r="CY113" i="7"/>
  <c r="CY112" i="7"/>
  <c r="CY111" i="7"/>
  <c r="CY108" i="7"/>
  <c r="CY107" i="7"/>
  <c r="CY106" i="7"/>
  <c r="CY105" i="7"/>
  <c r="CY104" i="7"/>
  <c r="CY103" i="7"/>
  <c r="CY102" i="7"/>
  <c r="CY101" i="7"/>
  <c r="CY98" i="7"/>
  <c r="CY97" i="7"/>
  <c r="CY96" i="7"/>
  <c r="CY93" i="7"/>
  <c r="CY92" i="7"/>
  <c r="CY91" i="7"/>
  <c r="CY89" i="7"/>
  <c r="CY88" i="7"/>
  <c r="CY87" i="7"/>
  <c r="CY86" i="7"/>
  <c r="CY83" i="7"/>
  <c r="CY82" i="7"/>
  <c r="CY81" i="7"/>
  <c r="CO91" i="7" l="1"/>
  <c r="CB91" i="7"/>
  <c r="CX91" i="7"/>
  <c r="CP91" i="7"/>
  <c r="CC91" i="7"/>
  <c r="CP81" i="7"/>
  <c r="CO81" i="7"/>
  <c r="CC81" i="7"/>
  <c r="CB81" i="7"/>
  <c r="CX81" i="7"/>
  <c r="CP96" i="7"/>
  <c r="CO96" i="7"/>
  <c r="CB96" i="7"/>
  <c r="CX96" i="7"/>
  <c r="CC96" i="7"/>
  <c r="CO118" i="7"/>
  <c r="CC118" i="7"/>
  <c r="CB118" i="7"/>
  <c r="CX118" i="7"/>
  <c r="CP118" i="7"/>
  <c r="CX119" i="7"/>
  <c r="CP119" i="7"/>
  <c r="CC119" i="7"/>
  <c r="CO119" i="7"/>
  <c r="CB119" i="7"/>
  <c r="CP82" i="7"/>
  <c r="CO82" i="7"/>
  <c r="CB82" i="7"/>
  <c r="CX82" i="7"/>
  <c r="CC82" i="7"/>
  <c r="CC93" i="7"/>
  <c r="CO93" i="7"/>
  <c r="CB93" i="7"/>
  <c r="CP93" i="7"/>
  <c r="CX93" i="7"/>
  <c r="CO105" i="7"/>
  <c r="CC105" i="7"/>
  <c r="CB105" i="7"/>
  <c r="CX105" i="7"/>
  <c r="CP105" i="7"/>
  <c r="CP120" i="7"/>
  <c r="CO120" i="7"/>
  <c r="CC120" i="7"/>
  <c r="CB120" i="7"/>
  <c r="CX120" i="7"/>
  <c r="CX83" i="7"/>
  <c r="CB83" i="7"/>
  <c r="CC83" i="7"/>
  <c r="CO83" i="7"/>
  <c r="CP83" i="7"/>
  <c r="CB86" i="7"/>
  <c r="CX86" i="7"/>
  <c r="CP86" i="7"/>
  <c r="CC86" i="7"/>
  <c r="CO86" i="7"/>
  <c r="CO97" i="7"/>
  <c r="CB97" i="7"/>
  <c r="CX97" i="7"/>
  <c r="CP87" i="7"/>
  <c r="CO87" i="7"/>
  <c r="CB87" i="7"/>
  <c r="CC87" i="7"/>
  <c r="CX87" i="7"/>
  <c r="CO98" i="7"/>
  <c r="CB98" i="7"/>
  <c r="CX98" i="7"/>
  <c r="CX111" i="7"/>
  <c r="CP111" i="7"/>
  <c r="CC111" i="7"/>
  <c r="CB111" i="7"/>
  <c r="CO111" i="7"/>
  <c r="CX92" i="7"/>
  <c r="CC92" i="7"/>
  <c r="CP92" i="7"/>
  <c r="CO92" i="7"/>
  <c r="CB92" i="7"/>
  <c r="CP88" i="7"/>
  <c r="CO88" i="7"/>
  <c r="CC88" i="7"/>
  <c r="CB88" i="7"/>
  <c r="CX88" i="7"/>
  <c r="CP101" i="7"/>
  <c r="CO101" i="7"/>
  <c r="CC101" i="7"/>
  <c r="CB101" i="7"/>
  <c r="CX101" i="7"/>
  <c r="CP112" i="7"/>
  <c r="CO112" i="7"/>
  <c r="CC112" i="7"/>
  <c r="CB112" i="7"/>
  <c r="CX112" i="7"/>
  <c r="CC103" i="7"/>
  <c r="CO103" i="7"/>
  <c r="CB103" i="7"/>
  <c r="CX103" i="7"/>
  <c r="CP103" i="7"/>
  <c r="CO104" i="7"/>
  <c r="CC104" i="7"/>
  <c r="CB104" i="7"/>
  <c r="CP104" i="7"/>
  <c r="CX104" i="7"/>
  <c r="CP89" i="7"/>
  <c r="CO89" i="7"/>
  <c r="CC89" i="7"/>
  <c r="CB89" i="7"/>
  <c r="CX89" i="7"/>
  <c r="CP102" i="7"/>
  <c r="CX102" i="7"/>
  <c r="CC102" i="7"/>
  <c r="CO102" i="7"/>
  <c r="CB102" i="7"/>
  <c r="CP113" i="7"/>
  <c r="CX113" i="7"/>
  <c r="CC113" i="7"/>
  <c r="CO113" i="7"/>
  <c r="CB113" i="7"/>
  <c r="CK92" i="7"/>
  <c r="CT92" i="7"/>
  <c r="CR92" i="7"/>
  <c r="CE92" i="7"/>
  <c r="CG92" i="7"/>
  <c r="CT119" i="7"/>
  <c r="CR119" i="7"/>
  <c r="CE119" i="7"/>
  <c r="CK119" i="7"/>
  <c r="CG119" i="7"/>
  <c r="CL86" i="7"/>
  <c r="CD86" i="7"/>
  <c r="CQ86" i="7"/>
  <c r="CF86" i="7"/>
  <c r="CS86" i="7"/>
  <c r="CQ97" i="7"/>
  <c r="CF97" i="7"/>
  <c r="CS97" i="7"/>
  <c r="CD97" i="7"/>
  <c r="CL97" i="7"/>
  <c r="CD107" i="7"/>
  <c r="CQ107" i="7"/>
  <c r="CL107" i="7"/>
  <c r="CS107" i="7"/>
  <c r="CF107" i="7"/>
  <c r="CE82" i="7"/>
  <c r="CK82" i="7"/>
  <c r="CT82" i="7"/>
  <c r="CR82" i="7"/>
  <c r="CG82" i="7"/>
  <c r="CE93" i="7"/>
  <c r="CK93" i="7"/>
  <c r="CR93" i="7"/>
  <c r="CG93" i="7"/>
  <c r="CT93" i="7"/>
  <c r="CE105" i="7"/>
  <c r="CR105" i="7"/>
  <c r="CK105" i="7"/>
  <c r="CG105" i="7"/>
  <c r="CT105" i="7"/>
  <c r="CK120" i="7"/>
  <c r="CT120" i="7"/>
  <c r="CG120" i="7"/>
  <c r="CE120" i="7"/>
  <c r="CR120" i="7"/>
  <c r="CF83" i="7"/>
  <c r="CL83" i="7"/>
  <c r="CD83" i="7"/>
  <c r="CS83" i="7"/>
  <c r="CQ83" i="7"/>
  <c r="CK96" i="7"/>
  <c r="CT96" i="7"/>
  <c r="CR96" i="7"/>
  <c r="CG96" i="7"/>
  <c r="CE96" i="7"/>
  <c r="CR107" i="7"/>
  <c r="CG107" i="7"/>
  <c r="CT107" i="7"/>
  <c r="CK107" i="7"/>
  <c r="CE107" i="7"/>
  <c r="CT81" i="7"/>
  <c r="CR81" i="7"/>
  <c r="CG81" i="7"/>
  <c r="CK81" i="7"/>
  <c r="CE81" i="7"/>
  <c r="CD98" i="7"/>
  <c r="CS98" i="7"/>
  <c r="CF98" i="7"/>
  <c r="CQ98" i="7"/>
  <c r="CL98" i="7"/>
  <c r="CS111" i="7"/>
  <c r="CD111" i="7"/>
  <c r="CQ111" i="7"/>
  <c r="CF111" i="7"/>
  <c r="CL111" i="7"/>
  <c r="CT108" i="7"/>
  <c r="CE108" i="7"/>
  <c r="CR108" i="7"/>
  <c r="CK108" i="7"/>
  <c r="CG108" i="7"/>
  <c r="CQ102" i="7"/>
  <c r="CF102" i="7"/>
  <c r="CD102" i="7"/>
  <c r="CS102" i="7"/>
  <c r="CL102" i="7"/>
  <c r="CL112" i="7"/>
  <c r="CD112" i="7"/>
  <c r="CQ112" i="7"/>
  <c r="CF112" i="7"/>
  <c r="CS112" i="7"/>
  <c r="CG87" i="7"/>
  <c r="CT87" i="7"/>
  <c r="CE87" i="7"/>
  <c r="CR87" i="7"/>
  <c r="CK87" i="7"/>
  <c r="CK98" i="7"/>
  <c r="CT98" i="7"/>
  <c r="CR98" i="7"/>
  <c r="CG98" i="7"/>
  <c r="CE98" i="7"/>
  <c r="CT111" i="7"/>
  <c r="CR111" i="7"/>
  <c r="CE111" i="7"/>
  <c r="CK111" i="7"/>
  <c r="CG111" i="7"/>
  <c r="CL96" i="7"/>
  <c r="CD96" i="7"/>
  <c r="CS96" i="7"/>
  <c r="CF96" i="7"/>
  <c r="CQ96" i="7"/>
  <c r="CK104" i="7"/>
  <c r="CT104" i="7"/>
  <c r="CG104" i="7"/>
  <c r="CR104" i="7"/>
  <c r="CE104" i="7"/>
  <c r="CF108" i="7"/>
  <c r="CS108" i="7"/>
  <c r="CD108" i="7"/>
  <c r="CQ108" i="7"/>
  <c r="CL108" i="7"/>
  <c r="CF101" i="7"/>
  <c r="CL101" i="7"/>
  <c r="CD101" i="7"/>
  <c r="CS101" i="7"/>
  <c r="CQ101" i="7"/>
  <c r="CT86" i="7"/>
  <c r="CG86" i="7"/>
  <c r="CR86" i="7"/>
  <c r="CE86" i="7"/>
  <c r="CK86" i="7"/>
  <c r="CR97" i="7"/>
  <c r="CG97" i="7"/>
  <c r="CE97" i="7"/>
  <c r="CT97" i="7"/>
  <c r="CK97" i="7"/>
  <c r="CL89" i="7"/>
  <c r="CD89" i="7"/>
  <c r="CS89" i="7"/>
  <c r="CQ89" i="7"/>
  <c r="CF89" i="7"/>
  <c r="CS91" i="7"/>
  <c r="CF91" i="7"/>
  <c r="CD91" i="7"/>
  <c r="CQ91" i="7"/>
  <c r="CL91" i="7"/>
  <c r="CS103" i="7"/>
  <c r="CL103" i="7"/>
  <c r="CF103" i="7"/>
  <c r="CD103" i="7"/>
  <c r="CQ103" i="7"/>
  <c r="CF113" i="7"/>
  <c r="CL113" i="7"/>
  <c r="CD113" i="7"/>
  <c r="CS113" i="7"/>
  <c r="CQ113" i="7"/>
  <c r="CK88" i="7"/>
  <c r="CT88" i="7"/>
  <c r="CG88" i="7"/>
  <c r="CR88" i="7"/>
  <c r="CE88" i="7"/>
  <c r="CE101" i="7"/>
  <c r="CK101" i="7"/>
  <c r="CT101" i="7"/>
  <c r="CG101" i="7"/>
  <c r="CR101" i="7"/>
  <c r="CK112" i="7"/>
  <c r="CT112" i="7"/>
  <c r="CG112" i="7"/>
  <c r="CE112" i="7"/>
  <c r="CR112" i="7"/>
  <c r="CF87" i="7"/>
  <c r="CL87" i="7"/>
  <c r="CD87" i="7"/>
  <c r="CS87" i="7"/>
  <c r="CQ87" i="7"/>
  <c r="CS88" i="7"/>
  <c r="CQ88" i="7"/>
  <c r="CF88" i="7"/>
  <c r="CL88" i="7"/>
  <c r="CD88" i="7"/>
  <c r="CF92" i="7"/>
  <c r="CQ92" i="7"/>
  <c r="CL92" i="7"/>
  <c r="CD92" i="7"/>
  <c r="CS92" i="7"/>
  <c r="CL104" i="7"/>
  <c r="CD104" i="7"/>
  <c r="CQ104" i="7"/>
  <c r="CF104" i="7"/>
  <c r="CS104" i="7"/>
  <c r="CQ118" i="7"/>
  <c r="CF118" i="7"/>
  <c r="CS118" i="7"/>
  <c r="CL118" i="7"/>
  <c r="CD118" i="7"/>
  <c r="CE89" i="7"/>
  <c r="CG89" i="7"/>
  <c r="CT89" i="7"/>
  <c r="CK89" i="7"/>
  <c r="CR89" i="7"/>
  <c r="CR102" i="7"/>
  <c r="CG102" i="7"/>
  <c r="CK102" i="7"/>
  <c r="CT102" i="7"/>
  <c r="CE102" i="7"/>
  <c r="CE113" i="7"/>
  <c r="CG113" i="7"/>
  <c r="CT113" i="7"/>
  <c r="CR113" i="7"/>
  <c r="CK113" i="7"/>
  <c r="CL106" i="7"/>
  <c r="CS106" i="7"/>
  <c r="CQ106" i="7"/>
  <c r="CF106" i="7"/>
  <c r="CD106" i="7"/>
  <c r="CK83" i="7"/>
  <c r="CR83" i="7"/>
  <c r="CE83" i="7"/>
  <c r="CT83" i="7"/>
  <c r="CG83" i="7"/>
  <c r="CS81" i="7"/>
  <c r="CQ81" i="7"/>
  <c r="CF81" i="7"/>
  <c r="CL81" i="7"/>
  <c r="CD81" i="7"/>
  <c r="CL82" i="7"/>
  <c r="CD82" i="7"/>
  <c r="CS82" i="7"/>
  <c r="CF82" i="7"/>
  <c r="CQ82" i="7"/>
  <c r="CL93" i="7"/>
  <c r="CD93" i="7"/>
  <c r="CF93" i="7"/>
  <c r="CS93" i="7"/>
  <c r="CQ93" i="7"/>
  <c r="CF105" i="7"/>
  <c r="CL105" i="7"/>
  <c r="CD105" i="7"/>
  <c r="CS105" i="7"/>
  <c r="CQ105" i="7"/>
  <c r="CL120" i="7"/>
  <c r="CD120" i="7"/>
  <c r="CQ120" i="7"/>
  <c r="CF120" i="7"/>
  <c r="CS120" i="7"/>
  <c r="CR91" i="7"/>
  <c r="CK91" i="7"/>
  <c r="CT91" i="7"/>
  <c r="CG91" i="7"/>
  <c r="CE91" i="7"/>
  <c r="CT103" i="7"/>
  <c r="CR103" i="7"/>
  <c r="CE103" i="7"/>
  <c r="CG103" i="7"/>
  <c r="CK103" i="7"/>
  <c r="CR118" i="7"/>
  <c r="CG118" i="7"/>
  <c r="CK118" i="7"/>
  <c r="CE118" i="7"/>
  <c r="CT118" i="7"/>
  <c r="CX46" i="7"/>
  <c r="CX45" i="7"/>
  <c r="CX44" i="7"/>
  <c r="CY58" i="7"/>
  <c r="CY57" i="7"/>
  <c r="CY51" i="7"/>
  <c r="CY50" i="7"/>
  <c r="CY49" i="7"/>
  <c r="CY47" i="7"/>
  <c r="CY46" i="7"/>
  <c r="CY45" i="7"/>
  <c r="CY44" i="7"/>
  <c r="CY43" i="7"/>
  <c r="CY42" i="7"/>
  <c r="CY39" i="7"/>
  <c r="CY36" i="7"/>
  <c r="CY35" i="7"/>
  <c r="CY34" i="7"/>
  <c r="CY31" i="7"/>
  <c r="CY30" i="7"/>
  <c r="CY29" i="7"/>
  <c r="CY27" i="7"/>
  <c r="CY26" i="7"/>
  <c r="CY25" i="7"/>
  <c r="CO30" i="7" l="1"/>
  <c r="CB30" i="7"/>
  <c r="CP30" i="7"/>
  <c r="CX30" i="7"/>
  <c r="CP47" i="7"/>
  <c r="CO47" i="7"/>
  <c r="CX47" i="7"/>
  <c r="CB47" i="7"/>
  <c r="CO19" i="7"/>
  <c r="CB19" i="7"/>
  <c r="CX19" i="7"/>
  <c r="CP19" i="7"/>
  <c r="CO58" i="7"/>
  <c r="CP58" i="7"/>
  <c r="CX58" i="7"/>
  <c r="CB58" i="7"/>
  <c r="CO20" i="7"/>
  <c r="CB20" i="7"/>
  <c r="CX20" i="7"/>
  <c r="CP20" i="7"/>
  <c r="CP24" i="7"/>
  <c r="CO24" i="7"/>
  <c r="CB24" i="7"/>
  <c r="CX24" i="7"/>
  <c r="CX35" i="7"/>
  <c r="CB35" i="7"/>
  <c r="CO35" i="7"/>
  <c r="CH101" i="7"/>
  <c r="CI101" i="7"/>
  <c r="CX25" i="7"/>
  <c r="CP25" i="7"/>
  <c r="CO25" i="7"/>
  <c r="CB25" i="7"/>
  <c r="CO36" i="7"/>
  <c r="CB36" i="7"/>
  <c r="CX36" i="7"/>
  <c r="CO49" i="7"/>
  <c r="CB49" i="7"/>
  <c r="CX49" i="7"/>
  <c r="CP49" i="7"/>
  <c r="CI104" i="7"/>
  <c r="CH104" i="7"/>
  <c r="CX26" i="7"/>
  <c r="CP26" i="7"/>
  <c r="CO26" i="7"/>
  <c r="CB26" i="7"/>
  <c r="CP41" i="7"/>
  <c r="CO41" i="7"/>
  <c r="CB41" i="7"/>
  <c r="CX41" i="7"/>
  <c r="CX50" i="7"/>
  <c r="CB50" i="7"/>
  <c r="CP50" i="7"/>
  <c r="CO50" i="7"/>
  <c r="CI103" i="7"/>
  <c r="CH103" i="7"/>
  <c r="CX34" i="7"/>
  <c r="CP34" i="7"/>
  <c r="CB34" i="7"/>
  <c r="CO34" i="7"/>
  <c r="CO27" i="7"/>
  <c r="CP27" i="7"/>
  <c r="CX27" i="7"/>
  <c r="CB27" i="7"/>
  <c r="CP42" i="7"/>
  <c r="CX42" i="7"/>
  <c r="CB42" i="7"/>
  <c r="CO42" i="7"/>
  <c r="CX51" i="7"/>
  <c r="CO51" i="7"/>
  <c r="CB51" i="7"/>
  <c r="CP51" i="7"/>
  <c r="CI102" i="7"/>
  <c r="CH102" i="7"/>
  <c r="CI119" i="7"/>
  <c r="CH119" i="7"/>
  <c r="CP31" i="7"/>
  <c r="CX31" i="7"/>
  <c r="CO31" i="7"/>
  <c r="CB31" i="7"/>
  <c r="CO21" i="7"/>
  <c r="CB21" i="7"/>
  <c r="CX21" i="7"/>
  <c r="CP21" i="7"/>
  <c r="CH105" i="7"/>
  <c r="CI105" i="7"/>
  <c r="CO29" i="7"/>
  <c r="CB29" i="7"/>
  <c r="CP29" i="7"/>
  <c r="CX29" i="7"/>
  <c r="CP43" i="7"/>
  <c r="CX43" i="7"/>
  <c r="CB43" i="7"/>
  <c r="CO43" i="7"/>
  <c r="CO57" i="7"/>
  <c r="CB57" i="7"/>
  <c r="CX57" i="7"/>
  <c r="CP57" i="7"/>
  <c r="CI75" i="7"/>
  <c r="CH75" i="7"/>
  <c r="CJ119" i="7"/>
  <c r="CW119" i="7"/>
  <c r="CV119" i="7"/>
  <c r="CU119" i="7"/>
  <c r="CF47" i="7"/>
  <c r="CD47" i="7"/>
  <c r="CW105" i="7"/>
  <c r="CV105" i="7"/>
  <c r="CJ105" i="7"/>
  <c r="CU105" i="7"/>
  <c r="CV104" i="7"/>
  <c r="CU104" i="7"/>
  <c r="CJ104" i="7"/>
  <c r="CW104" i="7"/>
  <c r="CJ103" i="7"/>
  <c r="CW103" i="7"/>
  <c r="CU103" i="7"/>
  <c r="CV103" i="7"/>
  <c r="CW101" i="7"/>
  <c r="CV101" i="7"/>
  <c r="CU101" i="7"/>
  <c r="CJ101" i="7"/>
  <c r="CU102" i="7"/>
  <c r="CW102" i="7"/>
  <c r="CJ102" i="7"/>
  <c r="CV102" i="7"/>
  <c r="CW75" i="7"/>
  <c r="CJ75" i="7"/>
  <c r="CV75" i="7"/>
  <c r="CU75" i="7"/>
  <c r="CE47" i="7"/>
  <c r="CG47" i="7"/>
  <c r="CS51" i="7"/>
  <c r="CQ51" i="7"/>
  <c r="CF51" i="7"/>
  <c r="CL51" i="7"/>
  <c r="CD51" i="7"/>
  <c r="CE50" i="7"/>
  <c r="CK50" i="7"/>
  <c r="CT50" i="7"/>
  <c r="CR50" i="7"/>
  <c r="CG50" i="7"/>
  <c r="CK26" i="7"/>
  <c r="CE26" i="7"/>
  <c r="CG26" i="7"/>
  <c r="CR26" i="7"/>
  <c r="CT26" i="7"/>
  <c r="CR41" i="7"/>
  <c r="CK41" i="7"/>
  <c r="CG41" i="7"/>
  <c r="CT41" i="7"/>
  <c r="CE41" i="7"/>
  <c r="CQ29" i="7"/>
  <c r="CF29" i="7"/>
  <c r="CL29" i="7"/>
  <c r="CD29" i="7"/>
  <c r="CS29" i="7"/>
  <c r="CF43" i="7"/>
  <c r="CS43" i="7"/>
  <c r="CL43" i="7"/>
  <c r="CD43" i="7"/>
  <c r="CQ43" i="7"/>
  <c r="CS57" i="7"/>
  <c r="CL57" i="7"/>
  <c r="CD57" i="7"/>
  <c r="CQ57" i="7"/>
  <c r="CF57" i="7"/>
  <c r="CT27" i="7"/>
  <c r="CE27" i="7"/>
  <c r="CG27" i="7"/>
  <c r="CR27" i="7"/>
  <c r="CK27" i="7"/>
  <c r="CG42" i="7"/>
  <c r="CT42" i="7"/>
  <c r="CE42" i="7"/>
  <c r="CR42" i="7"/>
  <c r="CK42" i="7"/>
  <c r="CT51" i="7"/>
  <c r="CR51" i="7"/>
  <c r="CG51" i="7"/>
  <c r="CE51" i="7"/>
  <c r="CK51" i="7"/>
  <c r="CF42" i="7"/>
  <c r="CS42" i="7"/>
  <c r="CL42" i="7"/>
  <c r="CD42" i="7"/>
  <c r="CQ42" i="7"/>
  <c r="CF58" i="7"/>
  <c r="CS58" i="7"/>
  <c r="CL58" i="7"/>
  <c r="CD58" i="7"/>
  <c r="CQ58" i="7"/>
  <c r="CS31" i="7"/>
  <c r="CQ31" i="7"/>
  <c r="CF31" i="7"/>
  <c r="CL31" i="7"/>
  <c r="CD31" i="7"/>
  <c r="CF45" i="7"/>
  <c r="CD45" i="7"/>
  <c r="CS45" i="7"/>
  <c r="CL45" i="7"/>
  <c r="CQ45" i="7"/>
  <c r="CE19" i="7"/>
  <c r="CK19" i="7"/>
  <c r="CG19" i="7"/>
  <c r="CT19" i="7"/>
  <c r="CR19" i="7"/>
  <c r="CE30" i="7"/>
  <c r="CT30" i="7"/>
  <c r="CK30" i="7"/>
  <c r="CR30" i="7"/>
  <c r="CG30" i="7"/>
  <c r="CR44" i="7"/>
  <c r="CE44" i="7"/>
  <c r="CK44" i="7"/>
  <c r="CT44" i="7"/>
  <c r="CG44" i="7"/>
  <c r="CG58" i="7"/>
  <c r="CT58" i="7"/>
  <c r="CE58" i="7"/>
  <c r="CR58" i="7"/>
  <c r="CK58" i="7"/>
  <c r="CF30" i="7"/>
  <c r="CL30" i="7"/>
  <c r="CD30" i="7"/>
  <c r="CS30" i="7"/>
  <c r="CQ30" i="7"/>
  <c r="CR29" i="7"/>
  <c r="CG29" i="7"/>
  <c r="CE29" i="7"/>
  <c r="CT29" i="7"/>
  <c r="CK29" i="7"/>
  <c r="CQ34" i="7"/>
  <c r="CS34" i="7"/>
  <c r="CF34" i="7"/>
  <c r="CL34" i="7"/>
  <c r="CD34" i="7"/>
  <c r="CT31" i="7"/>
  <c r="CK31" i="7"/>
  <c r="CR31" i="7"/>
  <c r="CG31" i="7"/>
  <c r="CE31" i="7"/>
  <c r="CG45" i="7"/>
  <c r="CE45" i="7"/>
  <c r="CT45" i="7"/>
  <c r="CR45" i="7"/>
  <c r="CK45" i="7"/>
  <c r="CE57" i="7"/>
  <c r="CR57" i="7"/>
  <c r="CK57" i="7"/>
  <c r="CG57" i="7"/>
  <c r="CT57" i="7"/>
  <c r="CE20" i="7"/>
  <c r="CK20" i="7"/>
  <c r="CR20" i="7"/>
  <c r="CG20" i="7"/>
  <c r="CT20" i="7"/>
  <c r="CQ47" i="7"/>
  <c r="CL47" i="7"/>
  <c r="CS47" i="7"/>
  <c r="CT46" i="7"/>
  <c r="CE46" i="7"/>
  <c r="CR46" i="7"/>
  <c r="CK46" i="7"/>
  <c r="CG46" i="7"/>
  <c r="CL25" i="7"/>
  <c r="CS25" i="7"/>
  <c r="CQ25" i="7"/>
  <c r="CF25" i="7"/>
  <c r="CD25" i="7"/>
  <c r="CE35" i="7"/>
  <c r="CG35" i="7"/>
  <c r="CR35" i="7"/>
  <c r="CK35" i="7"/>
  <c r="CT35" i="7"/>
  <c r="CL27" i="7"/>
  <c r="CS27" i="7"/>
  <c r="CF27" i="7"/>
  <c r="CQ27" i="7"/>
  <c r="CD27" i="7"/>
  <c r="CF44" i="7"/>
  <c r="CQ44" i="7"/>
  <c r="CD44" i="7"/>
  <c r="CL44" i="7"/>
  <c r="CS44" i="7"/>
  <c r="CT43" i="7"/>
  <c r="CE43" i="7"/>
  <c r="CR43" i="7"/>
  <c r="CK43" i="7"/>
  <c r="CG43" i="7"/>
  <c r="CF46" i="7"/>
  <c r="CS46" i="7"/>
  <c r="CL46" i="7"/>
  <c r="CD46" i="7"/>
  <c r="CQ46" i="7"/>
  <c r="CD35" i="7"/>
  <c r="CL35" i="7"/>
  <c r="CF35" i="7"/>
  <c r="CQ35" i="7"/>
  <c r="CS35" i="7"/>
  <c r="CG21" i="7"/>
  <c r="CE21" i="7"/>
  <c r="CR21" i="7"/>
  <c r="CK21" i="7"/>
  <c r="CT21" i="7"/>
  <c r="CT34" i="7"/>
  <c r="CR34" i="7"/>
  <c r="CG34" i="7"/>
  <c r="CE34" i="7"/>
  <c r="CK34" i="7"/>
  <c r="CD36" i="7"/>
  <c r="CL36" i="7"/>
  <c r="CF36" i="7"/>
  <c r="CQ36" i="7"/>
  <c r="CS36" i="7"/>
  <c r="CS49" i="7"/>
  <c r="CQ49" i="7"/>
  <c r="CF49" i="7"/>
  <c r="CL49" i="7"/>
  <c r="CD49" i="7"/>
  <c r="CE24" i="7"/>
  <c r="CT24" i="7"/>
  <c r="CK24" i="7"/>
  <c r="CG24" i="7"/>
  <c r="CR24" i="7"/>
  <c r="CK47" i="7"/>
  <c r="CT47" i="7"/>
  <c r="CR47" i="7"/>
  <c r="CQ26" i="7"/>
  <c r="CL26" i="7"/>
  <c r="CD26" i="7"/>
  <c r="CS26" i="7"/>
  <c r="CF26" i="7"/>
  <c r="CQ39" i="7"/>
  <c r="CD39" i="7"/>
  <c r="CL39" i="7"/>
  <c r="CF39" i="7"/>
  <c r="CS39" i="7"/>
  <c r="CL50" i="7"/>
  <c r="CD50" i="7"/>
  <c r="CS50" i="7"/>
  <c r="CQ50" i="7"/>
  <c r="CF50" i="7"/>
  <c r="CE25" i="7"/>
  <c r="CT25" i="7"/>
  <c r="CK25" i="7"/>
  <c r="CR25" i="7"/>
  <c r="CG25" i="7"/>
  <c r="CT36" i="7"/>
  <c r="CK36" i="7"/>
  <c r="CE36" i="7"/>
  <c r="CG36" i="7"/>
  <c r="CR36" i="7"/>
  <c r="CR49" i="7"/>
  <c r="CG49" i="7"/>
  <c r="CE49" i="7"/>
  <c r="CK49" i="7"/>
  <c r="CT49" i="7"/>
  <c r="CY21" i="7"/>
  <c r="CY20" i="7"/>
  <c r="CI41" i="7" l="1"/>
  <c r="CH41" i="7"/>
  <c r="CC41" i="7"/>
  <c r="CI39" i="7"/>
  <c r="CH39" i="7"/>
  <c r="CC39" i="7"/>
  <c r="CI19" i="7"/>
  <c r="CH19" i="7"/>
  <c r="CC19" i="7"/>
  <c r="CI43" i="7"/>
  <c r="CH43" i="7"/>
  <c r="CC43" i="7"/>
  <c r="CH42" i="7"/>
  <c r="CI42" i="7"/>
  <c r="CC42" i="7"/>
  <c r="AZ101" i="7"/>
  <c r="AZ104" i="7"/>
  <c r="AZ103" i="7"/>
  <c r="AZ75" i="7"/>
  <c r="AZ102" i="7"/>
  <c r="AZ105" i="7"/>
  <c r="AZ119" i="7"/>
  <c r="CJ19" i="7"/>
  <c r="CV19" i="7"/>
  <c r="CU19" i="7"/>
  <c r="CW19" i="7"/>
  <c r="CS20" i="7"/>
  <c r="CQ20" i="7"/>
  <c r="CL20" i="7"/>
  <c r="CF20" i="7"/>
  <c r="CD20" i="7"/>
  <c r="CQ21" i="7"/>
  <c r="CF21" i="7"/>
  <c r="CD21" i="7"/>
  <c r="CL21" i="7"/>
  <c r="CS21" i="7"/>
  <c r="CU43" i="7"/>
  <c r="CJ43" i="7"/>
  <c r="CW43" i="7"/>
  <c r="CV43" i="7"/>
  <c r="CW42" i="7"/>
  <c r="CV42" i="7"/>
  <c r="CU42" i="7"/>
  <c r="CJ42" i="7"/>
  <c r="CJ39" i="7"/>
  <c r="CW39" i="7"/>
  <c r="CV39" i="7"/>
  <c r="CU39" i="7"/>
  <c r="CJ41" i="7"/>
  <c r="CW41" i="7"/>
  <c r="CV41" i="7"/>
  <c r="CU41" i="7"/>
  <c r="O41" i="16"/>
  <c r="N41" i="16"/>
  <c r="K41" i="16"/>
  <c r="H41" i="16"/>
  <c r="H34" i="16"/>
  <c r="H29" i="16"/>
  <c r="H26" i="16"/>
  <c r="I26" i="16"/>
  <c r="I22" i="16"/>
  <c r="H22" i="16"/>
  <c r="AN30" i="16"/>
  <c r="AN35" i="16"/>
  <c r="AZ39" i="7" l="1"/>
  <c r="AZ41" i="7"/>
  <c r="AZ42" i="7"/>
  <c r="AZ43" i="7"/>
  <c r="AS35" i="16"/>
  <c r="AL35" i="16"/>
  <c r="AU35" i="16"/>
  <c r="AS30" i="16"/>
  <c r="AU30" i="16"/>
  <c r="AL30" i="16"/>
  <c r="AZ19" i="7"/>
  <c r="CF38" i="4" l="1"/>
  <c r="CD38" i="4"/>
  <c r="CP38" i="4"/>
  <c r="CR38" i="4"/>
  <c r="CE38" i="4"/>
  <c r="CC38" i="4"/>
  <c r="CO38" i="4"/>
  <c r="CQ38" i="4"/>
  <c r="BD21" i="18"/>
  <c r="BK21" i="18"/>
  <c r="BM21" i="18"/>
  <c r="BC21" i="18"/>
  <c r="BL21" i="18"/>
  <c r="BB21" i="18"/>
  <c r="BJ21" i="18"/>
  <c r="BE21" i="18"/>
  <c r="C12" i="18"/>
  <c r="CI90" i="7" l="1"/>
  <c r="CH90" i="7"/>
  <c r="CG46" i="4"/>
  <c r="AT46" i="4" s="1"/>
  <c r="CS46" i="4"/>
  <c r="CG47" i="4"/>
  <c r="AT47" i="4" s="1"/>
  <c r="CS47" i="4"/>
  <c r="CS45" i="4"/>
  <c r="CG45" i="4"/>
  <c r="AT45" i="4" s="1"/>
  <c r="CB82" i="4"/>
  <c r="V21" i="18"/>
  <c r="CB18" i="4"/>
  <c r="AT18" i="4" s="1"/>
  <c r="CN82" i="4"/>
  <c r="CN18" i="4"/>
  <c r="CB19" i="4"/>
  <c r="AT19" i="4" s="1"/>
  <c r="CN19" i="4"/>
  <c r="CS42" i="4"/>
  <c r="CG41" i="4"/>
  <c r="AT41" i="4" s="1"/>
  <c r="CG43" i="4"/>
  <c r="AT43" i="4" s="1"/>
  <c r="CS41" i="4"/>
  <c r="CS40" i="4"/>
  <c r="CG40" i="4"/>
  <c r="CS43" i="4"/>
  <c r="CJ90" i="7"/>
  <c r="CW90" i="7"/>
  <c r="CV90" i="7"/>
  <c r="CU90" i="7"/>
  <c r="CG42" i="4"/>
  <c r="AT42" i="4" s="1"/>
  <c r="AW147" i="17"/>
  <c r="CH28" i="7" l="1"/>
  <c r="CI28" i="7"/>
  <c r="CC28" i="7"/>
  <c r="CF44" i="4"/>
  <c r="CD44" i="4"/>
  <c r="CR44" i="4"/>
  <c r="CP44" i="4"/>
  <c r="CC44" i="4"/>
  <c r="CE44" i="4"/>
  <c r="CQ44" i="4"/>
  <c r="CO44" i="4"/>
  <c r="AZ90" i="7"/>
  <c r="CJ28" i="7"/>
  <c r="CV28" i="7"/>
  <c r="CU28" i="7"/>
  <c r="CW28" i="7"/>
  <c r="CS44" i="4"/>
  <c r="AZ28" i="7" l="1"/>
  <c r="CG44" i="4"/>
  <c r="AT44" i="4" s="1"/>
  <c r="K74" i="2" l="1"/>
  <c r="H74" i="2"/>
  <c r="Z20" i="6"/>
  <c r="Z15" i="6"/>
  <c r="W15" i="6"/>
  <c r="CF111" i="17"/>
  <c r="F112" i="17"/>
  <c r="D126" i="17"/>
  <c r="CF71" i="4"/>
  <c r="CF70" i="4"/>
  <c r="CC111" i="17" l="1"/>
  <c r="CG111" i="17"/>
  <c r="CR70" i="4"/>
  <c r="CD70" i="4"/>
  <c r="AS70" i="4" s="1"/>
  <c r="CP70" i="4"/>
  <c r="CQ71" i="4"/>
  <c r="CC71" i="4"/>
  <c r="CE71" i="4"/>
  <c r="CO71" i="4"/>
  <c r="CR71" i="4"/>
  <c r="CD71" i="4"/>
  <c r="CP71" i="4"/>
  <c r="CC29" i="5"/>
  <c r="CE29" i="5"/>
  <c r="DQ29" i="5"/>
  <c r="DU112" i="17"/>
  <c r="CD111" i="17"/>
  <c r="DT112" i="17"/>
  <c r="DS112" i="17"/>
  <c r="DR112" i="17"/>
  <c r="CE111" i="17"/>
  <c r="Z21" i="6"/>
  <c r="CI23" i="7" l="1"/>
  <c r="CH23" i="7"/>
  <c r="CC23" i="7"/>
  <c r="CH85" i="7"/>
  <c r="CI85" i="7"/>
  <c r="CI84" i="7"/>
  <c r="CH84" i="7"/>
  <c r="CH57" i="7"/>
  <c r="CI57" i="7"/>
  <c r="CC57" i="7"/>
  <c r="CH22" i="7"/>
  <c r="CI22" i="7"/>
  <c r="CC22" i="7"/>
  <c r="P111" i="17"/>
  <c r="CJ85" i="7"/>
  <c r="CW85" i="7"/>
  <c r="CU85" i="7"/>
  <c r="CV85" i="7"/>
  <c r="CW84" i="7"/>
  <c r="CV84" i="7"/>
  <c r="CJ84" i="7"/>
  <c r="CU84" i="7"/>
  <c r="AM29" i="5"/>
  <c r="CJ22" i="7"/>
  <c r="CU22" i="7"/>
  <c r="CV22" i="7"/>
  <c r="CW22" i="7"/>
  <c r="CJ57" i="7"/>
  <c r="CW57" i="7"/>
  <c r="CV57" i="7"/>
  <c r="CU57" i="7"/>
  <c r="CJ23" i="7"/>
  <c r="CW23" i="7"/>
  <c r="CV23" i="7"/>
  <c r="CU23" i="7"/>
  <c r="B5" i="2"/>
  <c r="Q22" i="16"/>
  <c r="Q26" i="16"/>
  <c r="DG33" i="5"/>
  <c r="DE33" i="5"/>
  <c r="DD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DD32" i="5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DF30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DF28" i="5"/>
  <c r="DE28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G140" i="17"/>
  <c r="CG139" i="17"/>
  <c r="I6" i="1"/>
  <c r="AG6" i="1" s="1"/>
  <c r="AG5" i="1"/>
  <c r="I2" i="1"/>
  <c r="AG2" i="1" s="1"/>
  <c r="D11" i="12"/>
  <c r="I43" i="16"/>
  <c r="BC16" i="18"/>
  <c r="DV140" i="17"/>
  <c r="R22" i="16"/>
  <c r="O22" i="16"/>
  <c r="N22" i="16"/>
  <c r="F74" i="2"/>
  <c r="O73" i="17"/>
  <c r="H73" i="17"/>
  <c r="DR45" i="17" s="1"/>
  <c r="T73" i="17"/>
  <c r="S73" i="17"/>
  <c r="R73" i="17"/>
  <c r="P73" i="17"/>
  <c r="T71" i="17"/>
  <c r="S71" i="17"/>
  <c r="R71" i="17"/>
  <c r="Q71" i="17"/>
  <c r="P71" i="17"/>
  <c r="O71" i="17"/>
  <c r="H71" i="17"/>
  <c r="S64" i="17"/>
  <c r="R64" i="17"/>
  <c r="P64" i="17"/>
  <c r="O64" i="17"/>
  <c r="E64" i="17" s="1"/>
  <c r="H64" i="17"/>
  <c r="T59" i="17"/>
  <c r="S59" i="17"/>
  <c r="R59" i="17"/>
  <c r="P59" i="17"/>
  <c r="O59" i="17"/>
  <c r="E59" i="17" s="1"/>
  <c r="H59" i="17"/>
  <c r="T56" i="17"/>
  <c r="S56" i="17"/>
  <c r="R56" i="17"/>
  <c r="Q56" i="17"/>
  <c r="P56" i="17"/>
  <c r="O56" i="17"/>
  <c r="E56" i="17" s="1"/>
  <c r="H56" i="17"/>
  <c r="T52" i="17"/>
  <c r="S52" i="17"/>
  <c r="R52" i="17"/>
  <c r="Q52" i="17"/>
  <c r="T49" i="17"/>
  <c r="S49" i="17"/>
  <c r="R49" i="17"/>
  <c r="Q49" i="17"/>
  <c r="AN42" i="16"/>
  <c r="AN40" i="16"/>
  <c r="AN39" i="16"/>
  <c r="AN38" i="16"/>
  <c r="AN37" i="16"/>
  <c r="AN36" i="16"/>
  <c r="AN33" i="16"/>
  <c r="AN32" i="16"/>
  <c r="AN31" i="16"/>
  <c r="AN28" i="16"/>
  <c r="AN27" i="16"/>
  <c r="AN25" i="16"/>
  <c r="AN24" i="16"/>
  <c r="AN23" i="16"/>
  <c r="AN21" i="16"/>
  <c r="AN20" i="16"/>
  <c r="AN18" i="16"/>
  <c r="AN16" i="16"/>
  <c r="R41" i="16"/>
  <c r="Q41" i="16"/>
  <c r="L41" i="16"/>
  <c r="E41" i="16"/>
  <c r="I41" i="16"/>
  <c r="R34" i="16"/>
  <c r="Q34" i="16"/>
  <c r="O34" i="16"/>
  <c r="N34" i="16"/>
  <c r="L34" i="16"/>
  <c r="K34" i="16"/>
  <c r="E34" i="16" s="1"/>
  <c r="I34" i="16"/>
  <c r="K26" i="16"/>
  <c r="E26" i="16" s="1"/>
  <c r="R29" i="16"/>
  <c r="Q29" i="16"/>
  <c r="R26" i="16"/>
  <c r="O29" i="16"/>
  <c r="N29" i="16"/>
  <c r="O26" i="16"/>
  <c r="N26" i="16"/>
  <c r="L29" i="16"/>
  <c r="K29" i="16"/>
  <c r="E29" i="16" s="1"/>
  <c r="L26" i="16"/>
  <c r="F26" i="16" s="1"/>
  <c r="I29" i="16"/>
  <c r="L22" i="16"/>
  <c r="F22" i="16" s="1"/>
  <c r="AN54" i="16"/>
  <c r="AN53" i="16"/>
  <c r="AN50" i="16"/>
  <c r="AN76" i="16"/>
  <c r="AN75" i="16"/>
  <c r="AN74" i="16"/>
  <c r="AN73" i="16"/>
  <c r="AN72" i="16"/>
  <c r="J141" i="17"/>
  <c r="I141" i="17"/>
  <c r="H141" i="17"/>
  <c r="G141" i="17"/>
  <c r="F141" i="17"/>
  <c r="E141" i="17"/>
  <c r="L112" i="17"/>
  <c r="J112" i="17"/>
  <c r="I112" i="17"/>
  <c r="H112" i="17"/>
  <c r="G112" i="17"/>
  <c r="E112" i="17"/>
  <c r="DQ111" i="17"/>
  <c r="B5" i="17"/>
  <c r="A3" i="13"/>
  <c r="H15" i="6"/>
  <c r="I15" i="6"/>
  <c r="J15" i="6"/>
  <c r="K15" i="6"/>
  <c r="L15" i="6"/>
  <c r="U15" i="6"/>
  <c r="V15" i="6"/>
  <c r="X15" i="6"/>
  <c r="Y15" i="6"/>
  <c r="H20" i="6"/>
  <c r="I20" i="6"/>
  <c r="J20" i="6"/>
  <c r="K20" i="6"/>
  <c r="L20" i="6"/>
  <c r="U20" i="6"/>
  <c r="V20" i="6"/>
  <c r="W20" i="6"/>
  <c r="W21" i="6" s="1"/>
  <c r="X20" i="6"/>
  <c r="Y20" i="6"/>
  <c r="I29" i="6"/>
  <c r="J29" i="6"/>
  <c r="K29" i="6"/>
  <c r="L29" i="6"/>
  <c r="M29" i="6"/>
  <c r="N29" i="6"/>
  <c r="O29" i="6"/>
  <c r="P29" i="6"/>
  <c r="Y29" i="6"/>
  <c r="Z29" i="6"/>
  <c r="AA29" i="6"/>
  <c r="AB29" i="6"/>
  <c r="H38" i="6"/>
  <c r="I38" i="6"/>
  <c r="J38" i="6"/>
  <c r="O38" i="6"/>
  <c r="P38" i="6"/>
  <c r="U38" i="6"/>
  <c r="V38" i="6"/>
  <c r="W38" i="6"/>
  <c r="X38" i="6"/>
  <c r="Y38" i="6"/>
  <c r="Z38" i="6"/>
  <c r="DR28" i="5"/>
  <c r="DS28" i="5"/>
  <c r="DT28" i="5"/>
  <c r="DU28" i="5"/>
  <c r="DV28" i="5"/>
  <c r="DW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EQ28" i="5"/>
  <c r="ER28" i="5"/>
  <c r="ES28" i="5"/>
  <c r="DP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ES30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EQ32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ES33" i="5"/>
  <c r="CB34" i="5"/>
  <c r="DN36" i="5"/>
  <c r="CF66" i="4"/>
  <c r="CF67" i="4"/>
  <c r="CF68" i="4"/>
  <c r="F69" i="2"/>
  <c r="CC69" i="2" s="1"/>
  <c r="G69" i="2"/>
  <c r="CD69" i="2" s="1"/>
  <c r="H69" i="2"/>
  <c r="CE69" i="2" s="1"/>
  <c r="I69" i="2"/>
  <c r="CF69" i="2" s="1"/>
  <c r="J69" i="2"/>
  <c r="CG69" i="2" s="1"/>
  <c r="K69" i="2"/>
  <c r="L69" i="2"/>
  <c r="CI69" i="2" s="1"/>
  <c r="M69" i="2"/>
  <c r="CJ69" i="2" s="1"/>
  <c r="G74" i="2"/>
  <c r="I74" i="2"/>
  <c r="J74" i="2"/>
  <c r="L74" i="2"/>
  <c r="M74" i="2"/>
  <c r="K22" i="16"/>
  <c r="DP29" i="5"/>
  <c r="DM29" i="5"/>
  <c r="DL29" i="5"/>
  <c r="DM30" i="5"/>
  <c r="DN29" i="5"/>
  <c r="DN30" i="5"/>
  <c r="DN32" i="5"/>
  <c r="DP32" i="5"/>
  <c r="DQ112" i="17"/>
  <c r="CI98" i="7" l="1"/>
  <c r="CH98" i="7"/>
  <c r="CH49" i="7"/>
  <c r="CI49" i="7"/>
  <c r="CC49" i="7"/>
  <c r="CH36" i="7"/>
  <c r="CI36" i="7"/>
  <c r="CI120" i="7"/>
  <c r="CH120" i="7"/>
  <c r="CH21" i="7"/>
  <c r="CI21" i="7"/>
  <c r="CC21" i="7"/>
  <c r="CH81" i="7"/>
  <c r="CI81" i="7"/>
  <c r="CF31" i="4"/>
  <c r="CD31" i="4"/>
  <c r="CP31" i="4"/>
  <c r="CR31" i="4"/>
  <c r="CE31" i="4"/>
  <c r="CC31" i="4"/>
  <c r="CO31" i="4"/>
  <c r="CQ31" i="4"/>
  <c r="CE34" i="4"/>
  <c r="CC34" i="4"/>
  <c r="CO34" i="4"/>
  <c r="CQ34" i="4"/>
  <c r="CC30" i="4"/>
  <c r="CE30" i="4"/>
  <c r="CO30" i="4"/>
  <c r="CQ30" i="4"/>
  <c r="CD34" i="4"/>
  <c r="CF34" i="4"/>
  <c r="CP34" i="4"/>
  <c r="CR34" i="4"/>
  <c r="CD39" i="4"/>
  <c r="CF39" i="4"/>
  <c r="CP39" i="4"/>
  <c r="CR39" i="4"/>
  <c r="CD33" i="4"/>
  <c r="CF33" i="4"/>
  <c r="CP33" i="4"/>
  <c r="CR33" i="4"/>
  <c r="CF29" i="4"/>
  <c r="CD29" i="4"/>
  <c r="CP29" i="4"/>
  <c r="CR29" i="4"/>
  <c r="CO14" i="4"/>
  <c r="CQ14" i="4"/>
  <c r="CE28" i="4"/>
  <c r="CC28" i="4"/>
  <c r="CQ28" i="4"/>
  <c r="CO28" i="4"/>
  <c r="CE39" i="4"/>
  <c r="CC39" i="4"/>
  <c r="CO39" i="4"/>
  <c r="CQ39" i="4"/>
  <c r="CE33" i="4"/>
  <c r="CC33" i="4"/>
  <c r="CO33" i="4"/>
  <c r="CQ33" i="4"/>
  <c r="CC29" i="4"/>
  <c r="CE29" i="4"/>
  <c r="CO29" i="4"/>
  <c r="CQ29" i="4"/>
  <c r="CF22" i="4"/>
  <c r="CD22" i="4"/>
  <c r="CR22" i="4"/>
  <c r="CP22" i="4"/>
  <c r="CF28" i="4"/>
  <c r="CD28" i="4"/>
  <c r="CR28" i="4"/>
  <c r="CP28" i="4"/>
  <c r="CF35" i="4"/>
  <c r="CD35" i="4"/>
  <c r="CP35" i="4"/>
  <c r="CR35" i="4"/>
  <c r="CR13" i="4"/>
  <c r="CP13" i="4"/>
  <c r="CF30" i="4"/>
  <c r="CD30" i="4"/>
  <c r="CP30" i="4"/>
  <c r="CR30" i="4"/>
  <c r="CF36" i="4"/>
  <c r="CD36" i="4"/>
  <c r="CR36" i="4"/>
  <c r="CP36" i="4"/>
  <c r="CD32" i="4"/>
  <c r="CF32" i="4"/>
  <c r="CR32" i="4"/>
  <c r="CP32" i="4"/>
  <c r="CD24" i="4"/>
  <c r="CF24" i="4"/>
  <c r="CR24" i="4"/>
  <c r="CP24" i="4"/>
  <c r="CP14" i="4"/>
  <c r="CR14" i="4"/>
  <c r="CE35" i="4"/>
  <c r="CC35" i="4"/>
  <c r="CO35" i="4"/>
  <c r="CQ35" i="4"/>
  <c r="CC36" i="4"/>
  <c r="CE36" i="4"/>
  <c r="CQ36" i="4"/>
  <c r="CO36" i="4"/>
  <c r="CE32" i="4"/>
  <c r="CC32" i="4"/>
  <c r="CQ32" i="4"/>
  <c r="CO32" i="4"/>
  <c r="AM30" i="5"/>
  <c r="CD17" i="5"/>
  <c r="CB17" i="5"/>
  <c r="CC16" i="5"/>
  <c r="CE16" i="5"/>
  <c r="CB16" i="5"/>
  <c r="CD16" i="5"/>
  <c r="CC15" i="5"/>
  <c r="CE15" i="5"/>
  <c r="CD15" i="5"/>
  <c r="CB15" i="5"/>
  <c r="CC18" i="5"/>
  <c r="CE18" i="5"/>
  <c r="CD18" i="5"/>
  <c r="CB18" i="5"/>
  <c r="CC17" i="5"/>
  <c r="CE17" i="5"/>
  <c r="AM28" i="5"/>
  <c r="CB14" i="5"/>
  <c r="CD14" i="5"/>
  <c r="CC14" i="5"/>
  <c r="CE14" i="5"/>
  <c r="CJ45" i="17"/>
  <c r="DY45" i="17"/>
  <c r="B221" i="17" s="1"/>
  <c r="CF110" i="17"/>
  <c r="CC110" i="17"/>
  <c r="CG110" i="17"/>
  <c r="DZ45" i="17"/>
  <c r="CK45" i="17"/>
  <c r="CQ45" i="17"/>
  <c r="EF45" i="17"/>
  <c r="CR45" i="17"/>
  <c r="EG45" i="17"/>
  <c r="CS45" i="17"/>
  <c r="EH45" i="17"/>
  <c r="CC45" i="17"/>
  <c r="B172" i="2"/>
  <c r="CH69" i="2"/>
  <c r="CU69" i="2"/>
  <c r="CR69" i="2"/>
  <c r="CP69" i="2"/>
  <c r="CE67" i="4"/>
  <c r="CC67" i="4"/>
  <c r="CQ67" i="4"/>
  <c r="CO67" i="4"/>
  <c r="CN71" i="4"/>
  <c r="CB71" i="4"/>
  <c r="AS71" i="4" s="1"/>
  <c r="CD68" i="4"/>
  <c r="CR68" i="4"/>
  <c r="CP68" i="4"/>
  <c r="CD66" i="4"/>
  <c r="AS66" i="4" s="1"/>
  <c r="CR66" i="4"/>
  <c r="CP66" i="4"/>
  <c r="CF14" i="4"/>
  <c r="CD14" i="4"/>
  <c r="CC14" i="4"/>
  <c r="CE14" i="4"/>
  <c r="CE68" i="4"/>
  <c r="CC68" i="4"/>
  <c r="CQ68" i="4"/>
  <c r="CO68" i="4"/>
  <c r="CD67" i="4"/>
  <c r="CR67" i="4"/>
  <c r="CP67" i="4"/>
  <c r="CF13" i="4"/>
  <c r="CD13" i="4"/>
  <c r="CV120" i="7"/>
  <c r="CU120" i="7"/>
  <c r="CJ120" i="7"/>
  <c r="CW120" i="7"/>
  <c r="CJ81" i="7"/>
  <c r="CW81" i="7"/>
  <c r="CV81" i="7"/>
  <c r="CU81" i="7"/>
  <c r="CW108" i="7"/>
  <c r="CJ108" i="7"/>
  <c r="AZ108" i="7" s="1"/>
  <c r="AZ57" i="7"/>
  <c r="AZ84" i="7"/>
  <c r="CV98" i="7"/>
  <c r="CU98" i="7"/>
  <c r="CJ98" i="7"/>
  <c r="CW98" i="7"/>
  <c r="AZ85" i="7"/>
  <c r="BK16" i="18"/>
  <c r="BB16" i="18"/>
  <c r="T16" i="18" s="1"/>
  <c r="BJ16" i="18"/>
  <c r="DL17" i="5"/>
  <c r="DN17" i="5"/>
  <c r="CC34" i="5"/>
  <c r="CE34" i="5"/>
  <c r="DM14" i="5"/>
  <c r="DO14" i="5"/>
  <c r="DM17" i="5"/>
  <c r="DO17" i="5"/>
  <c r="DL16" i="5"/>
  <c r="DN16" i="5"/>
  <c r="CC31" i="5"/>
  <c r="CE31" i="5"/>
  <c r="CD34" i="5"/>
  <c r="DN37" i="5"/>
  <c r="DL14" i="5"/>
  <c r="DN14" i="5"/>
  <c r="DO15" i="5"/>
  <c r="DM15" i="5"/>
  <c r="DM16" i="5"/>
  <c r="DO16" i="5"/>
  <c r="DN15" i="5"/>
  <c r="DL15" i="5"/>
  <c r="CE33" i="5"/>
  <c r="CC33" i="5"/>
  <c r="DO18" i="5"/>
  <c r="DM18" i="5"/>
  <c r="CD33" i="5"/>
  <c r="CB33" i="5"/>
  <c r="DN18" i="5"/>
  <c r="DL18" i="5"/>
  <c r="AM32" i="5"/>
  <c r="AR73" i="16"/>
  <c r="AM73" i="16"/>
  <c r="AK73" i="16"/>
  <c r="AT73" i="16"/>
  <c r="AL20" i="16"/>
  <c r="AU20" i="16"/>
  <c r="AS20" i="16"/>
  <c r="AR74" i="16"/>
  <c r="AM74" i="16"/>
  <c r="AK74" i="16"/>
  <c r="AT74" i="16"/>
  <c r="AS53" i="16"/>
  <c r="AL53" i="16"/>
  <c r="AU53" i="16"/>
  <c r="AK24" i="16"/>
  <c r="AR24" i="16"/>
  <c r="AM24" i="16"/>
  <c r="AT24" i="16"/>
  <c r="AT36" i="16"/>
  <c r="AM36" i="16"/>
  <c r="AK36" i="16"/>
  <c r="AR36" i="16"/>
  <c r="AL21" i="16"/>
  <c r="AU21" i="16"/>
  <c r="AS21" i="16"/>
  <c r="AU33" i="16"/>
  <c r="AS33" i="16"/>
  <c r="AL33" i="16"/>
  <c r="AR23" i="16"/>
  <c r="AK23" i="16"/>
  <c r="AT23" i="16"/>
  <c r="AM23" i="16"/>
  <c r="AL32" i="16"/>
  <c r="AS32" i="16"/>
  <c r="AU32" i="16"/>
  <c r="AT75" i="16"/>
  <c r="AR75" i="16"/>
  <c r="AK75" i="16"/>
  <c r="AM75" i="16"/>
  <c r="AU54" i="16"/>
  <c r="AS54" i="16"/>
  <c r="AL54" i="16"/>
  <c r="AT25" i="16"/>
  <c r="AM25" i="16"/>
  <c r="AR25" i="16"/>
  <c r="AK25" i="16"/>
  <c r="AM37" i="16"/>
  <c r="AK37" i="16"/>
  <c r="AT37" i="16"/>
  <c r="AR37" i="16"/>
  <c r="AS23" i="16"/>
  <c r="AU23" i="16"/>
  <c r="AL23" i="16"/>
  <c r="AS36" i="16"/>
  <c r="AL36" i="16"/>
  <c r="AU36" i="16"/>
  <c r="AL50" i="16"/>
  <c r="AU50" i="16"/>
  <c r="AS50" i="16"/>
  <c r="AT40" i="16"/>
  <c r="AR40" i="16"/>
  <c r="AK40" i="16"/>
  <c r="AM40" i="16"/>
  <c r="AL72" i="16"/>
  <c r="AU72" i="16"/>
  <c r="AS72" i="16"/>
  <c r="AM27" i="16"/>
  <c r="AT27" i="16"/>
  <c r="AR27" i="16"/>
  <c r="AK27" i="16"/>
  <c r="AM38" i="16"/>
  <c r="AK38" i="16"/>
  <c r="AT38" i="16"/>
  <c r="AR38" i="16"/>
  <c r="AS24" i="16"/>
  <c r="AU24" i="16"/>
  <c r="AL24" i="16"/>
  <c r="AU37" i="16"/>
  <c r="AS37" i="16"/>
  <c r="AL37" i="16"/>
  <c r="AR33" i="16"/>
  <c r="AT33" i="16"/>
  <c r="AM33" i="16"/>
  <c r="AK33" i="16"/>
  <c r="AU73" i="16"/>
  <c r="AL73" i="16"/>
  <c r="AS73" i="16"/>
  <c r="AK28" i="16"/>
  <c r="AM28" i="16"/>
  <c r="AT28" i="16"/>
  <c r="AR28" i="16"/>
  <c r="AK39" i="16"/>
  <c r="AT39" i="16"/>
  <c r="AR39" i="16"/>
  <c r="AM39" i="16"/>
  <c r="AU25" i="16"/>
  <c r="AS25" i="16"/>
  <c r="AL25" i="16"/>
  <c r="AU38" i="16"/>
  <c r="AS38" i="16"/>
  <c r="AL38" i="16"/>
  <c r="AM50" i="16"/>
  <c r="AR50" i="16"/>
  <c r="AK50" i="16"/>
  <c r="AT50" i="16"/>
  <c r="AM21" i="16"/>
  <c r="AT21" i="16"/>
  <c r="AR21" i="16"/>
  <c r="AK21" i="16"/>
  <c r="AS74" i="16"/>
  <c r="AL74" i="16"/>
  <c r="AU74" i="16"/>
  <c r="AK17" i="16"/>
  <c r="AT17" i="16"/>
  <c r="AR17" i="16"/>
  <c r="AM17" i="16"/>
  <c r="AK30" i="16"/>
  <c r="AT30" i="16"/>
  <c r="AR30" i="16"/>
  <c r="AM30" i="16"/>
  <c r="AM42" i="16"/>
  <c r="AR42" i="16"/>
  <c r="AK42" i="16"/>
  <c r="AT42" i="16"/>
  <c r="AU27" i="16"/>
  <c r="AL27" i="16"/>
  <c r="AS27" i="16"/>
  <c r="AS39" i="16"/>
  <c r="AU39" i="16"/>
  <c r="AL39" i="16"/>
  <c r="AT76" i="16"/>
  <c r="AR76" i="16"/>
  <c r="AM76" i="16"/>
  <c r="AK76" i="16"/>
  <c r="AS75" i="16"/>
  <c r="AL75" i="16"/>
  <c r="AU75" i="16"/>
  <c r="AT53" i="16"/>
  <c r="AR53" i="16"/>
  <c r="AM53" i="16"/>
  <c r="AK53" i="16"/>
  <c r="AK18" i="16"/>
  <c r="AT18" i="16"/>
  <c r="AR18" i="16"/>
  <c r="AM18" i="16"/>
  <c r="AR31" i="16"/>
  <c r="AM31" i="16"/>
  <c r="AK31" i="16"/>
  <c r="AT31" i="16"/>
  <c r="AU16" i="16"/>
  <c r="AL16" i="16"/>
  <c r="S16" i="16" s="1"/>
  <c r="AS16" i="16"/>
  <c r="AS28" i="16"/>
  <c r="AL28" i="16"/>
  <c r="AU28" i="16"/>
  <c r="AL40" i="16"/>
  <c r="AS40" i="16"/>
  <c r="AU40" i="16"/>
  <c r="AM72" i="16"/>
  <c r="AK72" i="16"/>
  <c r="AT72" i="16"/>
  <c r="AR72" i="16"/>
  <c r="AU76" i="16"/>
  <c r="AS76" i="16"/>
  <c r="AL76" i="16"/>
  <c r="AT54" i="16"/>
  <c r="AR54" i="16"/>
  <c r="AM54" i="16"/>
  <c r="AK54" i="16"/>
  <c r="AR20" i="16"/>
  <c r="AK20" i="16"/>
  <c r="AT20" i="16"/>
  <c r="AM20" i="16"/>
  <c r="AM32" i="16"/>
  <c r="AK32" i="16"/>
  <c r="AT32" i="16"/>
  <c r="AR32" i="16"/>
  <c r="AS18" i="16"/>
  <c r="AL18" i="16"/>
  <c r="AU18" i="16"/>
  <c r="AL31" i="16"/>
  <c r="AU31" i="16"/>
  <c r="AS31" i="16"/>
  <c r="AL42" i="16"/>
  <c r="AU42" i="16"/>
  <c r="AS42" i="16"/>
  <c r="AK35" i="16"/>
  <c r="AT35" i="16"/>
  <c r="AR35" i="16"/>
  <c r="AM35" i="16"/>
  <c r="G34" i="16"/>
  <c r="CU36" i="7"/>
  <c r="CV36" i="7"/>
  <c r="CW36" i="7"/>
  <c r="CJ36" i="7"/>
  <c r="CJ21" i="7"/>
  <c r="CW21" i="7"/>
  <c r="CU21" i="7"/>
  <c r="CV21" i="7"/>
  <c r="CW45" i="7"/>
  <c r="CJ45" i="7"/>
  <c r="AZ45" i="7" s="1"/>
  <c r="CW49" i="7"/>
  <c r="CV49" i="7"/>
  <c r="CU49" i="7"/>
  <c r="CJ49" i="7"/>
  <c r="AZ22" i="7"/>
  <c r="AZ23" i="7"/>
  <c r="DN40" i="5"/>
  <c r="J19" i="16"/>
  <c r="G19" i="16"/>
  <c r="M19" i="16"/>
  <c r="P19" i="16"/>
  <c r="DQ31" i="5"/>
  <c r="DQ33" i="5"/>
  <c r="DQ34" i="5"/>
  <c r="E11" i="12"/>
  <c r="CW69" i="2"/>
  <c r="CV69" i="2"/>
  <c r="E71" i="17"/>
  <c r="DT111" i="17"/>
  <c r="DR111" i="17"/>
  <c r="DS111" i="17"/>
  <c r="CE110" i="17"/>
  <c r="DU111" i="17"/>
  <c r="CD110" i="17"/>
  <c r="M26" i="16"/>
  <c r="D69" i="2"/>
  <c r="F20" i="6"/>
  <c r="E38" i="6"/>
  <c r="F29" i="6"/>
  <c r="F38" i="6"/>
  <c r="P43" i="16"/>
  <c r="M34" i="16"/>
  <c r="F59" i="17"/>
  <c r="F64" i="17"/>
  <c r="F56" i="17"/>
  <c r="F71" i="17"/>
  <c r="E29" i="6"/>
  <c r="F15" i="6"/>
  <c r="E20" i="6"/>
  <c r="E15" i="6"/>
  <c r="D74" i="2"/>
  <c r="P26" i="16"/>
  <c r="P22" i="16"/>
  <c r="M29" i="16"/>
  <c r="G26" i="16"/>
  <c r="CG37" i="4"/>
  <c r="AT37" i="4" s="1"/>
  <c r="G29" i="16"/>
  <c r="F34" i="16"/>
  <c r="D34" i="16" s="1"/>
  <c r="F41" i="16"/>
  <c r="D41" i="16" s="1"/>
  <c r="AG7" i="1"/>
  <c r="D4" i="12" s="1"/>
  <c r="J22" i="16"/>
  <c r="J34" i="16"/>
  <c r="M22" i="16"/>
  <c r="CS69" i="2"/>
  <c r="CQ69" i="2"/>
  <c r="P29" i="16"/>
  <c r="G41" i="16"/>
  <c r="E43" i="16"/>
  <c r="G22" i="16"/>
  <c r="J29" i="16"/>
  <c r="G43" i="16"/>
  <c r="M43" i="16"/>
  <c r="H21" i="6"/>
  <c r="U21" i="6"/>
  <c r="F29" i="16"/>
  <c r="D29" i="16" s="1"/>
  <c r="P34" i="16"/>
  <c r="F43" i="16"/>
  <c r="D19" i="16"/>
  <c r="P41" i="16"/>
  <c r="J43" i="16"/>
  <c r="CO79" i="2"/>
  <c r="DL34" i="5"/>
  <c r="DN34" i="5"/>
  <c r="F73" i="17"/>
  <c r="D26" i="16"/>
  <c r="J41" i="16"/>
  <c r="CO78" i="2"/>
  <c r="L21" i="6"/>
  <c r="X21" i="6"/>
  <c r="D112" i="17"/>
  <c r="E73" i="17"/>
  <c r="C2" i="12"/>
  <c r="K21" i="6"/>
  <c r="K141" i="17"/>
  <c r="M41" i="16"/>
  <c r="DN33" i="5"/>
  <c r="I21" i="6"/>
  <c r="E22" i="16"/>
  <c r="D22" i="16" s="1"/>
  <c r="Y21" i="6"/>
  <c r="D141" i="17"/>
  <c r="K139" i="17"/>
  <c r="K140" i="17"/>
  <c r="J26" i="16"/>
  <c r="DM36" i="5"/>
  <c r="DM32" i="5"/>
  <c r="DL32" i="5"/>
  <c r="DP33" i="5"/>
  <c r="DL33" i="5"/>
  <c r="DP34" i="5"/>
  <c r="DP36" i="5"/>
  <c r="DL31" i="5"/>
  <c r="DP31" i="5"/>
  <c r="DN31" i="5"/>
  <c r="DM34" i="5"/>
  <c r="DL30" i="5"/>
  <c r="DP28" i="5"/>
  <c r="DM31" i="5"/>
  <c r="V21" i="6"/>
  <c r="CT69" i="2"/>
  <c r="J21" i="6"/>
  <c r="DL36" i="5"/>
  <c r="DM33" i="5"/>
  <c r="AT31" i="4" l="1"/>
  <c r="CH34" i="7"/>
  <c r="CI34" i="7"/>
  <c r="CC34" i="7"/>
  <c r="CI35" i="7"/>
  <c r="CH35" i="7"/>
  <c r="CH58" i="7"/>
  <c r="CI58" i="7"/>
  <c r="CC58" i="7"/>
  <c r="CI82" i="7"/>
  <c r="CH82" i="7"/>
  <c r="CI92" i="7"/>
  <c r="CH92" i="7"/>
  <c r="CH30" i="7"/>
  <c r="CI30" i="7"/>
  <c r="CC30" i="7"/>
  <c r="CI25" i="7"/>
  <c r="CH25" i="7"/>
  <c r="CC25" i="7"/>
  <c r="CH37" i="7"/>
  <c r="CI37" i="7"/>
  <c r="CH99" i="7"/>
  <c r="CI99" i="7"/>
  <c r="CH83" i="7"/>
  <c r="CI83" i="7"/>
  <c r="CH87" i="7"/>
  <c r="CI87" i="7"/>
  <c r="CH91" i="7"/>
  <c r="CI91" i="7"/>
  <c r="CI51" i="7"/>
  <c r="CH51" i="7"/>
  <c r="CC51" i="7"/>
  <c r="CH93" i="7"/>
  <c r="CI93" i="7"/>
  <c r="CH113" i="7"/>
  <c r="CI113" i="7"/>
  <c r="CH50" i="7"/>
  <c r="CI50" i="7"/>
  <c r="CC50" i="7"/>
  <c r="CI86" i="7"/>
  <c r="CH86" i="7"/>
  <c r="CH88" i="7"/>
  <c r="CI88" i="7"/>
  <c r="CI27" i="7"/>
  <c r="CH27" i="7"/>
  <c r="CC27" i="7"/>
  <c r="CI118" i="7"/>
  <c r="CH118" i="7"/>
  <c r="CH97" i="7"/>
  <c r="CI97" i="7"/>
  <c r="CI96" i="7"/>
  <c r="CH96" i="7"/>
  <c r="CH20" i="7"/>
  <c r="CI20" i="7"/>
  <c r="CC20" i="7"/>
  <c r="CI112" i="7"/>
  <c r="CH112" i="7"/>
  <c r="CH38" i="7"/>
  <c r="CI38" i="7"/>
  <c r="CH29" i="7"/>
  <c r="CI29" i="7"/>
  <c r="CC29" i="7"/>
  <c r="CH47" i="7"/>
  <c r="CI47" i="7"/>
  <c r="CC47" i="7"/>
  <c r="CH24" i="7"/>
  <c r="CI24" i="7"/>
  <c r="CC24" i="7"/>
  <c r="CH26" i="7"/>
  <c r="CI26" i="7"/>
  <c r="CC26" i="7"/>
  <c r="CH89" i="7"/>
  <c r="CI89" i="7"/>
  <c r="CH111" i="7"/>
  <c r="CI111" i="7"/>
  <c r="CI31" i="7"/>
  <c r="CH31" i="7"/>
  <c r="CC31" i="7"/>
  <c r="AT36" i="4"/>
  <c r="AT24" i="4"/>
  <c r="AT29" i="4"/>
  <c r="AT32" i="4"/>
  <c r="AT35" i="4"/>
  <c r="AT22" i="4"/>
  <c r="AT33" i="4"/>
  <c r="AT28" i="4"/>
  <c r="AT30" i="4"/>
  <c r="AT34" i="4"/>
  <c r="U45" i="17"/>
  <c r="P110" i="17"/>
  <c r="AM18" i="5"/>
  <c r="AM16" i="5"/>
  <c r="AM15" i="5"/>
  <c r="AM17" i="5"/>
  <c r="AM14" i="5"/>
  <c r="AS68" i="4"/>
  <c r="AS67" i="4"/>
  <c r="B146" i="7"/>
  <c r="B109" i="16"/>
  <c r="S72" i="16"/>
  <c r="B110" i="16"/>
  <c r="B111" i="5"/>
  <c r="B81" i="6"/>
  <c r="B41" i="18"/>
  <c r="E15" i="12" s="1"/>
  <c r="CN76" i="4"/>
  <c r="CB76" i="4"/>
  <c r="AS76" i="4" s="1"/>
  <c r="CN65" i="4"/>
  <c r="CB65" i="4"/>
  <c r="AS65" i="4" s="1"/>
  <c r="B93" i="4"/>
  <c r="E7" i="12" s="1"/>
  <c r="B173" i="2"/>
  <c r="D5" i="12" s="1"/>
  <c r="S33" i="16"/>
  <c r="S38" i="16"/>
  <c r="S32" i="16"/>
  <c r="S50" i="16"/>
  <c r="S28" i="16"/>
  <c r="S18" i="16"/>
  <c r="S76" i="16"/>
  <c r="S25" i="16"/>
  <c r="S24" i="16"/>
  <c r="S53" i="16"/>
  <c r="S30" i="16"/>
  <c r="S21" i="16"/>
  <c r="S36" i="16"/>
  <c r="S37" i="16"/>
  <c r="S31" i="16"/>
  <c r="S39" i="16"/>
  <c r="S27" i="16"/>
  <c r="S35" i="16"/>
  <c r="S20" i="16"/>
  <c r="S42" i="16"/>
  <c r="S73" i="16"/>
  <c r="S75" i="16"/>
  <c r="S74" i="16"/>
  <c r="S40" i="16"/>
  <c r="S23" i="16"/>
  <c r="S54" i="16"/>
  <c r="S17" i="16"/>
  <c r="AM33" i="5"/>
  <c r="CB14" i="4"/>
  <c r="AT14" i="4" s="1"/>
  <c r="CN14" i="4"/>
  <c r="CB15" i="4"/>
  <c r="AT15" i="4" s="1"/>
  <c r="CN15" i="4"/>
  <c r="CB13" i="4"/>
  <c r="AT13" i="4" s="1"/>
  <c r="CH39" i="4"/>
  <c r="CG39" i="4"/>
  <c r="CT39" i="4"/>
  <c r="CS39" i="4"/>
  <c r="CB16" i="4"/>
  <c r="AT16" i="4" s="1"/>
  <c r="CN16" i="4"/>
  <c r="CG38" i="4"/>
  <c r="AT38" i="4" s="1"/>
  <c r="CH40" i="4"/>
  <c r="AT40" i="4" s="1"/>
  <c r="CT40" i="4"/>
  <c r="CB17" i="4"/>
  <c r="AT17" i="4" s="1"/>
  <c r="CN17" i="4"/>
  <c r="CS37" i="4"/>
  <c r="CS38" i="4"/>
  <c r="CW107" i="7"/>
  <c r="CJ107" i="7"/>
  <c r="AZ107" i="7" s="1"/>
  <c r="CV96" i="7"/>
  <c r="CU96" i="7"/>
  <c r="CJ96" i="7"/>
  <c r="CW96" i="7"/>
  <c r="CW99" i="7"/>
  <c r="CU99" i="7"/>
  <c r="CV99" i="7"/>
  <c r="CJ99" i="7"/>
  <c r="CV83" i="7"/>
  <c r="CW83" i="7"/>
  <c r="CJ83" i="7"/>
  <c r="CU83" i="7"/>
  <c r="AZ120" i="7"/>
  <c r="CU118" i="7"/>
  <c r="CJ118" i="7"/>
  <c r="CW118" i="7"/>
  <c r="CV118" i="7"/>
  <c r="AZ81" i="7"/>
  <c r="CJ97" i="7"/>
  <c r="CV97" i="7"/>
  <c r="CW97" i="7"/>
  <c r="CU97" i="7"/>
  <c r="CV112" i="7"/>
  <c r="CU112" i="7"/>
  <c r="CJ112" i="7"/>
  <c r="CW112" i="7"/>
  <c r="CV87" i="7"/>
  <c r="CU87" i="7"/>
  <c r="CW87" i="7"/>
  <c r="CJ87" i="7"/>
  <c r="CW89" i="7"/>
  <c r="CV89" i="7"/>
  <c r="CJ89" i="7"/>
  <c r="CU89" i="7"/>
  <c r="CJ111" i="7"/>
  <c r="CW111" i="7"/>
  <c r="CV111" i="7"/>
  <c r="CU111" i="7"/>
  <c r="CW93" i="7"/>
  <c r="CV93" i="7"/>
  <c r="CU93" i="7"/>
  <c r="CJ93" i="7"/>
  <c r="CU92" i="7"/>
  <c r="CJ92" i="7"/>
  <c r="CW92" i="7"/>
  <c r="CV92" i="7"/>
  <c r="CW113" i="7"/>
  <c r="CV113" i="7"/>
  <c r="CU113" i="7"/>
  <c r="CJ113" i="7"/>
  <c r="CW91" i="7"/>
  <c r="CV91" i="7"/>
  <c r="CU91" i="7"/>
  <c r="CJ91" i="7"/>
  <c r="CJ106" i="7"/>
  <c r="AZ106" i="7" s="1"/>
  <c r="CW106" i="7"/>
  <c r="CV86" i="7"/>
  <c r="CJ86" i="7"/>
  <c r="CW86" i="7"/>
  <c r="CU86" i="7"/>
  <c r="CU88" i="7"/>
  <c r="CJ88" i="7"/>
  <c r="AZ88" i="7" s="1"/>
  <c r="CW88" i="7"/>
  <c r="CV88" i="7"/>
  <c r="CV82" i="7"/>
  <c r="CW82" i="7"/>
  <c r="CJ82" i="7"/>
  <c r="CU82" i="7"/>
  <c r="AZ98" i="7"/>
  <c r="BB15" i="18"/>
  <c r="BJ15" i="18"/>
  <c r="BC15" i="18"/>
  <c r="BK15" i="18"/>
  <c r="BM22" i="18"/>
  <c r="BC22" i="18"/>
  <c r="BJ22" i="18"/>
  <c r="BB22" i="18"/>
  <c r="BD22" i="18"/>
  <c r="BE22" i="18"/>
  <c r="BK22" i="18"/>
  <c r="BL22" i="18"/>
  <c r="BE24" i="18"/>
  <c r="BL24" i="18"/>
  <c r="BM24" i="18"/>
  <c r="BB24" i="18"/>
  <c r="BC24" i="18"/>
  <c r="BD24" i="18"/>
  <c r="BJ24" i="18"/>
  <c r="BK24" i="18"/>
  <c r="BE23" i="18"/>
  <c r="BJ23" i="18"/>
  <c r="BK23" i="18"/>
  <c r="BL23" i="18"/>
  <c r="BM23" i="18"/>
  <c r="BD23" i="18"/>
  <c r="BB23" i="18"/>
  <c r="BC23" i="18"/>
  <c r="BM26" i="18"/>
  <c r="BB26" i="18"/>
  <c r="BC26" i="18"/>
  <c r="BE26" i="18"/>
  <c r="BJ26" i="18"/>
  <c r="BK26" i="18"/>
  <c r="BD26" i="18"/>
  <c r="BL26" i="18"/>
  <c r="AM31" i="5"/>
  <c r="AM34" i="5"/>
  <c r="CJ25" i="7"/>
  <c r="CU25" i="7"/>
  <c r="CV25" i="7"/>
  <c r="CW25" i="7"/>
  <c r="CJ24" i="7"/>
  <c r="CW24" i="7"/>
  <c r="CV24" i="7"/>
  <c r="CU24" i="7"/>
  <c r="CJ26" i="7"/>
  <c r="CV26" i="7"/>
  <c r="CW26" i="7"/>
  <c r="CU26" i="7"/>
  <c r="CU51" i="7"/>
  <c r="CJ51" i="7"/>
  <c r="CW51" i="7"/>
  <c r="CV51" i="7"/>
  <c r="CJ46" i="7"/>
  <c r="CW46" i="7"/>
  <c r="CU35" i="7"/>
  <c r="CV35" i="7"/>
  <c r="CW35" i="7"/>
  <c r="CJ35" i="7"/>
  <c r="CW50" i="7"/>
  <c r="CV50" i="7"/>
  <c r="CU50" i="7"/>
  <c r="CJ50" i="7"/>
  <c r="CJ58" i="7"/>
  <c r="CW58" i="7"/>
  <c r="CV58" i="7"/>
  <c r="CU58" i="7"/>
  <c r="CW44" i="7"/>
  <c r="CJ44" i="7"/>
  <c r="AZ44" i="7" s="1"/>
  <c r="CJ31" i="7"/>
  <c r="CW31" i="7"/>
  <c r="CV31" i="7"/>
  <c r="CU31" i="7"/>
  <c r="CJ38" i="7"/>
  <c r="CU38" i="7"/>
  <c r="CV38" i="7"/>
  <c r="CW38" i="7"/>
  <c r="CJ37" i="7"/>
  <c r="CU37" i="7"/>
  <c r="CV37" i="7"/>
  <c r="CW37" i="7"/>
  <c r="CW30" i="7"/>
  <c r="CV30" i="7"/>
  <c r="CU30" i="7"/>
  <c r="CJ30" i="7"/>
  <c r="CJ27" i="7"/>
  <c r="CU27" i="7"/>
  <c r="CW27" i="7"/>
  <c r="CV27" i="7"/>
  <c r="CJ34" i="7"/>
  <c r="CW34" i="7"/>
  <c r="CV34" i="7"/>
  <c r="CU34" i="7"/>
  <c r="CW29" i="7"/>
  <c r="CV29" i="7"/>
  <c r="CU29" i="7"/>
  <c r="CJ29" i="7"/>
  <c r="CW47" i="7"/>
  <c r="CJ47" i="7"/>
  <c r="CV47" i="7"/>
  <c r="CU47" i="7"/>
  <c r="CJ20" i="7"/>
  <c r="CW20" i="7"/>
  <c r="CV20" i="7"/>
  <c r="CU20" i="7"/>
  <c r="AZ36" i="7"/>
  <c r="AZ21" i="7"/>
  <c r="AZ49" i="7"/>
  <c r="D43" i="16"/>
  <c r="E5" i="12"/>
  <c r="CN13" i="4"/>
  <c r="N69" i="2"/>
  <c r="D20" i="6"/>
  <c r="B110" i="5"/>
  <c r="D38" i="6"/>
  <c r="D73" i="17"/>
  <c r="F21" i="6"/>
  <c r="E21" i="6"/>
  <c r="D52" i="17"/>
  <c r="D15" i="6"/>
  <c r="D56" i="17"/>
  <c r="D29" i="6"/>
  <c r="D49" i="17"/>
  <c r="D18" i="17"/>
  <c r="D71" i="17"/>
  <c r="D27" i="17"/>
  <c r="D59" i="17"/>
  <c r="D37" i="17"/>
  <c r="D64" i="17"/>
  <c r="D24" i="17"/>
  <c r="D21" i="17"/>
  <c r="D15" i="17"/>
  <c r="B220" i="17" s="1"/>
  <c r="E13" i="12"/>
  <c r="AT39" i="4" l="1"/>
  <c r="B94" i="4"/>
  <c r="D7" i="12" s="1"/>
  <c r="B147" i="7"/>
  <c r="D10" i="12" s="1"/>
  <c r="AZ99" i="7"/>
  <c r="V26" i="18"/>
  <c r="V24" i="18"/>
  <c r="V23" i="18"/>
  <c r="B42" i="18"/>
  <c r="D15" i="12" s="1"/>
  <c r="CB55" i="6"/>
  <c r="AC55" i="6" s="1"/>
  <c r="CB48" i="6"/>
  <c r="AC48" i="6" s="1"/>
  <c r="CO53" i="6"/>
  <c r="CO54" i="6"/>
  <c r="CO56" i="6"/>
  <c r="CO55" i="6"/>
  <c r="CN55" i="6"/>
  <c r="CO57" i="6"/>
  <c r="CO48" i="6"/>
  <c r="T15" i="18"/>
  <c r="V22" i="18"/>
  <c r="AZ89" i="7"/>
  <c r="AZ50" i="7"/>
  <c r="AZ26" i="7"/>
  <c r="AZ37" i="7"/>
  <c r="AZ29" i="7"/>
  <c r="AZ30" i="7"/>
  <c r="E6" i="12"/>
  <c r="AZ20" i="7"/>
  <c r="AZ93" i="7"/>
  <c r="AZ83" i="7"/>
  <c r="AZ47" i="7"/>
  <c r="AZ111" i="7"/>
  <c r="AZ97" i="7"/>
  <c r="AZ91" i="7"/>
  <c r="AZ113" i="7"/>
  <c r="AZ112" i="7"/>
  <c r="AZ118" i="7"/>
  <c r="AZ58" i="7"/>
  <c r="AZ86" i="7"/>
  <c r="AZ82" i="7"/>
  <c r="AZ92" i="7"/>
  <c r="AZ87" i="7"/>
  <c r="AZ96" i="7"/>
  <c r="AZ51" i="7"/>
  <c r="AZ25" i="7"/>
  <c r="AZ24" i="7"/>
  <c r="AZ38" i="7"/>
  <c r="AZ35" i="7"/>
  <c r="AZ31" i="7"/>
  <c r="AZ27" i="7"/>
  <c r="AZ46" i="7"/>
  <c r="AZ34" i="7"/>
  <c r="D13" i="12"/>
  <c r="E8" i="12"/>
  <c r="D12" i="12"/>
  <c r="E12" i="12"/>
  <c r="D21" i="6"/>
  <c r="CB43" i="6" l="1"/>
  <c r="AC43" i="6" s="1"/>
  <c r="CO43" i="6"/>
  <c r="B82" i="6" s="1"/>
  <c r="E9" i="12"/>
  <c r="D8" i="12"/>
  <c r="E10" i="12"/>
  <c r="D9" i="12" l="1"/>
  <c r="D6" i="12" l="1"/>
  <c r="D17" i="12" s="1"/>
  <c r="B10" i="13" s="1"/>
  <c r="Y25" i="2"/>
</calcChain>
</file>

<file path=xl/sharedStrings.xml><?xml version="1.0" encoding="utf-8"?>
<sst xmlns="http://schemas.openxmlformats.org/spreadsheetml/2006/main" count="20212" uniqueCount="1667">
  <si>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</si>
  <si>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</si>
  <si>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</si>
  <si>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</si>
  <si>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</si>
  <si>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</si>
  <si>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</si>
  <si>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JUNIO</t>
  </si>
  <si>
    <t>Establecimiento de Mayor Complejidad (EMAYC)</t>
  </si>
  <si>
    <t>SERVICIO DE SALUD</t>
  </si>
  <si>
    <t>Jefe/a de Estadísticas</t>
  </si>
  <si>
    <t>DICIEMBRE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</si>
  <si>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</si>
  <si>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</si>
  <si>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</si>
  <si>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</si>
  <si>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</si>
  <si>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</si>
  <si>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</si>
  <si>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</si>
  <si>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</si>
  <si>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</si>
  <si>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</si>
  <si>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</si>
  <si>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</si>
  <si>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</si>
  <si>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</si>
  <si>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</si>
  <si>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</si>
  <si>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</si>
  <si>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</si>
  <si>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</si>
  <si>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</si>
  <si>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</si>
  <si>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</si>
  <si>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</si>
  <si>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</si>
  <si>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</si>
  <si>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</si>
  <si>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</si>
  <si>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</si>
  <si>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</si>
  <si>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</si>
  <si>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</si>
  <si>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</si>
  <si>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</si>
  <si>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</si>
  <si>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</si>
  <si>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</si>
  <si>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</si>
  <si>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</si>
  <si>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</si>
  <si>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</si>
  <si>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</si>
  <si>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</si>
  <si>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</si>
  <si>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</si>
  <si>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</si>
  <si>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</si>
  <si>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</si>
  <si>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</si>
  <si>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</si>
  <si>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</si>
  <si>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</si>
  <si>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</si>
  <si>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</si>
  <si>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</si>
  <si>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</si>
  <si>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</si>
  <si>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</si>
  <si>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</si>
  <si>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</si>
  <si>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</si>
  <si>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</si>
  <si>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</si>
  <si>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</si>
  <si>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</si>
  <si>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</si>
  <si>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</si>
  <si>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</si>
  <si>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</si>
  <si>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</si>
  <si>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</si>
  <si>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</si>
  <si>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</si>
  <si>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</si>
  <si>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</si>
  <si>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</si>
  <si>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</si>
  <si>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</si>
  <si>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</si>
  <si>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</si>
  <si>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</si>
  <si>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</si>
  <si>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</si>
  <si>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</si>
  <si>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</si>
  <si>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</si>
  <si>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</si>
  <si>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</si>
  <si>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</si>
  <si>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</si>
  <si>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</si>
  <si>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</si>
  <si>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</si>
  <si>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</si>
  <si>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</si>
  <si>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</si>
  <si>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</si>
  <si>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</si>
  <si>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</si>
  <si>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</si>
  <si>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</si>
  <si>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</si>
  <si>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</si>
  <si>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</si>
  <si>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</si>
  <si>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</si>
  <si>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</si>
  <si>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</si>
  <si>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</si>
  <si>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</si>
  <si>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</si>
  <si>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</si>
  <si>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</si>
  <si>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</si>
  <si>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</si>
  <si>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</si>
  <si>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</si>
  <si>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</si>
  <si>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</si>
  <si>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</si>
  <si>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</si>
  <si>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</si>
  <si>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</si>
  <si>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</si>
  <si>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</si>
  <si>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</si>
  <si>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</si>
  <si>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</si>
  <si>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</si>
  <si>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</si>
  <si>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</si>
  <si>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</si>
  <si>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</si>
  <si>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</si>
  <si>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</si>
  <si>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</si>
  <si>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</si>
  <si>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</si>
  <si>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55 a 60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</si>
  <si>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</si>
  <si>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</si>
  <si>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</si>
  <si>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</si>
  <si>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</si>
  <si>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</si>
  <si>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</si>
  <si>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</si>
  <si>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</si>
  <si>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</si>
  <si>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</si>
  <si>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</si>
  <si>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</si>
  <si>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</si>
  <si>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</si>
  <si>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</si>
  <si>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</si>
  <si>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</si>
  <si>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</si>
  <si>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</si>
  <si>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</si>
  <si>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</si>
  <si>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</si>
  <si>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</si>
  <si>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</si>
  <si>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</si>
  <si>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</si>
  <si>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</si>
  <si>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</si>
  <si>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</si>
  <si>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</si>
  <si>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</si>
  <si>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</si>
  <si>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</si>
  <si>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</si>
  <si>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</si>
  <si>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</si>
  <si>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</si>
  <si>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</si>
  <si>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</si>
  <si>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</si>
  <si>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</si>
  <si>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</si>
  <si>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</si>
  <si>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</si>
  <si>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</si>
  <si>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</si>
  <si>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</si>
  <si>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</si>
  <si>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</si>
  <si>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</si>
  <si>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</si>
  <si>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</si>
  <si>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</si>
  <si>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</si>
  <si>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</si>
  <si>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</si>
  <si>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</si>
  <si>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</si>
  <si>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</si>
  <si>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</si>
  <si>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</si>
  <si>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</si>
  <si>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</si>
  <si>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</si>
  <si>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</si>
  <si>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</si>
  <si>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</si>
  <si>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</si>
  <si>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</si>
  <si>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</si>
  <si>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</si>
  <si>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</si>
  <si>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</si>
  <si>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</si>
  <si>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</si>
  <si>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</si>
  <si>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</si>
  <si>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</si>
  <si>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</si>
  <si>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</si>
  <si>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</si>
  <si>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</si>
  <si>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</si>
  <si>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</si>
  <si>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</si>
  <si>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</si>
  <si>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</si>
  <si>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</si>
  <si>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</si>
  <si>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</si>
  <si>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</si>
  <si>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</si>
  <si>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</si>
  <si>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</si>
  <si>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</si>
  <si>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</si>
  <si>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</si>
  <si>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</si>
  <si>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</si>
  <si>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</si>
  <si>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</si>
  <si>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</si>
  <si>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</si>
  <si>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</si>
  <si>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</si>
  <si>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</si>
  <si>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</si>
  <si>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</si>
  <si>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</si>
  <si>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</si>
  <si>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</si>
  <si>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</si>
  <si>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</si>
  <si>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</si>
  <si>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</si>
  <si>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</si>
  <si>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</si>
  <si>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</si>
  <si>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</si>
  <si>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</si>
  <si>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</si>
  <si>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</si>
  <si>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</si>
  <si>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</si>
  <si>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</si>
  <si>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</si>
  <si>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</si>
  <si>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</si>
  <si>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</si>
  <si>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</si>
  <si>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</si>
  <si>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</si>
  <si>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</si>
  <si>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</si>
  <si>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</si>
  <si>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</si>
  <si>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</si>
  <si>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</si>
  <si>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</si>
  <si>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</si>
  <si>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</si>
  <si>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</si>
  <si>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</si>
  <si>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</si>
  <si>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</si>
  <si>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</si>
  <si>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</si>
  <si>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</si>
  <si>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</si>
  <si>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</si>
  <si>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</si>
  <si>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</si>
  <si>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</si>
  <si>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</si>
  <si>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</si>
  <si>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</si>
  <si>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</si>
  <si>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</si>
  <si>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</si>
  <si>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</si>
  <si>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</si>
  <si>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</si>
  <si>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</si>
  <si>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</si>
  <si>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</si>
  <si>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</si>
  <si>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>TOTAL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</si>
  <si>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</si>
  <si>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</si>
  <si>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</si>
  <si>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</si>
  <si>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</si>
  <si>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</si>
  <si>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</si>
  <si>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</si>
  <si>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</si>
  <si>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</si>
  <si>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</si>
  <si>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</si>
  <si>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</si>
  <si>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</si>
  <si>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</si>
  <si>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</si>
  <si>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</si>
  <si>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</si>
  <si>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</si>
  <si>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</si>
  <si>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</si>
  <si>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</si>
  <si>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</si>
  <si>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</si>
  <si>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</si>
  <si>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</si>
  <si>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</si>
  <si>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</si>
  <si>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</si>
  <si>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</si>
  <si>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</si>
  <si>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</si>
  <si>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</si>
  <si>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</si>
  <si>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</si>
  <si>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</si>
  <si>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</si>
  <si>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</si>
  <si>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</si>
  <si>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</si>
  <si>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</si>
  <si>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</si>
  <si>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</si>
  <si>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</si>
  <si>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</si>
  <si>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</si>
  <si>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</si>
  <si>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</si>
  <si>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</si>
  <si>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</si>
  <si>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</si>
  <si>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</si>
  <si>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</si>
  <si>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</si>
  <si>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</si>
  <si>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</si>
  <si>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</si>
  <si>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</si>
  <si>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</si>
  <si>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</si>
  <si>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</si>
  <si>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</si>
  <si>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</si>
  <si>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</si>
  <si>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</si>
  <si>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</si>
  <si>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</si>
  <si>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</si>
  <si>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</si>
  <si>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</si>
  <si>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</si>
  <si>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</si>
  <si>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</si>
  <si>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</si>
  <si>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</si>
  <si>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</si>
  <si>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</si>
  <si>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</si>
  <si>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</si>
  <si>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</si>
  <si>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</si>
  <si>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</si>
  <si>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</si>
  <si>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</si>
  <si>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</si>
  <si>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</si>
  <si>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</si>
  <si>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</si>
  <si>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</si>
  <si>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</si>
  <si>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</si>
  <si>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</si>
  <si>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</si>
  <si>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</si>
  <si>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</si>
  <si>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</si>
  <si>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</si>
  <si>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</si>
  <si>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</si>
  <si>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</si>
  <si>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</si>
  <si>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Autismo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</si>
  <si>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</si>
  <si>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</si>
  <si>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</si>
  <si>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</si>
  <si>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</si>
  <si>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</si>
  <si>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</si>
  <si>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</si>
  <si>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</si>
  <si>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</si>
  <si>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</si>
  <si>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</si>
  <si>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</si>
  <si>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</si>
  <si>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</si>
  <si>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</si>
  <si>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</si>
  <si>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</si>
  <si>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</si>
  <si>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</si>
  <si>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</si>
  <si>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</si>
  <si>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</si>
  <si>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</si>
  <si>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</si>
  <si>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</si>
  <si>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</si>
  <si>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</si>
  <si>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</si>
  <si>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</si>
  <si>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</si>
  <si>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</si>
  <si>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</si>
  <si>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</si>
  <si>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</si>
  <si>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</si>
  <si>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</si>
  <si>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</si>
  <si>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</si>
  <si>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</si>
  <si>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</si>
  <si>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</si>
  <si>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</si>
  <si>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</si>
  <si>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</si>
  <si>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</si>
  <si>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</si>
  <si>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</si>
  <si>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</si>
  <si>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</si>
  <si>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</si>
  <si>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</si>
  <si>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</si>
  <si>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</si>
  <si>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</si>
  <si>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</si>
  <si>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</si>
  <si>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</si>
  <si>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</si>
  <si>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</si>
  <si>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</si>
  <si>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</si>
  <si>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</si>
  <si>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</si>
  <si>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</si>
  <si>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</si>
  <si>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</si>
  <si>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</si>
  <si>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</si>
  <si>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</si>
  <si>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 año anterior</t>
  </si>
  <si>
    <t>No mejora en relación a año anterior</t>
  </si>
  <si>
    <t>Otras crónicas respiratorias</t>
  </si>
  <si>
    <t>Mejora en relación a año anterior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</si>
  <si>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</si>
  <si>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</si>
  <si>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</si>
  <si>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</si>
  <si>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</si>
  <si>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</si>
  <si>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</si>
  <si>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</si>
  <si>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</si>
  <si>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</si>
  <si>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</si>
  <si>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</si>
  <si>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</si>
  <si>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</si>
  <si>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</si>
  <si>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</si>
  <si>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</si>
  <si>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</si>
  <si>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</si>
  <si>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</si>
  <si>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</si>
  <si>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</si>
  <si>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 xml:space="preserve">Personas con RCV alto </t>
  </si>
  <si>
    <t>Colesterol LDL &lt; 70 mg/dL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</si>
  <si>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</si>
  <si>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</si>
  <si>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</si>
  <si>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</si>
  <si>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</si>
  <si>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</si>
  <si>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</si>
  <si>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</si>
  <si>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</si>
  <si>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</si>
  <si>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</si>
  <si>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</si>
  <si>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</si>
  <si>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</si>
  <si>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</si>
  <si>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</si>
  <si>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</si>
  <si>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</si>
  <si>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</si>
  <si>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</si>
  <si>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</si>
  <si>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</si>
  <si>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</si>
  <si>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</si>
  <si>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</si>
  <si>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</si>
  <si>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</si>
  <si>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</si>
  <si>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</si>
  <si>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</si>
  <si>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</si>
  <si>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</si>
  <si>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</si>
  <si>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</si>
  <si>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</si>
  <si>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</si>
  <si>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</si>
  <si>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</si>
  <si>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</si>
  <si>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</si>
  <si>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</si>
  <si>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</si>
  <si>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</si>
  <si>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</si>
  <si>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</si>
  <si>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</si>
  <si>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</si>
  <si>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</si>
  <si>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</si>
  <si>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</si>
  <si>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</si>
  <si>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</si>
  <si>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</si>
  <si>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</si>
  <si>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</si>
  <si>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</si>
  <si>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</si>
  <si>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</si>
  <si>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</si>
  <si>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</si>
  <si>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</si>
  <si>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</si>
  <si>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</si>
  <si>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</si>
  <si>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</si>
  <si>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</si>
  <si>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</si>
  <si>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</si>
  <si>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</si>
  <si>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</si>
  <si>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</si>
  <si>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</si>
  <si>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</si>
  <si>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</si>
  <si>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</si>
  <si>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</si>
  <si>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</si>
  <si>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</si>
  <si>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</si>
  <si>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</si>
  <si>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</si>
  <si>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</si>
  <si>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</si>
  <si>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</si>
  <si>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</si>
  <si>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</si>
  <si>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</si>
  <si>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</si>
  <si>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</si>
  <si>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</si>
  <si>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</si>
  <si>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</si>
  <si>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</si>
  <si>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</si>
  <si>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</si>
  <si>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</si>
  <si>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</si>
  <si>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</si>
  <si>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</si>
  <si>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</si>
  <si>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</si>
  <si>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</si>
  <si>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</si>
  <si>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</si>
  <si>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</si>
  <si>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</si>
  <si>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</si>
  <si>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</si>
  <si>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</si>
  <si>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</si>
  <si>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</si>
  <si>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</si>
  <si>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</si>
  <si>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</si>
  <si>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</si>
  <si>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</si>
  <si>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</si>
  <si>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</si>
  <si>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</si>
  <si>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</si>
  <si>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</si>
  <si>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</si>
  <si>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</si>
  <si>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</si>
  <si>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</si>
  <si>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</si>
  <si>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</si>
  <si>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</si>
  <si>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</si>
  <si>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</si>
  <si>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</si>
  <si>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</si>
  <si>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</si>
  <si>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</si>
  <si>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</si>
  <si>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</si>
  <si>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</si>
  <si>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</si>
  <si>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</si>
  <si>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</si>
  <si>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</si>
  <si>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</si>
  <si>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</si>
  <si>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</si>
  <si>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</si>
  <si>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</si>
  <si>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</si>
  <si>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</si>
  <si>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</si>
  <si>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</si>
  <si>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</si>
  <si>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</si>
  <si>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</si>
  <si>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</si>
  <si>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</si>
  <si>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</si>
  <si>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</si>
  <si>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</si>
  <si>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</si>
  <si>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</si>
  <si>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</si>
  <si>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</si>
  <si>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</si>
  <si>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</si>
  <si>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</si>
  <si>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</si>
  <si>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</si>
  <si>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</si>
  <si>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</si>
  <si>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</si>
  <si>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</si>
  <si>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</si>
  <si>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</si>
  <si>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</si>
  <si>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</si>
  <si>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</si>
  <si>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</si>
  <si>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</si>
  <si>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</si>
  <si>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</si>
  <si>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</si>
  <si>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</si>
  <si>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</si>
  <si>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</si>
  <si>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</si>
  <si>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</si>
  <si>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</si>
  <si>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</si>
  <si>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</si>
  <si>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</si>
  <si>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</si>
  <si>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</si>
  <si>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</si>
  <si>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</si>
  <si>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</si>
  <si>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</si>
  <si>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</si>
  <si>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</si>
  <si>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</si>
  <si>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</si>
  <si>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</si>
  <si>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</si>
  <si>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</si>
  <si>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</si>
  <si>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</si>
  <si>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</si>
  <si>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</si>
  <si>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</si>
  <si>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</si>
  <si>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</si>
  <si>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</si>
  <si>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</si>
  <si>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</si>
  <si>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</si>
  <si>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</si>
  <si>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</si>
  <si>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</si>
  <si>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</si>
  <si>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</si>
  <si>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</si>
  <si>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</si>
  <si>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</si>
  <si>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</si>
  <si>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</si>
  <si>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</si>
  <si>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</si>
  <si>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</si>
  <si>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</si>
  <si>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</si>
  <si>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</si>
  <si>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</si>
  <si>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</si>
  <si>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</si>
  <si>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</si>
  <si>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</si>
  <si>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</si>
  <si>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</si>
  <si>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</si>
  <si>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</si>
  <si>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</si>
  <si>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</si>
  <si>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</si>
  <si>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</si>
  <si>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</si>
  <si>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</si>
  <si>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</si>
  <si>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</si>
  <si>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</si>
  <si>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</si>
  <si>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</si>
  <si>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</si>
  <si>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</si>
  <si>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</si>
  <si>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</si>
  <si>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</si>
  <si>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</si>
  <si>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</si>
  <si>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</si>
  <si>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</si>
  <si>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</si>
  <si>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</si>
  <si>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</si>
  <si>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</si>
  <si>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</si>
  <si>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</si>
  <si>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</si>
  <si>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</si>
  <si>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</si>
  <si>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</si>
  <si>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</si>
  <si>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</si>
  <si>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</si>
  <si>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</si>
  <si>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</si>
  <si>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</si>
  <si>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</si>
  <si>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</si>
  <si>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</si>
  <si>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</si>
  <si>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</si>
  <si>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</si>
  <si>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</si>
  <si>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</si>
  <si>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</si>
  <si>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</si>
  <si>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</si>
  <si>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</si>
  <si>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</si>
  <si>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</si>
  <si>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</si>
  <si>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</si>
  <si>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</si>
  <si>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</si>
  <si>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</si>
  <si>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</si>
  <si>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</si>
  <si>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</si>
  <si>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</si>
  <si>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</si>
  <si>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</si>
  <si>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</si>
  <si>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</si>
  <si>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</si>
  <si>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</si>
  <si>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</si>
  <si>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</si>
  <si>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</si>
  <si>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</si>
  <si>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</si>
  <si>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</si>
  <si>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</si>
  <si>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</si>
  <si>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</si>
  <si>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</si>
  <si>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</si>
  <si>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</si>
  <si>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</si>
  <si>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</si>
  <si>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</si>
  <si>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</si>
  <si>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</si>
  <si>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</si>
  <si>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</si>
  <si>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</si>
  <si>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</si>
  <si>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</si>
  <si>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</si>
  <si>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</si>
  <si>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</si>
  <si>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</si>
  <si>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</si>
  <si>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</si>
  <si>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</si>
  <si>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</si>
  <si>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</si>
  <si>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</si>
  <si>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</si>
  <si>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</si>
  <si>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</si>
  <si>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</si>
  <si>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</si>
  <si>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</si>
  <si>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</si>
  <si>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</si>
  <si>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</si>
  <si>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</si>
  <si>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</si>
  <si>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</si>
  <si>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</si>
  <si>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</si>
  <si>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</si>
  <si>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</si>
  <si>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</si>
  <si>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</si>
  <si>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</si>
  <si>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</si>
  <si>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</si>
  <si>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</si>
  <si>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</si>
  <si>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</si>
  <si>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</si>
  <si>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</si>
  <si>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</si>
  <si>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</si>
  <si>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</si>
  <si>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</si>
  <si>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</si>
  <si>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</si>
  <si>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</si>
  <si>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</si>
  <si>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</si>
  <si>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</si>
  <si>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</si>
  <si>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</si>
  <si>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</si>
  <si>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</si>
  <si>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</si>
  <si>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</si>
  <si>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</si>
  <si>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</si>
  <si>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</si>
  <si>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</si>
  <si>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</si>
  <si>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</si>
  <si>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</si>
  <si>
    <t>100 y más años</t>
  </si>
  <si>
    <t>Síndrome de Rett</t>
  </si>
  <si>
    <t>Personas bajo control con antecedentes enfermedad cardiovascular (ECV), excepto IAM y ACV</t>
  </si>
  <si>
    <t xml:space="preserve"> POBLACIÓN NANEAS BAJO CONTROL</t>
  </si>
  <si>
    <t>P1010100</t>
  </si>
  <si>
    <t>P1060124</t>
  </si>
  <si>
    <t>P1010201</t>
  </si>
  <si>
    <t>P1010202</t>
  </si>
  <si>
    <t>P1010203</t>
  </si>
  <si>
    <t>P1040508</t>
  </si>
  <si>
    <t>P1040500</t>
  </si>
  <si>
    <t>P1200190</t>
  </si>
  <si>
    <t>P1600105</t>
  </si>
  <si>
    <t>P1010301</t>
  </si>
  <si>
    <t>P1010302</t>
  </si>
  <si>
    <t>P1200240</t>
  </si>
  <si>
    <t>P1200250</t>
  </si>
  <si>
    <t>P1700100</t>
  </si>
  <si>
    <t>P1060010</t>
  </si>
  <si>
    <t>P1600106</t>
  </si>
  <si>
    <t>P1600107</t>
  </si>
  <si>
    <t>P1600108</t>
  </si>
  <si>
    <t>P1600109</t>
  </si>
  <si>
    <t>P1060090</t>
  </si>
  <si>
    <t>P1200200</t>
  </si>
  <si>
    <t>P1200210</t>
  </si>
  <si>
    <t>P1200220</t>
  </si>
  <si>
    <t>P1200230</t>
  </si>
  <si>
    <t>P1200350</t>
  </si>
  <si>
    <t>P1200270</t>
  </si>
  <si>
    <t>P1020100</t>
  </si>
  <si>
    <t>P1020200</t>
  </si>
  <si>
    <t>P1040501</t>
  </si>
  <si>
    <t>P1060100</t>
  </si>
  <si>
    <t>P1060101</t>
  </si>
  <si>
    <t>P1060102</t>
  </si>
  <si>
    <t>P1060103</t>
  </si>
  <si>
    <t>P1060104</t>
  </si>
  <si>
    <t>P1060105</t>
  </si>
  <si>
    <t>P1040502</t>
  </si>
  <si>
    <t>P1040503</t>
  </si>
  <si>
    <t>P1040504</t>
  </si>
  <si>
    <t>P1040505</t>
  </si>
  <si>
    <t>P1030101</t>
  </si>
  <si>
    <t>P1030102</t>
  </si>
  <si>
    <t>P1030103</t>
  </si>
  <si>
    <t>P1030104</t>
  </si>
  <si>
    <t>P1030201</t>
  </si>
  <si>
    <t>P1030202</t>
  </si>
  <si>
    <t>P1030203</t>
  </si>
  <si>
    <t>P1030204</t>
  </si>
  <si>
    <t>P1050100</t>
  </si>
  <si>
    <t>P1050101</t>
  </si>
  <si>
    <t>P1050102</t>
  </si>
  <si>
    <t>P1050103</t>
  </si>
  <si>
    <t>P1050104</t>
  </si>
  <si>
    <t>P1030301</t>
  </si>
  <si>
    <t>P1060040</t>
  </si>
  <si>
    <t>P1700101</t>
  </si>
  <si>
    <t>P1700102</t>
  </si>
  <si>
    <t>P1060050</t>
  </si>
  <si>
    <t>P1060060</t>
  </si>
  <si>
    <t>P1700103</t>
  </si>
  <si>
    <t>P1200340</t>
  </si>
  <si>
    <t>P1200280</t>
  </si>
  <si>
    <t>P1200290</t>
  </si>
  <si>
    <t>P1200300</t>
  </si>
  <si>
    <t>P1200310</t>
  </si>
  <si>
    <t>P1200320</t>
  </si>
  <si>
    <t>P1200330</t>
  </si>
  <si>
    <t>P1600110</t>
  </si>
  <si>
    <t>P1060106</t>
  </si>
  <si>
    <t>P1060107</t>
  </si>
  <si>
    <t>P1060108</t>
  </si>
  <si>
    <t>P1060109</t>
  </si>
  <si>
    <t>P1060110</t>
  </si>
  <si>
    <t>P1060111</t>
  </si>
  <si>
    <t>P1060112</t>
  </si>
  <si>
    <t>P1060113</t>
  </si>
  <si>
    <t>P1060114</t>
  </si>
  <si>
    <t>P1700104</t>
  </si>
  <si>
    <t>P1600100</t>
  </si>
  <si>
    <t>P1600101</t>
  </si>
  <si>
    <t>P1600102</t>
  </si>
  <si>
    <t>P1600103</t>
  </si>
  <si>
    <t>P1600111</t>
  </si>
  <si>
    <t>P1600112</t>
  </si>
  <si>
    <t>P1600113</t>
  </si>
  <si>
    <t>P1600114</t>
  </si>
  <si>
    <t>P1600115</t>
  </si>
  <si>
    <t>P1600116</t>
  </si>
  <si>
    <t>P1600117</t>
  </si>
  <si>
    <t>P1600118</t>
  </si>
  <si>
    <t>P1600119</t>
  </si>
  <si>
    <t>P1600120</t>
  </si>
  <si>
    <t>P1030303</t>
  </si>
  <si>
    <t>P1060070</t>
  </si>
  <si>
    <t>P1030304</t>
  </si>
  <si>
    <t>P1030401</t>
  </si>
  <si>
    <t>P1040506</t>
  </si>
  <si>
    <t>P1040507</t>
  </si>
  <si>
    <t>P1060115</t>
  </si>
  <si>
    <t>P1060116</t>
  </si>
  <si>
    <t>P1030403</t>
  </si>
  <si>
    <t>P1060080</t>
  </si>
  <si>
    <t>P1060117</t>
  </si>
  <si>
    <t>P1060118</t>
  </si>
  <si>
    <t>P1060119</t>
  </si>
  <si>
    <t>P1060120</t>
  </si>
  <si>
    <t>P1060121</t>
  </si>
  <si>
    <t>P1060122</t>
  </si>
  <si>
    <t>P1060123</t>
  </si>
  <si>
    <t>P1030404</t>
  </si>
  <si>
    <t>CODIGOS NUEVOS</t>
  </si>
  <si>
    <t>P2060000</t>
  </si>
  <si>
    <t>P2400100</t>
  </si>
  <si>
    <t>P2400110</t>
  </si>
  <si>
    <t>P2070101</t>
  </si>
  <si>
    <t>P2070102</t>
  </si>
  <si>
    <t>P2070201</t>
  </si>
  <si>
    <t>P2070202</t>
  </si>
  <si>
    <t>P2070301</t>
  </si>
  <si>
    <t>P2070302</t>
  </si>
  <si>
    <t>P2400120</t>
  </si>
  <si>
    <t>P2400130</t>
  </si>
  <si>
    <t>P2070401</t>
  </si>
  <si>
    <t>P2070402</t>
  </si>
  <si>
    <t>P2400140</t>
  </si>
  <si>
    <t>P2070501</t>
  </si>
  <si>
    <t>P2070502</t>
  </si>
  <si>
    <t>P2070503</t>
  </si>
  <si>
    <t>P2070504</t>
  </si>
  <si>
    <t>P2070505</t>
  </si>
  <si>
    <t>P2070506</t>
  </si>
  <si>
    <t>P2501800</t>
  </si>
  <si>
    <t>P2400150</t>
  </si>
  <si>
    <t>P2400160</t>
  </si>
  <si>
    <t>P2400170</t>
  </si>
  <si>
    <t>P2400180</t>
  </si>
  <si>
    <t>P2400190</t>
  </si>
  <si>
    <t>P2400200</t>
  </si>
  <si>
    <t>P2400210</t>
  </si>
  <si>
    <t>P2400220</t>
  </si>
  <si>
    <t>P2400230</t>
  </si>
  <si>
    <t>P2400240</t>
  </si>
  <si>
    <t>P2400250</t>
  </si>
  <si>
    <t>P2400260</t>
  </si>
  <si>
    <t>P2400270</t>
  </si>
  <si>
    <t>P2400280</t>
  </si>
  <si>
    <t>P2400290</t>
  </si>
  <si>
    <t>P2400300</t>
  </si>
  <si>
    <t>P2400310</t>
  </si>
  <si>
    <t>P2400320</t>
  </si>
  <si>
    <t>P2400330</t>
  </si>
  <si>
    <t>P2400340</t>
  </si>
  <si>
    <t>P2400350</t>
  </si>
  <si>
    <t>P2400360</t>
  </si>
  <si>
    <t>P2501801</t>
  </si>
  <si>
    <t>P2501802</t>
  </si>
  <si>
    <t>P2501803</t>
  </si>
  <si>
    <t>P2501804</t>
  </si>
  <si>
    <t>P2501805</t>
  </si>
  <si>
    <t>P2501870</t>
  </si>
  <si>
    <t>P2501871</t>
  </si>
  <si>
    <t>P2501807</t>
  </si>
  <si>
    <t>P2501808</t>
  </si>
  <si>
    <t>P2501809</t>
  </si>
  <si>
    <t>P2501810</t>
  </si>
  <si>
    <t>P2501811</t>
  </si>
  <si>
    <t>P2501872</t>
  </si>
  <si>
    <t>P2501873</t>
  </si>
  <si>
    <t>P2501813</t>
  </si>
  <si>
    <t>P2100200</t>
  </si>
  <si>
    <t>P2300100</t>
  </si>
  <si>
    <t>P2300200</t>
  </si>
  <si>
    <t>P2501814</t>
  </si>
  <si>
    <t>P2501874</t>
  </si>
  <si>
    <t>P2501875</t>
  </si>
  <si>
    <t>P2100500</t>
  </si>
  <si>
    <t>P2100600</t>
  </si>
  <si>
    <t>P2300300</t>
  </si>
  <si>
    <t>P2300400</t>
  </si>
  <si>
    <t>P2501816</t>
  </si>
  <si>
    <t>P2501876</t>
  </si>
  <si>
    <t>P2501877</t>
  </si>
  <si>
    <t>P2300000</t>
  </si>
  <si>
    <t>P2090300</t>
  </si>
  <si>
    <t>P2090400</t>
  </si>
  <si>
    <t>P2100100</t>
  </si>
  <si>
    <t>P2200700</t>
  </si>
  <si>
    <t>P2200800</t>
  </si>
  <si>
    <t>P2501818</t>
  </si>
  <si>
    <t>P2501819</t>
  </si>
  <si>
    <t>P2501820</t>
  </si>
  <si>
    <t>P2501821</t>
  </si>
  <si>
    <t>P2501822</t>
  </si>
  <si>
    <t>P2300530</t>
  </si>
  <si>
    <t>P2300540</t>
  </si>
  <si>
    <t>P2300550</t>
  </si>
  <si>
    <t>P2300560</t>
  </si>
  <si>
    <t>P2300570</t>
  </si>
  <si>
    <t>P2300580</t>
  </si>
  <si>
    <t>P2501878</t>
  </si>
  <si>
    <t>P2500400</t>
  </si>
  <si>
    <t>P2500500</t>
  </si>
  <si>
    <t>P2501823</t>
  </si>
  <si>
    <t>P2500700</t>
  </si>
  <si>
    <t>P2501824</t>
  </si>
  <si>
    <t>P2501825</t>
  </si>
  <si>
    <t>P2501826</t>
  </si>
  <si>
    <t>P2501827</t>
  </si>
  <si>
    <t>P2501828</t>
  </si>
  <si>
    <t>P2501829</t>
  </si>
  <si>
    <t>P2501830</t>
  </si>
  <si>
    <t>P2501831</t>
  </si>
  <si>
    <t>P2501832</t>
  </si>
  <si>
    <t>P2501400</t>
  </si>
  <si>
    <t>P2501833</t>
  </si>
  <si>
    <t>P2501834</t>
  </si>
  <si>
    <t>P2501600</t>
  </si>
  <si>
    <t>P2501835</t>
  </si>
  <si>
    <t>P2501836</t>
  </si>
  <si>
    <t>P2501837</t>
  </si>
  <si>
    <t>P2501838</t>
  </si>
  <si>
    <t>P2501839</t>
  </si>
  <si>
    <t>P2501840</t>
  </si>
  <si>
    <t>P2500200</t>
  </si>
  <si>
    <t>P2500300</t>
  </si>
  <si>
    <t>P2501841</t>
  </si>
  <si>
    <t>P2501842</t>
  </si>
  <si>
    <t>P2500600</t>
  </si>
  <si>
    <t>P2501843</t>
  </si>
  <si>
    <t>P2501700</t>
  </si>
  <si>
    <t>P2501844</t>
  </si>
  <si>
    <t>P2501845</t>
  </si>
  <si>
    <t>P2501846</t>
  </si>
  <si>
    <t>P2501847</t>
  </si>
  <si>
    <t>P2501848</t>
  </si>
  <si>
    <t>P2501849</t>
  </si>
  <si>
    <t>P2501850</t>
  </si>
  <si>
    <t>P2501851</t>
  </si>
  <si>
    <t>P2501852</t>
  </si>
  <si>
    <t>P2501853</t>
  </si>
  <si>
    <t>P2501854</t>
  </si>
  <si>
    <t>P2501855</t>
  </si>
  <si>
    <t>P2501856</t>
  </si>
  <si>
    <t>P2501857</t>
  </si>
  <si>
    <t>P2501858</t>
  </si>
  <si>
    <t>P2501859</t>
  </si>
  <si>
    <t>P2501860</t>
  </si>
  <si>
    <t>P2501879</t>
  </si>
  <si>
    <t>P2501861</t>
  </si>
  <si>
    <t>P2501862</t>
  </si>
  <si>
    <t>P2501863</t>
  </si>
  <si>
    <t>P2501864</t>
  </si>
  <si>
    <t>P2501865</t>
  </si>
  <si>
    <t>P2501866</t>
  </si>
  <si>
    <t>P2501867</t>
  </si>
  <si>
    <t>P2501868</t>
  </si>
  <si>
    <t>P2501869</t>
  </si>
  <si>
    <t>P3160950</t>
  </si>
  <si>
    <t>P3160960</t>
  </si>
  <si>
    <t>P3160970</t>
  </si>
  <si>
    <t>P3160980</t>
  </si>
  <si>
    <t>P3160990</t>
  </si>
  <si>
    <t>P3161000</t>
  </si>
  <si>
    <t>P3161010</t>
  </si>
  <si>
    <t>P3161020</t>
  </si>
  <si>
    <t>P3161030</t>
  </si>
  <si>
    <t>P3120500</t>
  </si>
  <si>
    <t>P3161050</t>
  </si>
  <si>
    <t>P3120600</t>
  </si>
  <si>
    <t>P3120700</t>
  </si>
  <si>
    <t>P3171700</t>
  </si>
  <si>
    <t>P3171800</t>
  </si>
  <si>
    <t>P3171900</t>
  </si>
  <si>
    <t>P3170100</t>
  </si>
  <si>
    <t>P3140200</t>
  </si>
  <si>
    <t>P3140300</t>
  </si>
  <si>
    <t>P3120800</t>
  </si>
  <si>
    <t>P3161040</t>
  </si>
  <si>
    <t>P3160910</t>
  </si>
  <si>
    <t>P3160920</t>
  </si>
  <si>
    <t>P3130200</t>
  </si>
  <si>
    <t>P3140400</t>
  </si>
  <si>
    <t>P3171610</t>
  </si>
  <si>
    <t>P3160800</t>
  </si>
  <si>
    <t>P3171611</t>
  </si>
  <si>
    <t>P3171612</t>
  </si>
  <si>
    <t>P3171613</t>
  </si>
  <si>
    <t>P3171614</t>
  </si>
  <si>
    <t>P3171615</t>
  </si>
  <si>
    <t>P3170200</t>
  </si>
  <si>
    <t>P3172000</t>
  </si>
  <si>
    <t>P5300600</t>
  </si>
  <si>
    <t>P3170400</t>
  </si>
  <si>
    <t>P3170500</t>
  </si>
  <si>
    <t>P3170600</t>
  </si>
  <si>
    <t>P3170700</t>
  </si>
  <si>
    <t>P3161041</t>
  </si>
  <si>
    <t>P3161042</t>
  </si>
  <si>
    <t>P3161043</t>
  </si>
  <si>
    <t>P3161044</t>
  </si>
  <si>
    <t>P3161045</t>
  </si>
  <si>
    <t>P3161046</t>
  </si>
  <si>
    <t>P3161047</t>
  </si>
  <si>
    <t>P3170800</t>
  </si>
  <si>
    <t>P3170900</t>
  </si>
  <si>
    <t>P3171000</t>
  </si>
  <si>
    <t>P3171100</t>
  </si>
  <si>
    <t>P3171200</t>
  </si>
  <si>
    <t>P3171300</t>
  </si>
  <si>
    <t>P3171400</t>
  </si>
  <si>
    <t>P3171500</t>
  </si>
  <si>
    <t>P3171600</t>
  </si>
  <si>
    <t>P4150100</t>
  </si>
  <si>
    <t>P4190100</t>
  </si>
  <si>
    <t>P4150703</t>
  </si>
  <si>
    <t>P4150801</t>
  </si>
  <si>
    <t>P4150601</t>
  </si>
  <si>
    <t>P4150602</t>
  </si>
  <si>
    <t>P4150603</t>
  </si>
  <si>
    <t>P4150701</t>
  </si>
  <si>
    <t>P4190900</t>
  </si>
  <si>
    <t>P4190910</t>
  </si>
  <si>
    <t>P4401010</t>
  </si>
  <si>
    <t>P4401011</t>
  </si>
  <si>
    <t>P4180200</t>
  </si>
  <si>
    <t>P4200100</t>
  </si>
  <si>
    <t>P4180300</t>
  </si>
  <si>
    <t>P4200200</t>
  </si>
  <si>
    <t>P4190920</t>
  </si>
  <si>
    <t>P4401012</t>
  </si>
  <si>
    <t>P4190930</t>
  </si>
  <si>
    <t>P4190940</t>
  </si>
  <si>
    <t>P4301030</t>
  </si>
  <si>
    <t>P4401013</t>
  </si>
  <si>
    <t>P4401014</t>
  </si>
  <si>
    <t>P4401015</t>
  </si>
  <si>
    <t>P4401016</t>
  </si>
  <si>
    <t>P4401017</t>
  </si>
  <si>
    <t>P4401018</t>
  </si>
  <si>
    <t>P4190805</t>
  </si>
  <si>
    <t>P4190806</t>
  </si>
  <si>
    <t>P4301040</t>
  </si>
  <si>
    <t>P4190950</t>
  </si>
  <si>
    <t>P4200600</t>
  </si>
  <si>
    <t>P4200300</t>
  </si>
  <si>
    <t>P4180800</t>
  </si>
  <si>
    <t>P4200700</t>
  </si>
  <si>
    <t>P4190960</t>
  </si>
  <si>
    <t>P4301050</t>
  </si>
  <si>
    <t>P4401019</t>
  </si>
  <si>
    <t>P4190808</t>
  </si>
  <si>
    <t>P4302100</t>
  </si>
  <si>
    <t>P4190809</t>
  </si>
  <si>
    <t>P4170300</t>
  </si>
  <si>
    <t>P4190500</t>
  </si>
  <si>
    <t>P4190600</t>
  </si>
  <si>
    <t>P4190970</t>
  </si>
  <si>
    <t>P4170500</t>
  </si>
  <si>
    <t>P4301060</t>
  </si>
  <si>
    <t>P4200800</t>
  </si>
  <si>
    <t>P4200900</t>
  </si>
  <si>
    <t>P4301070</t>
  </si>
  <si>
    <t>P4201100</t>
  </si>
  <si>
    <t>P4201200</t>
  </si>
  <si>
    <t>P4302102</t>
  </si>
  <si>
    <t>P4190812</t>
  </si>
  <si>
    <t>P4301010</t>
  </si>
  <si>
    <t>P4301080</t>
  </si>
  <si>
    <t>P4200400</t>
  </si>
  <si>
    <t>P4401020</t>
  </si>
  <si>
    <t>P4302103</t>
  </si>
  <si>
    <t>P4201500</t>
  </si>
  <si>
    <t>P4201600</t>
  </si>
  <si>
    <t>P4200500</t>
  </si>
  <si>
    <t>P4201700</t>
  </si>
  <si>
    <t>P4302104</t>
  </si>
  <si>
    <t>P4401021</t>
  </si>
  <si>
    <t>P4401022</t>
  </si>
  <si>
    <t>P4401023</t>
  </si>
  <si>
    <t>P4401024</t>
  </si>
  <si>
    <t>P4401025</t>
  </si>
  <si>
    <t>P4401026</t>
  </si>
  <si>
    <t>P4401027</t>
  </si>
  <si>
    <t>P4401028</t>
  </si>
  <si>
    <t>P4401029</t>
  </si>
  <si>
    <t>CODIGOS ELIMINADOS</t>
  </si>
  <si>
    <t>P4190800</t>
  </si>
  <si>
    <t>P4190801</t>
  </si>
  <si>
    <t>P4301020</t>
  </si>
  <si>
    <t>P4190810</t>
  </si>
  <si>
    <t>P4190811</t>
  </si>
  <si>
    <t>P4190803</t>
  </si>
  <si>
    <t>P4190804</t>
  </si>
  <si>
    <t>P4180500</t>
  </si>
  <si>
    <t>P4190807</t>
  </si>
  <si>
    <t>P4302101</t>
  </si>
  <si>
    <t>P5180100</t>
  </si>
  <si>
    <t>P5180200</t>
  </si>
  <si>
    <t>P5300510</t>
  </si>
  <si>
    <t>P5300100</t>
  </si>
  <si>
    <t>P5300200</t>
  </si>
  <si>
    <t>P5300520</t>
  </si>
  <si>
    <t>P5300530</t>
  </si>
  <si>
    <t>P5300570</t>
  </si>
  <si>
    <t>P5300580</t>
  </si>
  <si>
    <t>P5300590</t>
  </si>
  <si>
    <t>P5190200</t>
  </si>
  <si>
    <t>P5190300</t>
  </si>
  <si>
    <t>P5190400</t>
  </si>
  <si>
    <t>P5200100</t>
  </si>
  <si>
    <t>P5300400</t>
  </si>
  <si>
    <t>P5300500</t>
  </si>
  <si>
    <t>P5300540</t>
  </si>
  <si>
    <t>P5300550</t>
  </si>
  <si>
    <t>P5300560</t>
  </si>
  <si>
    <t>P5400100</t>
  </si>
  <si>
    <t>P5400200</t>
  </si>
  <si>
    <t>P6221000</t>
  </si>
  <si>
    <t>P6241200</t>
  </si>
  <si>
    <t>P6241210</t>
  </si>
  <si>
    <t>P6241220</t>
  </si>
  <si>
    <t>P6241230</t>
  </si>
  <si>
    <t>P6241240</t>
  </si>
  <si>
    <t>P6241250</t>
  </si>
  <si>
    <t>P6221500</t>
  </si>
  <si>
    <t>P6230800</t>
  </si>
  <si>
    <t>P6230900</t>
  </si>
  <si>
    <t>P6227601</t>
  </si>
  <si>
    <t>P6221600</t>
  </si>
  <si>
    <t>P6227500</t>
  </si>
  <si>
    <t>P6227600</t>
  </si>
  <si>
    <t>P6221700</t>
  </si>
  <si>
    <t>P6221800</t>
  </si>
  <si>
    <t>P6241110</t>
  </si>
  <si>
    <t>P6241111</t>
  </si>
  <si>
    <t>P6241112</t>
  </si>
  <si>
    <t>P6241113</t>
  </si>
  <si>
    <t>P6241114</t>
  </si>
  <si>
    <t>P6222600</t>
  </si>
  <si>
    <t>P6223060</t>
  </si>
  <si>
    <t>P6223070</t>
  </si>
  <si>
    <t>P6223080</t>
  </si>
  <si>
    <t>P6231000</t>
  </si>
  <si>
    <t>P6241115</t>
  </si>
  <si>
    <t>P6231300</t>
  </si>
  <si>
    <t>P6231400</t>
  </si>
  <si>
    <t>P6231500</t>
  </si>
  <si>
    <t>P6222300</t>
  </si>
  <si>
    <t>P6230100</t>
  </si>
  <si>
    <t>P6230200</t>
  </si>
  <si>
    <t>P6222400</t>
  </si>
  <si>
    <t>P6241116</t>
  </si>
  <si>
    <t>P6222500</t>
  </si>
  <si>
    <t>P6222800</t>
  </si>
  <si>
    <t>P6222900</t>
  </si>
  <si>
    <t>P6241010</t>
  </si>
  <si>
    <t>P6241020</t>
  </si>
  <si>
    <t>P6241030</t>
  </si>
  <si>
    <t>P6241040</t>
  </si>
  <si>
    <t>P6241050</t>
  </si>
  <si>
    <t>P6231600</t>
  </si>
  <si>
    <t>P6227602</t>
  </si>
  <si>
    <t>P6223040</t>
  </si>
  <si>
    <t>P6223050</t>
  </si>
  <si>
    <t>P6230300</t>
  </si>
  <si>
    <t>P6223090</t>
  </si>
  <si>
    <t>P6241260</t>
  </si>
  <si>
    <t>P6241270</t>
  </si>
  <si>
    <t>P6241280</t>
  </si>
  <si>
    <t>P6241290</t>
  </si>
  <si>
    <t>P6241300</t>
  </si>
  <si>
    <t>P6241310</t>
  </si>
  <si>
    <t>P6223140</t>
  </si>
  <si>
    <t>P6231900</t>
  </si>
  <si>
    <t>P6232000</t>
  </si>
  <si>
    <t>P6223170</t>
  </si>
  <si>
    <t>P6223180</t>
  </si>
  <si>
    <t>P6223190</t>
  </si>
  <si>
    <t>P6223200</t>
  </si>
  <si>
    <t>P6223210</t>
  </si>
  <si>
    <t>P6223220</t>
  </si>
  <si>
    <t>P6241117</t>
  </si>
  <si>
    <t>P6241118</t>
  </si>
  <si>
    <t>P6241119</t>
  </si>
  <si>
    <t>P6241120</t>
  </si>
  <si>
    <t>P6241121</t>
  </si>
  <si>
    <t>P6223260</t>
  </si>
  <si>
    <t>P6223270</t>
  </si>
  <si>
    <t>P6223280</t>
  </si>
  <si>
    <t>P6223290</t>
  </si>
  <si>
    <t>P6232100</t>
  </si>
  <si>
    <t>P6241122</t>
  </si>
  <si>
    <t>P6232400</t>
  </si>
  <si>
    <t>P6232500</t>
  </si>
  <si>
    <t>P6232600</t>
  </si>
  <si>
    <t>P6223310</t>
  </si>
  <si>
    <t>P6230400</t>
  </si>
  <si>
    <t>P6230500</t>
  </si>
  <si>
    <t>P6223330</t>
  </si>
  <si>
    <t>P6241123</t>
  </si>
  <si>
    <t>P6223350</t>
  </si>
  <si>
    <t>P6223360</t>
  </si>
  <si>
    <t>P6223370</t>
  </si>
  <si>
    <t>P6241060</t>
  </si>
  <si>
    <t>P6241070</t>
  </si>
  <si>
    <t>P6241080</t>
  </si>
  <si>
    <t>P6241090</t>
  </si>
  <si>
    <t>P6241100</t>
  </si>
  <si>
    <t>P6232700</t>
  </si>
  <si>
    <t>P6227603</t>
  </si>
  <si>
    <t>P6223390</t>
  </si>
  <si>
    <t>P6223400</t>
  </si>
  <si>
    <t>P6221100</t>
  </si>
  <si>
    <t>P6221200</t>
  </si>
  <si>
    <t>P6223100</t>
  </si>
  <si>
    <t>P6223110</t>
  </si>
  <si>
    <t>P7010100</t>
  </si>
  <si>
    <t>P7010200</t>
  </si>
  <si>
    <t>P7010300</t>
  </si>
  <si>
    <t>P7200100</t>
  </si>
  <si>
    <t>P7200200</t>
  </si>
  <si>
    <t>P7010400</t>
  </si>
  <si>
    <t>P7010500</t>
  </si>
  <si>
    <t>P7010600</t>
  </si>
  <si>
    <t>P7200300</t>
  </si>
  <si>
    <t>P7200400</t>
  </si>
  <si>
    <t>P7200500</t>
  </si>
  <si>
    <t>P7201300</t>
  </si>
  <si>
    <t>P7201400</t>
  </si>
  <si>
    <t>P7201500</t>
  </si>
  <si>
    <t>P7200700</t>
  </si>
  <si>
    <t>P7200800</t>
  </si>
  <si>
    <t>P7200900</t>
  </si>
  <si>
    <t>P7201000</t>
  </si>
  <si>
    <t>P7201100</t>
  </si>
  <si>
    <t>P9100100</t>
  </si>
  <si>
    <t>P9100110</t>
  </si>
  <si>
    <t>P9100120</t>
  </si>
  <si>
    <t>P9100130</t>
  </si>
  <si>
    <t>P9100140</t>
  </si>
  <si>
    <t>P9100150</t>
  </si>
  <si>
    <t>P9100160</t>
  </si>
  <si>
    <t>P9100170</t>
  </si>
  <si>
    <t>P9100180</t>
  </si>
  <si>
    <t>P9100190</t>
  </si>
  <si>
    <t>P9100200</t>
  </si>
  <si>
    <t>P9100210</t>
  </si>
  <si>
    <t>P9100220</t>
  </si>
  <si>
    <t>P9100230</t>
  </si>
  <si>
    <t>P9100240</t>
  </si>
  <si>
    <t>P9100250</t>
  </si>
  <si>
    <t>P9100260</t>
  </si>
  <si>
    <t>P9100270</t>
  </si>
  <si>
    <t>P9100280</t>
  </si>
  <si>
    <t>P9100290</t>
  </si>
  <si>
    <t>P9100300</t>
  </si>
  <si>
    <t>P9100310</t>
  </si>
  <si>
    <t>P9100320</t>
  </si>
  <si>
    <t>P9100330</t>
  </si>
  <si>
    <t>P9100340</t>
  </si>
  <si>
    <t>P9100350</t>
  </si>
  <si>
    <t>P9100360</t>
  </si>
  <si>
    <t>P9100370</t>
  </si>
  <si>
    <t>P9100710</t>
  </si>
  <si>
    <t>P9100711</t>
  </si>
  <si>
    <t>P9100712</t>
  </si>
  <si>
    <t>P9100713</t>
  </si>
  <si>
    <t>P9100714</t>
  </si>
  <si>
    <t>P9100715</t>
  </si>
  <si>
    <t>P9100716</t>
  </si>
  <si>
    <t>P9100717</t>
  </si>
  <si>
    <t>P9100718</t>
  </si>
  <si>
    <t>P9100719</t>
  </si>
  <si>
    <t>P9100440</t>
  </si>
  <si>
    <t>P9100450</t>
  </si>
  <si>
    <t>P9100460</t>
  </si>
  <si>
    <t>P9100470</t>
  </si>
  <si>
    <t>P9100480</t>
  </si>
  <si>
    <t>P9100490</t>
  </si>
  <si>
    <t>P9100500</t>
  </si>
  <si>
    <t>P9100510</t>
  </si>
  <si>
    <t>P9100800</t>
  </si>
  <si>
    <t>P9100801</t>
  </si>
  <si>
    <t>P9100802</t>
  </si>
  <si>
    <t>P9100803</t>
  </si>
  <si>
    <t>P9100804</t>
  </si>
  <si>
    <t>P9100570</t>
  </si>
  <si>
    <t>P9100580</t>
  </si>
  <si>
    <t>P9100590</t>
  </si>
  <si>
    <t>P9100600</t>
  </si>
  <si>
    <t>P9100610</t>
  </si>
  <si>
    <t>P9100620</t>
  </si>
  <si>
    <t>P9100630</t>
  </si>
  <si>
    <t>P9100640</t>
  </si>
  <si>
    <t>P9100650</t>
  </si>
  <si>
    <t>P9100660</t>
  </si>
  <si>
    <t>P9100670</t>
  </si>
  <si>
    <t>P9100680</t>
  </si>
  <si>
    <t>P9100690</t>
  </si>
  <si>
    <t>P9100700</t>
  </si>
  <si>
    <t>CODIGOS ELIMNADOS</t>
  </si>
  <si>
    <t>P9100520</t>
  </si>
  <si>
    <t>P9100530</t>
  </si>
  <si>
    <t>P11000150</t>
  </si>
  <si>
    <t>P11000160</t>
  </si>
  <si>
    <t>P11000170</t>
  </si>
  <si>
    <t>P11000180</t>
  </si>
  <si>
    <t>P11000190</t>
  </si>
  <si>
    <t>P11000200</t>
  </si>
  <si>
    <t>P11000140</t>
  </si>
  <si>
    <t>P1207150</t>
  </si>
  <si>
    <t>P1206010</t>
  </si>
  <si>
    <t>P1206020</t>
  </si>
  <si>
    <t>P1206030</t>
  </si>
  <si>
    <t>P1206040</t>
  </si>
  <si>
    <t>P1206050</t>
  </si>
  <si>
    <t>P1206060</t>
  </si>
  <si>
    <t>P1206070</t>
  </si>
  <si>
    <t>P1206080</t>
  </si>
  <si>
    <t>P1207160</t>
  </si>
  <si>
    <t>P1230001</t>
  </si>
  <si>
    <t>P1230002</t>
  </si>
  <si>
    <t>P1230003</t>
  </si>
  <si>
    <t>P1240010</t>
  </si>
  <si>
    <t>P1240011</t>
  </si>
  <si>
    <t>P1240012</t>
  </si>
  <si>
    <t>P1240013</t>
  </si>
  <si>
    <t>P1240014</t>
  </si>
  <si>
    <t>P1240015</t>
  </si>
  <si>
    <t>P1240016</t>
  </si>
  <si>
    <t>P1207190</t>
  </si>
  <si>
    <t>P1220020</t>
  </si>
  <si>
    <t>P1220030</t>
  </si>
  <si>
    <t>P1207030</t>
  </si>
  <si>
    <t>P1207040</t>
  </si>
  <si>
    <t>P1207050</t>
  </si>
  <si>
    <t>P1207060</t>
  </si>
  <si>
    <t>P1207070</t>
  </si>
  <si>
    <t>P1207080</t>
  </si>
  <si>
    <t>P1207180</t>
  </si>
  <si>
    <t>P1220070</t>
  </si>
  <si>
    <t>P1220090</t>
  </si>
  <si>
    <t>P1207090</t>
  </si>
  <si>
    <t>P1207100</t>
  </si>
  <si>
    <t>P1207110</t>
  </si>
  <si>
    <t>P1207120</t>
  </si>
  <si>
    <t>P1207130</t>
  </si>
  <si>
    <t>P1207140</t>
  </si>
  <si>
    <t>P1207170</t>
  </si>
  <si>
    <t>P1207010</t>
  </si>
  <si>
    <t>P1207020</t>
  </si>
  <si>
    <t>P1208020</t>
  </si>
  <si>
    <t>P1208030</t>
  </si>
  <si>
    <t>P1208040</t>
  </si>
  <si>
    <t>P1208050</t>
  </si>
  <si>
    <t>P1208060</t>
  </si>
  <si>
    <t>P1208070</t>
  </si>
  <si>
    <t>P1208080</t>
  </si>
  <si>
    <t>P1208090</t>
  </si>
  <si>
    <t>P1208100</t>
  </si>
  <si>
    <t>P1230004</t>
  </si>
  <si>
    <t>P1220091</t>
  </si>
  <si>
    <t>P1220092</t>
  </si>
  <si>
    <t>P1220093</t>
  </si>
  <si>
    <t>P1220094</t>
  </si>
  <si>
    <t>P1220095</t>
  </si>
  <si>
    <t>P1220096</t>
  </si>
  <si>
    <t>P1220097</t>
  </si>
  <si>
    <t>P1220098</t>
  </si>
  <si>
    <t>P1220099</t>
  </si>
  <si>
    <t>P1220100</t>
  </si>
  <si>
    <t>P1220101</t>
  </si>
  <si>
    <t>P1220102</t>
  </si>
  <si>
    <t>P1230005</t>
  </si>
  <si>
    <t>P1240017</t>
  </si>
  <si>
    <t>P1240018</t>
  </si>
  <si>
    <t>P1240019</t>
  </si>
  <si>
    <t>P1240020</t>
  </si>
  <si>
    <t>P1240021</t>
  </si>
  <si>
    <t>P1240022</t>
  </si>
  <si>
    <t>P1240023</t>
  </si>
  <si>
    <t>P1240024</t>
  </si>
  <si>
    <t>P1240025</t>
  </si>
  <si>
    <t>P1240026</t>
  </si>
  <si>
    <t>P1240027</t>
  </si>
  <si>
    <t>P1240028</t>
  </si>
  <si>
    <t>P1240029</t>
  </si>
  <si>
    <t>P1240030</t>
  </si>
  <si>
    <t>P1240031</t>
  </si>
  <si>
    <t>P1240032</t>
  </si>
  <si>
    <t>P1240033</t>
  </si>
  <si>
    <t>P1240034</t>
  </si>
  <si>
    <t>P1240035</t>
  </si>
  <si>
    <t>P1240036</t>
  </si>
  <si>
    <t>P1240037</t>
  </si>
  <si>
    <t>P1240038</t>
  </si>
  <si>
    <t>P1330010</t>
  </si>
  <si>
    <t>P1330011</t>
  </si>
  <si>
    <t>P1310030</t>
  </si>
  <si>
    <t>P1310040</t>
  </si>
  <si>
    <t>P1310050</t>
  </si>
  <si>
    <t>P1310060</t>
  </si>
  <si>
    <t>P1310070</t>
  </si>
  <si>
    <t>P1310080</t>
  </si>
  <si>
    <t>P1330020</t>
  </si>
  <si>
    <t>P1310090</t>
  </si>
  <si>
    <t>P1320010</t>
  </si>
  <si>
    <t>P1330030</t>
  </si>
  <si>
    <t>CODIGO NUEVO</t>
  </si>
  <si>
    <t>COL01</t>
  </si>
  <si>
    <t>COL02</t>
  </si>
  <si>
    <t>COL03</t>
  </si>
  <si>
    <t>COL04</t>
  </si>
  <si>
    <t>COL05</t>
  </si>
  <si>
    <t>COL06</t>
  </si>
  <si>
    <t>COL07</t>
  </si>
  <si>
    <t>COL08</t>
  </si>
  <si>
    <t>COL09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</si>
  <si>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</si>
  <si>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</si>
  <si>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</si>
  <si>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</si>
  <si>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</si>
  <si>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</si>
  <si>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</si>
  <si>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</si>
  <si>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</si>
  <si>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</si>
  <si>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</si>
  <si>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>COL21</t>
  </si>
  <si>
    <t>COL22</t>
  </si>
  <si>
    <t>COL23</t>
  </si>
  <si>
    <t>COL24</t>
  </si>
  <si>
    <t>COL25</t>
  </si>
  <si>
    <t>COL26</t>
  </si>
  <si>
    <t>COL27</t>
  </si>
  <si>
    <t>COL28</t>
  </si>
  <si>
    <t>COL29</t>
  </si>
  <si>
    <t>COL30</t>
  </si>
  <si>
    <t>COL31</t>
  </si>
  <si>
    <t>COL32</t>
  </si>
  <si>
    <t>COL33</t>
  </si>
  <si>
    <t>COL34</t>
  </si>
  <si>
    <t>COL35</t>
  </si>
  <si>
    <t>COL36</t>
  </si>
  <si>
    <t>COL37</t>
  </si>
  <si>
    <t>COL38</t>
  </si>
  <si>
    <t>COL39</t>
  </si>
  <si>
    <t>COL40</t>
  </si>
  <si>
    <t>COL41</t>
  </si>
  <si>
    <t>COL42</t>
  </si>
  <si>
    <t>COL43</t>
  </si>
  <si>
    <t>COL44</t>
  </si>
  <si>
    <t>COL45</t>
  </si>
  <si>
    <t>COL46</t>
  </si>
  <si>
    <t>COL47</t>
  </si>
  <si>
    <t>COL48</t>
  </si>
  <si>
    <t>Versión 1.2: Junio 2025</t>
  </si>
  <si>
    <t>HbA1C&lt;7% - PA &lt; 140/90mmHg y Colesterol LDL &lt; 70 mg/dl</t>
  </si>
  <si>
    <t>Trastorno Espectro Autista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</si>
</sst>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  <font>
      <sz val="10"/>
      <name val="Comic Sans MS"/>
      <family val="4"/>
    </font>
    <font>
      <sz val="10"/>
      <color indexed="30"/>
      <name val="Verdana"/>
      <family val="2"/>
    </font>
    <font>
      <sz val="10"/>
      <color rgb="FFFF0000"/>
      <name val="Verdana"/>
      <family val="2"/>
    </font>
    <font>
      <sz val="11"/>
      <color indexed="30"/>
      <name val="Verdana"/>
      <family val="2"/>
    </font>
    <font>
      <sz val="11"/>
      <name val="Verdana"/>
      <family val="2"/>
    </font>
    <font>
      <sz val="11"/>
      <color rgb="FFFF0000"/>
      <name val="Verdana"/>
      <family val="2"/>
    </font>
    <font>
      <sz val="11"/>
      <color rgb="FF0070C0"/>
      <name val="Verdana"/>
      <family val="2"/>
    </font>
    <font>
      <sz val="11"/>
      <color theme="1"/>
      <name val="Verdana"/>
      <family val="2"/>
    </font>
    <font>
      <b/>
      <sz val="9"/>
      <color rgb="FFFF0000"/>
      <name val="Verdana"/>
      <family val="2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</fills>
  <borders count="2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180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5" applyNumberFormat="0">
      <protection locked="0"/>
    </xf>
    <xf numFmtId="0" fontId="8" fillId="13" borderId="145" applyNumberFormat="0">
      <protection locked="0"/>
    </xf>
    <xf numFmtId="0" fontId="8" fillId="13" borderId="148" applyBorder="0">
      <protection locked="0"/>
    </xf>
    <xf numFmtId="0" fontId="8" fillId="13" borderId="157" applyNumberFormat="0">
      <protection locked="0"/>
    </xf>
    <xf numFmtId="0" fontId="8" fillId="13" borderId="157" applyNumberFormat="0">
      <protection locked="0"/>
    </xf>
    <xf numFmtId="0" fontId="8" fillId="13" borderId="157" applyNumberFormat="0">
      <protection locked="0"/>
    </xf>
    <xf numFmtId="0" fontId="8" fillId="13" borderId="148" applyBorder="0">
      <protection locked="0"/>
    </xf>
    <xf numFmtId="0" fontId="8" fillId="13" borderId="148" applyBorder="0">
      <protection locked="0"/>
    </xf>
    <xf numFmtId="0" fontId="8" fillId="13" borderId="157" applyNumberFormat="0">
      <protection locked="0"/>
    </xf>
    <xf numFmtId="0" fontId="8" fillId="13" borderId="157" applyNumberFormat="0">
      <protection locked="0"/>
    </xf>
    <xf numFmtId="0" fontId="8" fillId="13" borderId="157" applyNumberFormat="0">
      <protection locked="0"/>
    </xf>
    <xf numFmtId="0" fontId="8" fillId="13" borderId="148" applyBorder="0">
      <protection locked="0"/>
    </xf>
    <xf numFmtId="0" fontId="8" fillId="13" borderId="157" applyNumberFormat="0">
      <protection locked="0"/>
    </xf>
    <xf numFmtId="0" fontId="16" fillId="0" borderId="148" applyNumberFormat="0" applyBorder="0">
      <protection hidden="1"/>
    </xf>
    <xf numFmtId="0" fontId="16" fillId="0" borderId="148" applyNumberFormat="0" applyBorder="0">
      <protection hidden="1"/>
    </xf>
    <xf numFmtId="0" fontId="16" fillId="0" borderId="148" applyNumberFormat="0" applyBorder="0" applyAlignment="0">
      <protection hidden="1"/>
    </xf>
    <xf numFmtId="0" fontId="8" fillId="5" borderId="158" applyNumberFormat="0" applyFont="0" applyAlignment="0" applyProtection="0"/>
    <xf numFmtId="0" fontId="8" fillId="5" borderId="158" applyNumberFormat="0" applyFont="0" applyAlignment="0" applyProtection="0"/>
    <xf numFmtId="0" fontId="8" fillId="13" borderId="159" applyNumberFormat="0">
      <protection locked="0"/>
    </xf>
    <xf numFmtId="0" fontId="8" fillId="13" borderId="159" applyNumberFormat="0">
      <protection locked="0"/>
    </xf>
    <xf numFmtId="0" fontId="8" fillId="13" borderId="164" applyBorder="0">
      <protection locked="0"/>
    </xf>
    <xf numFmtId="0" fontId="8" fillId="13" borderId="159" applyNumberFormat="0">
      <protection locked="0"/>
    </xf>
    <xf numFmtId="0" fontId="8" fillId="13" borderId="159" applyNumberFormat="0">
      <protection locked="0"/>
    </xf>
    <xf numFmtId="0" fontId="8" fillId="13" borderId="164" applyBorder="0">
      <protection locked="0"/>
    </xf>
    <xf numFmtId="0" fontId="8" fillId="13" borderId="164" applyBorder="0">
      <protection locked="0"/>
    </xf>
    <xf numFmtId="0" fontId="8" fillId="13" borderId="159" applyNumberFormat="0">
      <protection locked="0"/>
    </xf>
    <xf numFmtId="0" fontId="8" fillId="13" borderId="159" applyNumberFormat="0">
      <protection locked="0"/>
    </xf>
    <xf numFmtId="0" fontId="8" fillId="13" borderId="159" applyNumberFormat="0">
      <protection locked="0"/>
    </xf>
    <xf numFmtId="0" fontId="8" fillId="13" borderId="164" applyBorder="0">
      <protection locked="0"/>
    </xf>
    <xf numFmtId="0" fontId="8" fillId="13" borderId="159" applyNumberFormat="0">
      <protection locked="0"/>
    </xf>
    <xf numFmtId="0" fontId="16" fillId="0" borderId="164" applyNumberFormat="0" applyBorder="0">
      <protection hidden="1"/>
    </xf>
    <xf numFmtId="0" fontId="16" fillId="0" borderId="164" applyNumberFormat="0" applyBorder="0">
      <protection hidden="1"/>
    </xf>
    <xf numFmtId="0" fontId="16" fillId="0" borderId="164" applyNumberFormat="0" applyBorder="0" applyAlignment="0">
      <protection hidden="1"/>
    </xf>
    <xf numFmtId="0" fontId="8" fillId="13" borderId="167" applyNumberFormat="0">
      <protection locked="0"/>
    </xf>
    <xf numFmtId="0" fontId="8" fillId="13" borderId="167" applyNumberFormat="0">
      <protection locked="0"/>
    </xf>
    <xf numFmtId="0" fontId="1" fillId="30" borderId="170" applyNumberFormat="0" applyFont="0" applyAlignment="0" applyProtection="0"/>
    <xf numFmtId="0" fontId="8" fillId="13" borderId="2" applyNumberFormat="0">
      <protection locked="0"/>
    </xf>
    <xf numFmtId="0" fontId="8" fillId="13" borderId="172" applyBorder="0">
      <protection locked="0"/>
    </xf>
    <xf numFmtId="0" fontId="8" fillId="13" borderId="173" applyNumberFormat="0">
      <protection locked="0"/>
    </xf>
    <xf numFmtId="0" fontId="8" fillId="13" borderId="173" applyNumberFormat="0">
      <protection locked="0"/>
    </xf>
    <xf numFmtId="0" fontId="8" fillId="13" borderId="174" applyNumberFormat="0">
      <protection locked="0"/>
    </xf>
    <xf numFmtId="0" fontId="8" fillId="13" borderId="164" applyBorder="0">
      <protection locked="0"/>
    </xf>
    <xf numFmtId="0" fontId="37" fillId="0" borderId="0"/>
  </cellStyleXfs>
  <cellXfs count="2341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14" borderId="5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7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7" xfId="0" applyNumberFormat="1" applyFont="1" applyBorder="1" applyAlignment="1" applyProtection="1">
      <alignment horizontal="left" wrapText="1"/>
      <protection hidden="1"/>
    </xf>
    <xf numFmtId="1" fontId="6" fillId="0" borderId="22" xfId="0" applyNumberFormat="1" applyFont="1" applyBorder="1" applyAlignment="1" applyProtection="1">
      <alignment horizontal="left" wrapText="1"/>
      <protection hidden="1"/>
    </xf>
    <xf numFmtId="1" fontId="6" fillId="0" borderId="17" xfId="0" applyNumberFormat="1" applyFont="1" applyBorder="1" applyProtection="1">
      <protection hidden="1"/>
    </xf>
    <xf numFmtId="1" fontId="6" fillId="0" borderId="22" xfId="0" applyNumberFormat="1" applyFont="1" applyBorder="1" applyProtection="1">
      <protection hidden="1"/>
    </xf>
    <xf numFmtId="1" fontId="6" fillId="0" borderId="46" xfId="0" applyNumberFormat="1" applyFont="1" applyBorder="1" applyProtection="1">
      <protection hidden="1"/>
    </xf>
    <xf numFmtId="1" fontId="6" fillId="0" borderId="17" xfId="0" applyNumberFormat="1" applyFont="1" applyBorder="1" applyAlignment="1" applyProtection="1">
      <alignment horizontal="left"/>
      <protection hidden="1"/>
    </xf>
    <xf numFmtId="1" fontId="6" fillId="0" borderId="22" xfId="0" applyNumberFormat="1" applyFont="1" applyBorder="1" applyAlignment="1" applyProtection="1">
      <alignment horizontal="left"/>
      <protection hidden="1"/>
    </xf>
    <xf numFmtId="1" fontId="6" fillId="0" borderId="32" xfId="0" applyNumberFormat="1" applyFont="1" applyBorder="1" applyAlignment="1" applyProtection="1">
      <alignment horizontal="left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52" xfId="0" applyNumberFormat="1" applyFont="1" applyBorder="1" applyAlignment="1" applyProtection="1">
      <alignment vertical="center" wrapText="1"/>
      <protection hidden="1"/>
    </xf>
    <xf numFmtId="1" fontId="6" fillId="0" borderId="46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7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/>
    </xf>
    <xf numFmtId="1" fontId="6" fillId="0" borderId="46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54" xfId="0" applyNumberFormat="1" applyFont="1" applyBorder="1" applyAlignment="1" applyProtection="1">
      <alignment wrapText="1"/>
      <protection hidden="1"/>
    </xf>
    <xf numFmtId="1" fontId="6" fillId="0" borderId="52" xfId="0" applyNumberFormat="1" applyFont="1" applyBorder="1" applyAlignment="1">
      <alignment wrapText="1"/>
    </xf>
    <xf numFmtId="1" fontId="6" fillId="0" borderId="55" xfId="0" applyNumberFormat="1" applyFont="1" applyBorder="1" applyAlignment="1">
      <alignment wrapText="1"/>
    </xf>
    <xf numFmtId="1" fontId="6" fillId="0" borderId="16" xfId="126" applyNumberFormat="1" applyFont="1" applyBorder="1" applyAlignment="1" applyProtection="1">
      <alignment horizontal="center" vertical="center" wrapText="1"/>
      <protection hidden="1"/>
    </xf>
    <xf numFmtId="1" fontId="6" fillId="0" borderId="52" xfId="124" applyNumberFormat="1" applyFont="1" applyBorder="1"/>
    <xf numFmtId="1" fontId="6" fillId="0" borderId="65" xfId="124" applyNumberFormat="1" applyFont="1" applyBorder="1"/>
    <xf numFmtId="1" fontId="6" fillId="0" borderId="32" xfId="124" applyNumberFormat="1" applyFont="1" applyBorder="1"/>
    <xf numFmtId="1" fontId="6" fillId="0" borderId="53" xfId="124" applyNumberFormat="1" applyFont="1" applyBorder="1"/>
    <xf numFmtId="1" fontId="6" fillId="0" borderId="69" xfId="124" applyNumberFormat="1" applyFont="1" applyBorder="1"/>
    <xf numFmtId="1" fontId="6" fillId="0" borderId="14" xfId="124" applyNumberFormat="1" applyFont="1" applyBorder="1"/>
    <xf numFmtId="1" fontId="6" fillId="0" borderId="26" xfId="124" applyNumberFormat="1" applyFont="1" applyBorder="1"/>
    <xf numFmtId="1" fontId="6" fillId="0" borderId="31" xfId="124" applyNumberFormat="1" applyFont="1" applyBorder="1"/>
    <xf numFmtId="1" fontId="6" fillId="0" borderId="21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7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2" xfId="0" quotePrefix="1" applyNumberFormat="1" applyFont="1" applyBorder="1" applyAlignment="1">
      <alignment horizontal="left" wrapText="1"/>
    </xf>
    <xf numFmtId="1" fontId="6" fillId="0" borderId="46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7" xfId="124" applyNumberFormat="1" applyFont="1" applyBorder="1" applyAlignment="1">
      <alignment vertical="center"/>
    </xf>
    <xf numFmtId="1" fontId="6" fillId="0" borderId="22" xfId="124" applyNumberFormat="1" applyFont="1" applyBorder="1" applyAlignment="1">
      <alignment vertical="center"/>
    </xf>
    <xf numFmtId="1" fontId="6" fillId="0" borderId="32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10" xfId="108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left" vertical="center"/>
    </xf>
    <xf numFmtId="1" fontId="6" fillId="0" borderId="16" xfId="124" applyNumberFormat="1" applyFont="1" applyBorder="1" applyAlignment="1">
      <alignment horizontal="left" vertical="center"/>
    </xf>
    <xf numFmtId="1" fontId="6" fillId="0" borderId="14" xfId="126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 wrapText="1"/>
    </xf>
    <xf numFmtId="1" fontId="6" fillId="0" borderId="26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90" xfId="124" applyNumberFormat="1" applyFont="1" applyBorder="1" applyAlignment="1">
      <alignment horizontal="left" vertical="center"/>
    </xf>
    <xf numFmtId="1" fontId="6" fillId="0" borderId="91" xfId="124" applyNumberFormat="1" applyFont="1" applyBorder="1" applyAlignment="1">
      <alignment horizontal="left" vertical="center"/>
    </xf>
    <xf numFmtId="1" fontId="6" fillId="0" borderId="17" xfId="126" applyNumberFormat="1" applyFont="1" applyBorder="1" applyAlignment="1">
      <alignment horizontal="left" vertical="center"/>
    </xf>
    <xf numFmtId="1" fontId="6" fillId="0" borderId="6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26" xfId="125" applyNumberFormat="1" applyFont="1" applyBorder="1" applyAlignment="1" applyProtection="1">
      <alignment vertical="center"/>
      <protection hidden="1"/>
    </xf>
    <xf numFmtId="1" fontId="6" fillId="0" borderId="17" xfId="125" applyNumberFormat="1" applyFont="1" applyBorder="1" applyAlignment="1" applyProtection="1">
      <alignment vertical="center"/>
      <protection hidden="1"/>
    </xf>
    <xf numFmtId="1" fontId="6" fillId="0" borderId="22" xfId="125" applyNumberFormat="1" applyFont="1" applyBorder="1" applyAlignment="1" applyProtection="1">
      <alignment vertical="center"/>
      <protection hidden="1"/>
    </xf>
    <xf numFmtId="1" fontId="6" fillId="0" borderId="17" xfId="125" applyNumberFormat="1" applyFont="1" applyBorder="1" applyAlignment="1" applyProtection="1">
      <alignment vertical="center" wrapText="1"/>
      <protection hidden="1"/>
    </xf>
    <xf numFmtId="1" fontId="6" fillId="0" borderId="56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10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7" xfId="128" applyNumberFormat="1" applyFont="1" applyBorder="1" applyAlignment="1" applyProtection="1">
      <alignment vertical="center" wrapText="1"/>
      <protection hidden="1"/>
    </xf>
    <xf numFmtId="1" fontId="6" fillId="0" borderId="46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2" xfId="124" quotePrefix="1" applyNumberFormat="1" applyFont="1" applyBorder="1" applyAlignment="1">
      <alignment wrapText="1"/>
    </xf>
    <xf numFmtId="1" fontId="6" fillId="0" borderId="46" xfId="124" quotePrefix="1" applyNumberFormat="1" applyFont="1" applyBorder="1" applyAlignment="1">
      <alignment wrapText="1"/>
    </xf>
    <xf numFmtId="1" fontId="6" fillId="0" borderId="6" xfId="124" quotePrefix="1" applyNumberFormat="1" applyFont="1" applyBorder="1"/>
    <xf numFmtId="1" fontId="6" fillId="0" borderId="6" xfId="124" quotePrefix="1" applyNumberFormat="1" applyFont="1" applyBorder="1" applyAlignment="1">
      <alignment wrapText="1"/>
    </xf>
    <xf numFmtId="1" fontId="6" fillId="0" borderId="65" xfId="124" quotePrefix="1" applyNumberFormat="1" applyFont="1" applyBorder="1"/>
    <xf numFmtId="1" fontId="6" fillId="0" borderId="52" xfId="124" applyNumberFormat="1" applyFont="1" applyBorder="1" applyAlignment="1">
      <alignment wrapText="1"/>
    </xf>
    <xf numFmtId="1" fontId="6" fillId="0" borderId="53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6" xfId="125" applyNumberFormat="1" applyFont="1" applyFill="1" applyBorder="1" applyAlignment="1" applyProtection="1">
      <alignment vertical="center"/>
      <protection hidden="1"/>
    </xf>
    <xf numFmtId="1" fontId="6" fillId="22" borderId="22" xfId="125" applyNumberFormat="1" applyFont="1" applyFill="1" applyBorder="1" applyAlignment="1" applyProtection="1">
      <alignment vertical="center" wrapText="1"/>
      <protection hidden="1"/>
    </xf>
    <xf numFmtId="1" fontId="6" fillId="15" borderId="67" xfId="72" applyNumberFormat="1" applyFont="1" applyFill="1" applyBorder="1" applyAlignment="1" applyProtection="1">
      <alignment horizontal="right"/>
      <protection locked="0"/>
    </xf>
    <xf numFmtId="1" fontId="6" fillId="15" borderId="68" xfId="72" applyNumberFormat="1" applyFont="1" applyFill="1" applyBorder="1" applyAlignment="1" applyProtection="1">
      <alignment horizontal="right"/>
      <protection locked="0"/>
    </xf>
    <xf numFmtId="1" fontId="6" fillId="15" borderId="50" xfId="72" applyNumberFormat="1" applyFont="1" applyFill="1" applyBorder="1" applyAlignment="1" applyProtection="1">
      <alignment horizontal="right"/>
      <protection locked="0"/>
    </xf>
    <xf numFmtId="1" fontId="6" fillId="15" borderId="66" xfId="72" applyNumberFormat="1" applyFont="1" applyFill="1" applyBorder="1" applyAlignment="1" applyProtection="1">
      <alignment horizontal="right"/>
      <protection locked="0"/>
    </xf>
    <xf numFmtId="1" fontId="6" fillId="22" borderId="54" xfId="124" applyNumberFormat="1" applyFont="1" applyFill="1" applyBorder="1" applyAlignment="1">
      <alignment horizontal="right"/>
    </xf>
    <xf numFmtId="1" fontId="6" fillId="22" borderId="32" xfId="124" applyNumberFormat="1" applyFont="1" applyFill="1" applyBorder="1" applyAlignment="1">
      <alignment horizontal="right"/>
    </xf>
    <xf numFmtId="1" fontId="6" fillId="15" borderId="109" xfId="72" applyNumberFormat="1" applyFont="1" applyFill="1" applyBorder="1" applyAlignment="1" applyProtection="1">
      <alignment horizontal="right"/>
      <protection locked="0"/>
    </xf>
    <xf numFmtId="1" fontId="6" fillId="22" borderId="22" xfId="124" applyNumberFormat="1" applyFont="1" applyFill="1" applyBorder="1" applyAlignment="1">
      <alignment horizontal="right"/>
    </xf>
    <xf numFmtId="1" fontId="6" fillId="15" borderId="73" xfId="72" applyNumberFormat="1" applyFont="1" applyFill="1" applyBorder="1" applyAlignment="1" applyProtection="1">
      <alignment horizontal="right"/>
      <protection locked="0"/>
    </xf>
    <xf numFmtId="1" fontId="6" fillId="15" borderId="71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62" xfId="72" applyNumberFormat="1" applyFont="1" applyFill="1" applyBorder="1" applyAlignment="1" applyProtection="1">
      <alignment horizontal="right"/>
      <protection locked="0"/>
    </xf>
    <xf numFmtId="1" fontId="6" fillId="15" borderId="48" xfId="72" applyNumberFormat="1" applyFont="1" applyFill="1" applyBorder="1" applyAlignment="1" applyProtection="1">
      <alignment horizontal="right"/>
      <protection locked="0"/>
    </xf>
    <xf numFmtId="1" fontId="6" fillId="15" borderId="49" xfId="72" applyNumberFormat="1" applyFont="1" applyFill="1" applyBorder="1" applyAlignment="1" applyProtection="1">
      <alignment horizontal="right"/>
      <protection locked="0"/>
    </xf>
    <xf numFmtId="1" fontId="6" fillId="15" borderId="78" xfId="72" applyNumberFormat="1" applyFont="1" applyFill="1" applyBorder="1" applyAlignment="1" applyProtection="1">
      <alignment horizontal="right"/>
      <protection locked="0"/>
    </xf>
    <xf numFmtId="1" fontId="6" fillId="15" borderId="77" xfId="72" applyNumberFormat="1" applyFont="1" applyFill="1" applyBorder="1" applyAlignment="1" applyProtection="1">
      <alignment horizontal="right"/>
      <protection locked="0"/>
    </xf>
    <xf numFmtId="1" fontId="6" fillId="0" borderId="73" xfId="125" applyNumberFormat="1" applyFont="1" applyBorder="1" applyAlignment="1" applyProtection="1">
      <alignment horizontal="right" wrapText="1"/>
      <protection hidden="1"/>
    </xf>
    <xf numFmtId="1" fontId="6" fillId="0" borderId="72" xfId="125" applyNumberFormat="1" applyFont="1" applyBorder="1" applyAlignment="1" applyProtection="1">
      <alignment horizontal="right" wrapText="1"/>
      <protection hidden="1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100" xfId="72" applyNumberFormat="1" applyFont="1" applyFill="1" applyBorder="1" applyAlignment="1" applyProtection="1">
      <alignment horizontal="right"/>
      <protection locked="0"/>
    </xf>
    <xf numFmtId="1" fontId="6" fillId="15" borderId="89" xfId="72" applyNumberFormat="1" applyFont="1" applyFill="1" applyBorder="1" applyAlignment="1" applyProtection="1">
      <alignment horizontal="right"/>
      <protection locked="0"/>
    </xf>
    <xf numFmtId="1" fontId="6" fillId="15" borderId="112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102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15" borderId="104" xfId="72" applyNumberFormat="1" applyFont="1" applyFill="1" applyBorder="1" applyAlignment="1" applyProtection="1">
      <alignment horizontal="right"/>
      <protection locked="0"/>
    </xf>
    <xf numFmtId="1" fontId="6" fillId="0" borderId="6" xfId="0" applyNumberFormat="1" applyFont="1" applyBorder="1" applyAlignment="1">
      <alignment horizontal="center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79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0" borderId="57" xfId="125" applyNumberFormat="1" applyFont="1" applyBorder="1" applyAlignment="1" applyProtection="1">
      <alignment horizontal="center" vertical="center" wrapText="1"/>
      <protection hidden="1"/>
    </xf>
    <xf numFmtId="1" fontId="6" fillId="15" borderId="24" xfId="72" applyNumberFormat="1" applyFont="1" applyFill="1" applyBorder="1" applyAlignment="1" applyProtection="1">
      <alignment horizontal="right"/>
      <protection locked="0"/>
    </xf>
    <xf numFmtId="1" fontId="6" fillId="15" borderId="114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7" xfId="0" applyNumberFormat="1" applyFont="1" applyFill="1" applyBorder="1" applyAlignment="1" applyProtection="1">
      <alignment vertical="center" wrapText="1"/>
      <protection hidden="1"/>
    </xf>
    <xf numFmtId="1" fontId="6" fillId="17" borderId="22" xfId="0" applyNumberFormat="1" applyFont="1" applyFill="1" applyBorder="1" applyAlignment="1" applyProtection="1">
      <alignment vertical="center" wrapText="1"/>
      <protection hidden="1"/>
    </xf>
    <xf numFmtId="1" fontId="6" fillId="0" borderId="57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4" xfId="128" applyNumberFormat="1" applyFont="1" applyBorder="1" applyAlignment="1" applyProtection="1">
      <alignment vertical="center" wrapText="1"/>
      <protection hidden="1"/>
    </xf>
    <xf numFmtId="1" fontId="6" fillId="0" borderId="22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6" xfId="124" applyNumberFormat="1" applyFont="1" applyFill="1" applyBorder="1" applyAlignment="1">
      <alignment horizontal="right"/>
    </xf>
    <xf numFmtId="1" fontId="6" fillId="22" borderId="17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7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7" xfId="0" applyNumberFormat="1" applyFont="1" applyBorder="1" applyAlignment="1">
      <alignment vertical="center" wrapText="1"/>
    </xf>
    <xf numFmtId="1" fontId="6" fillId="0" borderId="22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6" xfId="0" applyNumberFormat="1" applyFont="1" applyBorder="1" applyAlignment="1">
      <alignment vertical="center" wrapText="1"/>
    </xf>
    <xf numFmtId="1" fontId="6" fillId="0" borderId="6" xfId="0" applyNumberFormat="1" applyFont="1" applyBorder="1" applyAlignment="1">
      <alignment vertical="center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67" xfId="0" applyNumberFormat="1" applyFont="1" applyFill="1" applyBorder="1" applyAlignment="1">
      <alignment horizontal="right" wrapText="1"/>
    </xf>
    <xf numFmtId="1" fontId="6" fillId="22" borderId="54" xfId="0" applyNumberFormat="1" applyFont="1" applyFill="1" applyBorder="1" applyAlignment="1">
      <alignment horizontal="right" wrapText="1"/>
    </xf>
    <xf numFmtId="1" fontId="6" fillId="22" borderId="26" xfId="0" applyNumberFormat="1" applyFont="1" applyFill="1" applyBorder="1" applyAlignment="1">
      <alignment horizontal="right" wrapText="1"/>
    </xf>
    <xf numFmtId="1" fontId="6" fillId="22" borderId="48" xfId="0" applyNumberFormat="1" applyFont="1" applyFill="1" applyBorder="1" applyAlignment="1">
      <alignment horizontal="right" wrapText="1"/>
    </xf>
    <xf numFmtId="1" fontId="6" fillId="22" borderId="22" xfId="0" applyNumberFormat="1" applyFont="1" applyFill="1" applyBorder="1" applyAlignment="1">
      <alignment horizontal="right" wrapText="1"/>
    </xf>
    <xf numFmtId="1" fontId="6" fillId="22" borderId="41" xfId="0" applyNumberFormat="1" applyFont="1" applyFill="1" applyBorder="1" applyAlignment="1">
      <alignment horizontal="right" wrapText="1"/>
    </xf>
    <xf numFmtId="1" fontId="6" fillId="22" borderId="26" xfId="0" applyNumberFormat="1" applyFont="1" applyFill="1" applyBorder="1" applyAlignment="1">
      <alignment horizontal="right"/>
    </xf>
    <xf numFmtId="1" fontId="6" fillId="22" borderId="94" xfId="0" applyNumberFormat="1" applyFont="1" applyFill="1" applyBorder="1" applyAlignment="1">
      <alignment horizontal="right" wrapText="1"/>
    </xf>
    <xf numFmtId="1" fontId="6" fillId="22" borderId="78" xfId="0" applyNumberFormat="1" applyFont="1" applyFill="1" applyBorder="1" applyAlignment="1">
      <alignment horizontal="right" wrapText="1"/>
    </xf>
    <xf numFmtId="1" fontId="6" fillId="22" borderId="46" xfId="0" applyNumberFormat="1" applyFont="1" applyFill="1" applyBorder="1" applyAlignment="1">
      <alignment horizontal="right" wrapText="1"/>
    </xf>
    <xf numFmtId="1" fontId="6" fillId="22" borderId="22" xfId="0" applyNumberFormat="1" applyFont="1" applyFill="1" applyBorder="1" applyAlignment="1">
      <alignment horizontal="right"/>
    </xf>
    <xf numFmtId="1" fontId="6" fillId="22" borderId="48" xfId="0" applyNumberFormat="1" applyFont="1" applyFill="1" applyBorder="1" applyAlignment="1">
      <alignment horizontal="right"/>
    </xf>
    <xf numFmtId="1" fontId="6" fillId="22" borderId="6" xfId="0" applyNumberFormat="1" applyFont="1" applyFill="1" applyBorder="1" applyAlignment="1">
      <alignment horizontal="right" wrapText="1"/>
    </xf>
    <xf numFmtId="1" fontId="6" fillId="22" borderId="58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17" xfId="0" applyNumberFormat="1" applyFont="1" applyFill="1" applyBorder="1" applyAlignment="1">
      <alignment wrapText="1"/>
    </xf>
    <xf numFmtId="1" fontId="6" fillId="22" borderId="54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54" xfId="125" applyNumberFormat="1" applyFont="1" applyBorder="1" applyAlignment="1" applyProtection="1">
      <alignment horizontal="right" wrapText="1"/>
      <protection hidden="1"/>
    </xf>
    <xf numFmtId="1" fontId="6" fillId="0" borderId="67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38" xfId="125" applyNumberFormat="1" applyFont="1" applyBorder="1" applyAlignment="1" applyProtection="1">
      <alignment horizontal="right" wrapText="1"/>
      <protection hidden="1"/>
    </xf>
    <xf numFmtId="1" fontId="6" fillId="0" borderId="14" xfId="125" applyNumberFormat="1" applyFont="1" applyBorder="1" applyAlignment="1" applyProtection="1">
      <alignment horizontal="right" wrapText="1"/>
      <protection hidden="1"/>
    </xf>
    <xf numFmtId="1" fontId="6" fillId="0" borderId="22" xfId="125" applyNumberFormat="1" applyFont="1" applyBorder="1" applyAlignment="1" applyProtection="1">
      <alignment horizontal="right" wrapText="1"/>
      <protection hidden="1"/>
    </xf>
    <xf numFmtId="1" fontId="6" fillId="0" borderId="48" xfId="125" applyNumberFormat="1" applyFont="1" applyBorder="1" applyAlignment="1" applyProtection="1">
      <alignment horizontal="right" wrapText="1"/>
      <protection hidden="1"/>
    </xf>
    <xf numFmtId="1" fontId="6" fillId="0" borderId="41" xfId="125" applyNumberFormat="1" applyFont="1" applyBorder="1" applyAlignment="1" applyProtection="1">
      <alignment horizontal="right" wrapText="1"/>
      <protection hidden="1"/>
    </xf>
    <xf numFmtId="1" fontId="6" fillId="0" borderId="26" xfId="125" applyNumberFormat="1" applyFont="1" applyBorder="1" applyAlignment="1" applyProtection="1">
      <alignment horizontal="right" wrapText="1"/>
      <protection hidden="1"/>
    </xf>
    <xf numFmtId="1" fontId="6" fillId="0" borderId="46" xfId="125" applyNumberFormat="1" applyFont="1" applyBorder="1" applyAlignment="1" applyProtection="1">
      <alignment horizontal="right" wrapText="1"/>
      <protection hidden="1"/>
    </xf>
    <xf numFmtId="1" fontId="6" fillId="0" borderId="78" xfId="125" applyNumberFormat="1" applyFont="1" applyBorder="1" applyAlignment="1" applyProtection="1">
      <alignment horizontal="right" wrapText="1"/>
      <protection hidden="1"/>
    </xf>
    <xf numFmtId="1" fontId="6" fillId="0" borderId="94" xfId="125" applyNumberFormat="1" applyFont="1" applyBorder="1" applyAlignment="1" applyProtection="1">
      <alignment horizontal="right" wrapText="1"/>
      <protection hidden="1"/>
    </xf>
    <xf numFmtId="1" fontId="6" fillId="0" borderId="74" xfId="125" applyNumberFormat="1" applyFont="1" applyBorder="1" applyAlignment="1" applyProtection="1">
      <alignment horizontal="right" wrapText="1"/>
      <protection hidden="1"/>
    </xf>
    <xf numFmtId="1" fontId="6" fillId="0" borderId="6" xfId="125" applyNumberFormat="1" applyFont="1" applyBorder="1" applyAlignment="1" applyProtection="1">
      <alignment horizontal="right" wrapText="1"/>
      <protection hidden="1"/>
    </xf>
    <xf numFmtId="1" fontId="6" fillId="0" borderId="58" xfId="125" applyNumberFormat="1" applyFont="1" applyBorder="1" applyAlignment="1" applyProtection="1">
      <alignment horizontal="right" wrapText="1"/>
      <protection hidden="1"/>
    </xf>
    <xf numFmtId="1" fontId="6" fillId="0" borderId="16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3" xfId="125" applyNumberFormat="1" applyFont="1" applyBorder="1" applyAlignment="1" applyProtection="1">
      <alignment horizontal="right" wrapText="1"/>
      <protection hidden="1"/>
    </xf>
    <xf numFmtId="1" fontId="6" fillId="0" borderId="59" xfId="125" applyNumberFormat="1" applyFont="1" applyBorder="1" applyAlignment="1" applyProtection="1">
      <alignment horizontal="right" wrapText="1"/>
      <protection hidden="1"/>
    </xf>
    <xf numFmtId="1" fontId="6" fillId="0" borderId="111" xfId="125" applyNumberFormat="1" applyFont="1" applyBorder="1" applyAlignment="1" applyProtection="1">
      <alignment horizontal="right" wrapText="1"/>
      <protection hidden="1"/>
    </xf>
    <xf numFmtId="1" fontId="6" fillId="0" borderId="32" xfId="125" applyNumberFormat="1" applyFont="1" applyBorder="1" applyAlignment="1" applyProtection="1">
      <alignment horizontal="right" wrapText="1"/>
      <protection hidden="1"/>
    </xf>
    <xf numFmtId="1" fontId="6" fillId="0" borderId="50" xfId="125" applyNumberFormat="1" applyFont="1" applyBorder="1" applyAlignment="1" applyProtection="1">
      <alignment horizontal="right" wrapText="1"/>
      <protection hidden="1"/>
    </xf>
    <xf numFmtId="1" fontId="6" fillId="0" borderId="44" xfId="125" applyNumberFormat="1" applyFont="1" applyBorder="1" applyAlignment="1" applyProtection="1">
      <alignment horizontal="right" wrapText="1"/>
      <protection hidden="1"/>
    </xf>
    <xf numFmtId="1" fontId="6" fillId="0" borderId="31" xfId="125" applyNumberFormat="1" applyFont="1" applyBorder="1" applyAlignment="1" applyProtection="1">
      <alignment horizontal="right" wrapText="1"/>
      <protection hidden="1"/>
    </xf>
    <xf numFmtId="1" fontId="6" fillId="0" borderId="56" xfId="125" applyNumberFormat="1" applyFont="1" applyBorder="1" applyAlignment="1" applyProtection="1">
      <alignment horizontal="right" wrapText="1"/>
      <protection hidden="1"/>
    </xf>
    <xf numFmtId="1" fontId="6" fillId="0" borderId="17" xfId="0" applyNumberFormat="1" applyFont="1" applyBorder="1" applyAlignment="1">
      <alignment horizontal="right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12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14" xfId="0" applyNumberFormat="1" applyFont="1" applyFill="1" applyBorder="1" applyAlignment="1" applyProtection="1">
      <alignment horizontal="right"/>
      <protection locked="0"/>
    </xf>
    <xf numFmtId="1" fontId="6" fillId="0" borderId="6" xfId="0" applyNumberFormat="1" applyFont="1" applyBorder="1" applyAlignment="1">
      <alignment horizontal="right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76" xfId="0" applyNumberFormat="1" applyFont="1" applyFill="1" applyBorder="1" applyAlignment="1" applyProtection="1">
      <alignment horizontal="right"/>
      <protection locked="0"/>
    </xf>
    <xf numFmtId="1" fontId="6" fillId="15" borderId="93" xfId="0" applyNumberFormat="1" applyFont="1" applyFill="1" applyBorder="1" applyAlignment="1" applyProtection="1">
      <alignment horizontal="right"/>
      <protection locked="0"/>
    </xf>
    <xf numFmtId="1" fontId="6" fillId="15" borderId="97" xfId="0" applyNumberFormat="1" applyFont="1" applyFill="1" applyBorder="1" applyAlignment="1" applyProtection="1">
      <alignment horizontal="right"/>
      <protection locked="0"/>
    </xf>
    <xf numFmtId="1" fontId="6" fillId="20" borderId="108" xfId="0" applyNumberFormat="1" applyFont="1" applyFill="1" applyBorder="1" applyAlignment="1">
      <alignment horizontal="right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0" borderId="54" xfId="0" applyNumberFormat="1" applyFont="1" applyBorder="1" applyAlignment="1">
      <alignment horizontal="right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19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8" xfId="0" applyNumberFormat="1" applyFont="1" applyFill="1" applyBorder="1" applyAlignment="1" applyProtection="1">
      <alignment horizontal="right"/>
      <protection locked="0"/>
    </xf>
    <xf numFmtId="1" fontId="6" fillId="15" borderId="42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31" xfId="0" applyNumberFormat="1" applyFont="1" applyFill="1" applyBorder="1" applyAlignment="1" applyProtection="1">
      <alignment horizontal="right"/>
      <protection locked="0"/>
    </xf>
    <xf numFmtId="1" fontId="6" fillId="15" borderId="94" xfId="0" applyNumberFormat="1" applyFont="1" applyFill="1" applyBorder="1" applyAlignment="1" applyProtection="1">
      <alignment horizontal="right"/>
      <protection locked="0"/>
    </xf>
    <xf numFmtId="1" fontId="6" fillId="15" borderId="88" xfId="0" applyNumberFormat="1" applyFont="1" applyFill="1" applyBorder="1" applyAlignment="1" applyProtection="1">
      <alignment horizontal="right"/>
      <protection locked="0"/>
    </xf>
    <xf numFmtId="1" fontId="6" fillId="15" borderId="98" xfId="0" applyNumberFormat="1" applyFont="1" applyFill="1" applyBorder="1" applyAlignment="1" applyProtection="1">
      <alignment horizontal="right"/>
      <protection locked="0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0" borderId="32" xfId="0" applyNumberFormat="1" applyFont="1" applyBorder="1" applyAlignment="1">
      <alignment horizontal="right"/>
    </xf>
    <xf numFmtId="1" fontId="6" fillId="15" borderId="78" xfId="0" applyNumberFormat="1" applyFont="1" applyFill="1" applyBorder="1" applyAlignment="1" applyProtection="1">
      <alignment horizontal="right"/>
      <protection locked="0"/>
    </xf>
    <xf numFmtId="1" fontId="6" fillId="0" borderId="124" xfId="0" applyNumberFormat="1" applyFont="1" applyBorder="1" applyAlignment="1">
      <alignment horizontal="right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5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41" xfId="0" applyNumberFormat="1" applyFont="1" applyFill="1" applyBorder="1" applyAlignment="1" applyProtection="1">
      <alignment horizontal="right"/>
      <protection locked="0"/>
    </xf>
    <xf numFmtId="1" fontId="6" fillId="15" borderId="43" xfId="0" applyNumberFormat="1" applyFont="1" applyFill="1" applyBorder="1" applyAlignment="1" applyProtection="1">
      <alignment horizontal="right"/>
      <protection locked="0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0" borderId="22" xfId="0" applyNumberFormat="1" applyFont="1" applyBorder="1" applyAlignment="1">
      <alignment horizontal="right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7" borderId="17" xfId="0" applyNumberFormat="1" applyFont="1" applyFill="1" applyBorder="1" applyAlignment="1">
      <alignment horizontal="right"/>
    </xf>
    <xf numFmtId="1" fontId="6" fillId="17" borderId="22" xfId="0" applyNumberFormat="1" applyFont="1" applyFill="1" applyBorder="1" applyAlignment="1">
      <alignment horizontal="right"/>
    </xf>
    <xf numFmtId="1" fontId="6" fillId="17" borderId="32" xfId="0" applyNumberFormat="1" applyFont="1" applyFill="1" applyBorder="1" applyAlignment="1">
      <alignment horizontal="right"/>
    </xf>
    <xf numFmtId="1" fontId="6" fillId="15" borderId="32" xfId="0" applyNumberFormat="1" applyFont="1" applyFill="1" applyBorder="1" applyAlignment="1" applyProtection="1">
      <alignment horizontal="right"/>
      <protection locked="0"/>
    </xf>
    <xf numFmtId="1" fontId="6" fillId="0" borderId="61" xfId="0" applyNumberFormat="1" applyFont="1" applyBorder="1" applyAlignment="1">
      <alignment horizontal="right"/>
    </xf>
    <xf numFmtId="1" fontId="6" fillId="0" borderId="6" xfId="0" applyNumberFormat="1" applyFont="1" applyBorder="1" applyAlignment="1">
      <alignment horizontal="right" wrapText="1"/>
    </xf>
    <xf numFmtId="1" fontId="6" fillId="15" borderId="62" xfId="0" applyNumberFormat="1" applyFont="1" applyFill="1" applyBorder="1" applyAlignment="1" applyProtection="1">
      <alignment horizontal="right"/>
      <protection locked="0"/>
    </xf>
    <xf numFmtId="1" fontId="6" fillId="15" borderId="48" xfId="0" applyNumberFormat="1" applyFont="1" applyFill="1" applyBorder="1" applyAlignment="1" applyProtection="1">
      <alignment horizontal="right"/>
      <protection locked="0"/>
    </xf>
    <xf numFmtId="1" fontId="6" fillId="15" borderId="49" xfId="0" applyNumberFormat="1" applyFont="1" applyFill="1" applyBorder="1" applyAlignment="1" applyProtection="1">
      <alignment horizontal="right"/>
      <protection locked="0"/>
    </xf>
    <xf numFmtId="1" fontId="6" fillId="15" borderId="77" xfId="0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 wrapText="1"/>
    </xf>
    <xf numFmtId="1" fontId="6" fillId="0" borderId="6" xfId="124" applyNumberFormat="1" applyFont="1" applyBorder="1" applyAlignment="1">
      <alignment horizontal="right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0" borderId="17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/>
      <protection locked="0"/>
    </xf>
    <xf numFmtId="1" fontId="6" fillId="15" borderId="62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0" borderId="32" xfId="124" applyNumberFormat="1" applyFont="1" applyBorder="1" applyAlignment="1">
      <alignment horizontal="right"/>
    </xf>
    <xf numFmtId="1" fontId="6" fillId="15" borderId="78" xfId="124" applyNumberFormat="1" applyFont="1" applyFill="1" applyBorder="1" applyAlignment="1" applyProtection="1">
      <alignment horizontal="right"/>
      <protection locked="0"/>
    </xf>
    <xf numFmtId="1" fontId="6" fillId="15" borderId="77" xfId="124" applyNumberFormat="1" applyFont="1" applyFill="1" applyBorder="1" applyAlignment="1" applyProtection="1">
      <alignment horizontal="right"/>
      <protection locked="0"/>
    </xf>
    <xf numFmtId="1" fontId="6" fillId="15" borderId="89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15" borderId="104" xfId="124" applyNumberFormat="1" applyFont="1" applyFill="1" applyBorder="1" applyAlignment="1" applyProtection="1">
      <alignment horizontal="right"/>
      <protection locked="0"/>
    </xf>
    <xf numFmtId="1" fontId="6" fillId="0" borderId="10" xfId="124" applyNumberFormat="1" applyFont="1" applyBorder="1" applyAlignment="1">
      <alignment horizontal="right"/>
    </xf>
    <xf numFmtId="1" fontId="6" fillId="0" borderId="57" xfId="124" applyNumberFormat="1" applyFont="1" applyBorder="1" applyAlignment="1">
      <alignment horizontal="right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0" borderId="54" xfId="124" applyNumberFormat="1" applyFont="1" applyBorder="1" applyAlignment="1">
      <alignment horizontal="right"/>
    </xf>
    <xf numFmtId="1" fontId="6" fillId="0" borderId="51" xfId="124" applyNumberFormat="1" applyFont="1" applyBorder="1" applyAlignment="1">
      <alignment horizontal="right"/>
    </xf>
    <xf numFmtId="1" fontId="6" fillId="22" borderId="10" xfId="124" applyNumberFormat="1" applyFont="1" applyFill="1" applyBorder="1" applyAlignment="1">
      <alignment horizontal="right"/>
    </xf>
    <xf numFmtId="1" fontId="6" fillId="22" borderId="57" xfId="124" applyNumberFormat="1" applyFont="1" applyFill="1" applyBorder="1" applyAlignment="1">
      <alignment horizontal="right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100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15" borderId="91" xfId="124" applyNumberFormat="1" applyFont="1" applyFill="1" applyBorder="1" applyAlignment="1" applyProtection="1">
      <alignment horizontal="right"/>
      <protection locked="0"/>
    </xf>
    <xf numFmtId="1" fontId="6" fillId="15" borderId="106" xfId="124" applyNumberFormat="1" applyFont="1" applyFill="1" applyBorder="1" applyAlignment="1" applyProtection="1">
      <alignment horizontal="right"/>
      <protection locked="0"/>
    </xf>
    <xf numFmtId="1" fontId="6" fillId="15" borderId="109" xfId="124" applyNumberFormat="1" applyFont="1" applyFill="1" applyBorder="1" applyAlignment="1" applyProtection="1">
      <alignment horizontal="right"/>
      <protection locked="0"/>
    </xf>
    <xf numFmtId="1" fontId="6" fillId="0" borderId="69" xfId="124" applyNumberFormat="1" applyFont="1" applyBorder="1" applyAlignment="1">
      <alignment horizontal="right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0" borderId="53" xfId="124" applyNumberFormat="1" applyFont="1" applyBorder="1" applyAlignment="1">
      <alignment horizontal="right"/>
    </xf>
    <xf numFmtId="1" fontId="6" fillId="0" borderId="52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49" xfId="124" applyNumberFormat="1" applyFont="1" applyFill="1" applyBorder="1" applyAlignment="1" applyProtection="1">
      <alignment horizontal="right"/>
      <protection locked="0"/>
    </xf>
    <xf numFmtId="1" fontId="6" fillId="15" borderId="79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70" xfId="124" applyNumberFormat="1" applyFont="1" applyFill="1" applyBorder="1" applyAlignment="1" applyProtection="1">
      <alignment horizontal="right"/>
      <protection locked="0"/>
    </xf>
    <xf numFmtId="1" fontId="6" fillId="0" borderId="65" xfId="124" applyNumberFormat="1" applyFont="1" applyBorder="1" applyAlignment="1">
      <alignment horizontal="right"/>
    </xf>
    <xf numFmtId="1" fontId="6" fillId="15" borderId="64" xfId="124" applyNumberFormat="1" applyFont="1" applyFill="1" applyBorder="1" applyAlignment="1" applyProtection="1">
      <alignment horizontal="right"/>
      <protection locked="0"/>
    </xf>
    <xf numFmtId="1" fontId="6" fillId="15" borderId="71" xfId="124" applyNumberFormat="1" applyFont="1" applyFill="1" applyBorder="1" applyAlignment="1" applyProtection="1">
      <alignment horizontal="right"/>
      <protection locked="0"/>
    </xf>
    <xf numFmtId="1" fontId="6" fillId="0" borderId="58" xfId="124" applyNumberFormat="1" applyFont="1" applyBorder="1" applyAlignment="1">
      <alignment horizontal="right" wrapText="1"/>
    </xf>
    <xf numFmtId="1" fontId="6" fillId="0" borderId="47" xfId="124" applyNumberFormat="1" applyFont="1" applyBorder="1" applyAlignment="1">
      <alignment horizontal="right"/>
    </xf>
    <xf numFmtId="1" fontId="6" fillId="0" borderId="14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0" borderId="26" xfId="124" applyNumberFormat="1" applyFont="1" applyBorder="1" applyAlignment="1">
      <alignment horizontal="right"/>
    </xf>
    <xf numFmtId="1" fontId="6" fillId="0" borderId="50" xfId="124" applyNumberFormat="1" applyFont="1" applyBorder="1" applyAlignment="1">
      <alignment horizontal="right"/>
    </xf>
    <xf numFmtId="1" fontId="6" fillId="0" borderId="31" xfId="124" applyNumberFormat="1" applyFont="1" applyBorder="1" applyAlignment="1">
      <alignment horizontal="right"/>
    </xf>
    <xf numFmtId="1" fontId="6" fillId="0" borderId="67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0" borderId="16" xfId="124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15" borderId="50" xfId="0" applyNumberFormat="1" applyFont="1" applyFill="1" applyBorder="1" applyAlignment="1" applyProtection="1">
      <alignment horizontal="right"/>
      <protection locked="0"/>
    </xf>
    <xf numFmtId="1" fontId="6" fillId="15" borderId="66" xfId="0" applyNumberFormat="1" applyFont="1" applyFill="1" applyBorder="1" applyAlignment="1" applyProtection="1">
      <alignment horizontal="right"/>
      <protection locked="0"/>
    </xf>
    <xf numFmtId="1" fontId="6" fillId="15" borderId="12" xfId="124" applyNumberFormat="1" applyFont="1" applyFill="1" applyBorder="1" applyAlignment="1" applyProtection="1">
      <alignment horizontal="right"/>
      <protection locked="0"/>
    </xf>
    <xf numFmtId="1" fontId="6" fillId="15" borderId="8" xfId="124" applyNumberFormat="1" applyFont="1" applyFill="1" applyBorder="1" applyAlignment="1" applyProtection="1">
      <alignment horizontal="right"/>
      <protection locked="0"/>
    </xf>
    <xf numFmtId="1" fontId="6" fillId="15" borderId="41" xfId="124" applyNumberFormat="1" applyFont="1" applyFill="1" applyBorder="1" applyAlignment="1" applyProtection="1">
      <alignment horizontal="right"/>
      <protection locked="0"/>
    </xf>
    <xf numFmtId="1" fontId="6" fillId="0" borderId="46" xfId="124" applyNumberFormat="1" applyFont="1" applyBorder="1" applyAlignment="1">
      <alignment horizontal="right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0" borderId="45" xfId="124" applyNumberFormat="1" applyFont="1" applyBorder="1" applyAlignment="1">
      <alignment horizontal="right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0" borderId="12" xfId="125" applyNumberFormat="1" applyFont="1" applyBorder="1" applyAlignment="1">
      <alignment horizontal="right"/>
    </xf>
    <xf numFmtId="1" fontId="6" fillId="0" borderId="49" xfId="125" applyNumberFormat="1" applyFont="1" applyBorder="1" applyAlignment="1">
      <alignment horizontal="right"/>
    </xf>
    <xf numFmtId="1" fontId="6" fillId="0" borderId="77" xfId="125" applyNumberFormat="1" applyFont="1" applyBorder="1" applyAlignment="1">
      <alignment horizontal="right"/>
    </xf>
    <xf numFmtId="1" fontId="6" fillId="0" borderId="18" xfId="125" applyNumberFormat="1" applyFont="1" applyBorder="1" applyAlignment="1">
      <alignment horizontal="right"/>
    </xf>
    <xf numFmtId="1" fontId="6" fillId="0" borderId="68" xfId="125" applyNumberFormat="1" applyFont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0" borderId="71" xfId="125" applyNumberFormat="1" applyFont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0" borderId="11" xfId="125" applyNumberFormat="1" applyFont="1" applyBorder="1" applyAlignment="1">
      <alignment horizontal="right"/>
    </xf>
    <xf numFmtId="1" fontId="6" fillId="0" borderId="62" xfId="125" applyNumberFormat="1" applyFont="1" applyBorder="1" applyAlignment="1">
      <alignment horizontal="right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62" xfId="125" applyNumberFormat="1" applyFont="1" applyFill="1" applyBorder="1" applyAlignment="1" applyProtection="1">
      <alignment horizontal="right"/>
      <protection locked="0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0" borderId="23" xfId="125" applyNumberFormat="1" applyFont="1" applyBorder="1" applyAlignment="1">
      <alignment horizontal="right"/>
    </xf>
    <xf numFmtId="1" fontId="6" fillId="23" borderId="48" xfId="125" applyNumberFormat="1" applyFont="1" applyFill="1" applyBorder="1" applyAlignment="1" applyProtection="1">
      <alignment horizontal="right"/>
      <protection locked="0"/>
    </xf>
    <xf numFmtId="1" fontId="6" fillId="23" borderId="49" xfId="125" applyNumberFormat="1" applyFont="1" applyFill="1" applyBorder="1" applyAlignment="1" applyProtection="1">
      <alignment horizontal="right"/>
      <protection locked="0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0" borderId="27" xfId="125" applyNumberFormat="1" applyFont="1" applyBorder="1" applyAlignment="1">
      <alignment horizontal="right"/>
    </xf>
    <xf numFmtId="1" fontId="6" fillId="0" borderId="66" xfId="125" applyNumberFormat="1" applyFont="1" applyBorder="1" applyAlignment="1">
      <alignment horizontal="right"/>
    </xf>
    <xf numFmtId="1" fontId="6" fillId="23" borderId="78" xfId="125" applyNumberFormat="1" applyFont="1" applyFill="1" applyBorder="1" applyAlignment="1" applyProtection="1">
      <alignment horizontal="right"/>
      <protection locked="0"/>
    </xf>
    <xf numFmtId="1" fontId="6" fillId="23" borderId="77" xfId="125" applyNumberFormat="1" applyFont="1" applyFill="1" applyBorder="1" applyAlignment="1" applyProtection="1">
      <alignment horizontal="right"/>
      <protection locked="0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23" borderId="50" xfId="125" applyNumberFormat="1" applyFont="1" applyFill="1" applyBorder="1" applyAlignment="1" applyProtection="1">
      <alignment horizontal="right"/>
      <protection locked="0"/>
    </xf>
    <xf numFmtId="1" fontId="6" fillId="23" borderId="66" xfId="125" applyNumberFormat="1" applyFont="1" applyFill="1" applyBorder="1" applyAlignment="1" applyProtection="1">
      <alignment horizontal="right"/>
      <protection locked="0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23" borderId="68" xfId="125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20" borderId="20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0" borderId="81" xfId="125" applyNumberFormat="1" applyFont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20" borderId="121" xfId="125" applyNumberFormat="1" applyFont="1" applyFill="1" applyBorder="1" applyAlignment="1">
      <alignment horizontal="right"/>
    </xf>
    <xf numFmtId="1" fontId="6" fillId="0" borderId="85" xfId="125" applyNumberFormat="1" applyFont="1" applyBorder="1" applyAlignment="1">
      <alignment horizontal="right"/>
    </xf>
    <xf numFmtId="1" fontId="6" fillId="0" borderId="83" xfId="125" applyNumberFormat="1" applyFont="1" applyBorder="1" applyAlignment="1">
      <alignment horizontal="right"/>
    </xf>
    <xf numFmtId="1" fontId="6" fillId="23" borderId="84" xfId="125" applyNumberFormat="1" applyFont="1" applyFill="1" applyBorder="1" applyAlignment="1" applyProtection="1">
      <alignment horizontal="right"/>
      <protection locked="0"/>
    </xf>
    <xf numFmtId="1" fontId="6" fillId="23" borderId="83" xfId="125" applyNumberFormat="1" applyFont="1" applyFill="1" applyBorder="1" applyAlignment="1" applyProtection="1">
      <alignment horizontal="right"/>
      <protection locked="0"/>
    </xf>
    <xf numFmtId="1" fontId="6" fillId="23" borderId="122" xfId="125" applyNumberFormat="1" applyFont="1" applyFill="1" applyBorder="1" applyAlignment="1" applyProtection="1">
      <alignment horizontal="right"/>
      <protection locked="0"/>
    </xf>
    <xf numFmtId="1" fontId="6" fillId="20" borderId="86" xfId="125" applyNumberFormat="1" applyFont="1" applyFill="1" applyBorder="1" applyAlignment="1">
      <alignment horizontal="right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0" borderId="47" xfId="125" applyNumberFormat="1" applyFont="1" applyFill="1" applyBorder="1" applyAlignment="1">
      <alignment horizontal="right"/>
    </xf>
    <xf numFmtId="1" fontId="6" fillId="20" borderId="62" xfId="125" applyNumberFormat="1" applyFont="1" applyFill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20" borderId="48" xfId="125" applyNumberFormat="1" applyFont="1" applyFill="1" applyBorder="1" applyAlignment="1">
      <alignment horizontal="right"/>
    </xf>
    <xf numFmtId="1" fontId="6" fillId="20" borderId="49" xfId="125" applyNumberFormat="1" applyFont="1" applyFill="1" applyBorder="1" applyAlignment="1">
      <alignment horizontal="right"/>
    </xf>
    <xf numFmtId="1" fontId="6" fillId="20" borderId="26" xfId="125" applyNumberFormat="1" applyFont="1" applyFill="1" applyBorder="1" applyAlignment="1">
      <alignment horizontal="right"/>
    </xf>
    <xf numFmtId="1" fontId="6" fillId="20" borderId="78" xfId="125" applyNumberFormat="1" applyFont="1" applyFill="1" applyBorder="1" applyAlignment="1">
      <alignment horizontal="right"/>
    </xf>
    <xf numFmtId="1" fontId="6" fillId="20" borderId="77" xfId="125" applyNumberFormat="1" applyFont="1" applyFill="1" applyBorder="1" applyAlignment="1">
      <alignment horizontal="right"/>
    </xf>
    <xf numFmtId="1" fontId="6" fillId="20" borderId="94" xfId="125" applyNumberFormat="1" applyFont="1" applyFill="1" applyBorder="1" applyAlignment="1">
      <alignment horizontal="right"/>
    </xf>
    <xf numFmtId="1" fontId="6" fillId="23" borderId="94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horizontal="right"/>
    </xf>
    <xf numFmtId="1" fontId="6" fillId="0" borderId="26" xfId="125" applyNumberFormat="1" applyFont="1" applyBorder="1" applyAlignment="1">
      <alignment horizontal="right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0" borderId="94" xfId="125" applyNumberFormat="1" applyFont="1" applyBorder="1" applyAlignment="1">
      <alignment horizontal="right"/>
    </xf>
    <xf numFmtId="1" fontId="6" fillId="0" borderId="90" xfId="125" applyNumberFormat="1" applyFont="1" applyBorder="1" applyAlignment="1">
      <alignment horizontal="right"/>
    </xf>
    <xf numFmtId="1" fontId="6" fillId="0" borderId="95" xfId="125" applyNumberFormat="1" applyFont="1" applyBorder="1" applyAlignment="1">
      <alignment horizontal="right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20" borderId="94" xfId="0" applyNumberFormat="1" applyFont="1" applyFill="1" applyBorder="1" applyAlignment="1">
      <alignment horizontal="right"/>
    </xf>
    <xf numFmtId="1" fontId="6" fillId="0" borderId="91" xfId="125" applyNumberFormat="1" applyFont="1" applyBorder="1" applyAlignment="1">
      <alignment horizontal="right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96" xfId="125" applyNumberFormat="1" applyFont="1" applyBorder="1" applyAlignment="1">
      <alignment horizontal="right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0" borderId="10" xfId="125" applyNumberFormat="1" applyFont="1" applyBorder="1" applyAlignment="1">
      <alignment horizontal="right"/>
    </xf>
    <xf numFmtId="1" fontId="6" fillId="23" borderId="14" xfId="125" applyNumberFormat="1" applyFont="1" applyFill="1" applyBorder="1" applyAlignment="1" applyProtection="1">
      <alignment horizontal="right"/>
      <protection locked="0"/>
    </xf>
    <xf numFmtId="1" fontId="6" fillId="23" borderId="11" xfId="125" applyNumberFormat="1" applyFont="1" applyFill="1" applyBorder="1" applyAlignment="1" applyProtection="1">
      <alignment horizontal="right"/>
      <protection locked="0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79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89" xfId="125" applyNumberFormat="1" applyFont="1" applyFill="1" applyBorder="1" applyAlignment="1" applyProtection="1">
      <alignment horizontal="right"/>
      <protection locked="0"/>
    </xf>
    <xf numFmtId="1" fontId="6" fillId="0" borderId="11" xfId="126" applyNumberFormat="1" applyFont="1" applyBorder="1" applyAlignment="1">
      <alignment horizontal="right"/>
    </xf>
    <xf numFmtId="1" fontId="6" fillId="0" borderId="62" xfId="126" applyNumberFormat="1" applyFont="1" applyBorder="1" applyAlignment="1">
      <alignment horizontal="right"/>
    </xf>
    <xf numFmtId="1" fontId="6" fillId="15" borderId="47" xfId="126" applyNumberFormat="1" applyFont="1" applyFill="1" applyBorder="1" applyAlignment="1" applyProtection="1">
      <alignment horizontal="right"/>
      <protection locked="0"/>
    </xf>
    <xf numFmtId="1" fontId="6" fillId="15" borderId="62" xfId="126" applyNumberFormat="1" applyFont="1" applyFill="1" applyBorder="1" applyAlignment="1" applyProtection="1">
      <alignment horizontal="right"/>
      <protection locked="0"/>
    </xf>
    <xf numFmtId="1" fontId="6" fillId="15" borderId="99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15" borderId="11" xfId="126" applyNumberFormat="1" applyFont="1" applyFill="1" applyBorder="1" applyAlignment="1" applyProtection="1">
      <alignment horizontal="right"/>
      <protection locked="0"/>
    </xf>
    <xf numFmtId="1" fontId="6" fillId="0" borderId="23" xfId="126" applyNumberFormat="1" applyFont="1" applyBorder="1" applyAlignment="1">
      <alignment horizontal="right"/>
    </xf>
    <xf numFmtId="1" fontId="6" fillId="0" borderId="49" xfId="126" applyNumberFormat="1" applyFont="1" applyBorder="1" applyAlignment="1">
      <alignment horizontal="right"/>
    </xf>
    <xf numFmtId="1" fontId="6" fillId="15" borderId="48" xfId="126" applyNumberFormat="1" applyFont="1" applyFill="1" applyBorder="1" applyAlignment="1" applyProtection="1">
      <alignment horizontal="right"/>
      <protection locked="0"/>
    </xf>
    <xf numFmtId="1" fontId="6" fillId="15" borderId="49" xfId="126" applyNumberFormat="1" applyFont="1" applyFill="1" applyBorder="1" applyAlignment="1" applyProtection="1">
      <alignment horizontal="right"/>
      <protection locked="0"/>
    </xf>
    <xf numFmtId="1" fontId="6" fillId="15" borderId="79" xfId="126" applyNumberFormat="1" applyFont="1" applyFill="1" applyBorder="1" applyAlignment="1" applyProtection="1">
      <alignment horizontal="right"/>
      <protection locked="0"/>
    </xf>
    <xf numFmtId="1" fontId="6" fillId="15" borderId="70" xfId="126" applyNumberFormat="1" applyFont="1" applyFill="1" applyBorder="1" applyAlignment="1" applyProtection="1">
      <alignment horizontal="right"/>
      <protection locked="0"/>
    </xf>
    <xf numFmtId="1" fontId="6" fillId="15" borderId="23" xfId="126" applyNumberFormat="1" applyFont="1" applyFill="1" applyBorder="1" applyAlignment="1" applyProtection="1">
      <alignment horizontal="right"/>
      <protection locked="0"/>
    </xf>
    <xf numFmtId="1" fontId="6" fillId="15" borderId="78" xfId="126" applyNumberFormat="1" applyFont="1" applyFill="1" applyBorder="1" applyAlignment="1" applyProtection="1">
      <alignment horizontal="right"/>
      <protection locked="0"/>
    </xf>
    <xf numFmtId="1" fontId="6" fillId="15" borderId="77" xfId="126" applyNumberFormat="1" applyFont="1" applyFill="1" applyBorder="1" applyAlignment="1" applyProtection="1">
      <alignment horizontal="right"/>
      <protection locked="0"/>
    </xf>
    <xf numFmtId="1" fontId="6" fillId="15" borderId="89" xfId="126" applyNumberFormat="1" applyFont="1" applyFill="1" applyBorder="1" applyAlignment="1" applyProtection="1">
      <alignment horizontal="right"/>
      <protection locked="0"/>
    </xf>
    <xf numFmtId="1" fontId="6" fillId="15" borderId="103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57" xfId="126" applyNumberFormat="1" applyFont="1" applyBorder="1" applyAlignment="1">
      <alignment horizontal="right"/>
    </xf>
    <xf numFmtId="1" fontId="6" fillId="0" borderId="49" xfId="14" applyNumberFormat="1" applyFont="1" applyFill="1" applyBorder="1" applyAlignment="1" applyProtection="1">
      <alignment horizontal="right"/>
    </xf>
    <xf numFmtId="1" fontId="6" fillId="0" borderId="88" xfId="126" applyNumberFormat="1" applyFont="1" applyBorder="1" applyAlignment="1">
      <alignment horizontal="right"/>
    </xf>
    <xf numFmtId="1" fontId="6" fillId="0" borderId="71" xfId="14" applyNumberFormat="1" applyFont="1" applyFill="1" applyBorder="1" applyAlignment="1" applyProtection="1">
      <alignment horizontal="right"/>
    </xf>
    <xf numFmtId="1" fontId="6" fillId="15" borderId="78" xfId="14" applyNumberFormat="1" applyFont="1" applyFill="1" applyBorder="1" applyAlignment="1">
      <alignment horizontal="right"/>
      <protection locked="0"/>
    </xf>
    <xf numFmtId="1" fontId="6" fillId="15" borderId="77" xfId="14" applyNumberFormat="1" applyFont="1" applyFill="1" applyBorder="1" applyAlignment="1">
      <alignment horizontal="right"/>
      <protection locked="0"/>
    </xf>
    <xf numFmtId="1" fontId="6" fillId="15" borderId="89" xfId="14" applyNumberFormat="1" applyFont="1" applyFill="1" applyBorder="1" applyAlignment="1">
      <alignment horizontal="right"/>
      <protection locked="0"/>
    </xf>
    <xf numFmtId="1" fontId="6" fillId="15" borderId="103" xfId="14" applyNumberFormat="1" applyFont="1" applyFill="1" applyBorder="1" applyAlignment="1">
      <alignment horizontal="right"/>
      <protection locked="0"/>
    </xf>
    <xf numFmtId="1" fontId="6" fillId="15" borderId="104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0" borderId="58" xfId="14" applyNumberFormat="1" applyFont="1" applyFill="1" applyBorder="1" applyAlignment="1" applyProtection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57" xfId="14" applyNumberFormat="1" applyFont="1" applyFill="1" applyBorder="1" applyAlignment="1" applyProtection="1">
      <alignment horizontal="right"/>
    </xf>
    <xf numFmtId="1" fontId="6" fillId="0" borderId="56" xfId="14" applyNumberFormat="1" applyFont="1" applyFill="1" applyBorder="1" applyAlignment="1" applyProtection="1">
      <alignment horizontal="right"/>
    </xf>
    <xf numFmtId="1" fontId="6" fillId="0" borderId="14" xfId="126" applyNumberFormat="1" applyFont="1" applyBorder="1" applyAlignment="1">
      <alignment horizontal="right"/>
    </xf>
    <xf numFmtId="1" fontId="6" fillId="15" borderId="47" xfId="14" applyNumberFormat="1" applyFont="1" applyFill="1" applyBorder="1" applyAlignment="1">
      <alignment horizontal="right"/>
      <protection locked="0"/>
    </xf>
    <xf numFmtId="1" fontId="6" fillId="15" borderId="62" xfId="14" applyNumberFormat="1" applyFont="1" applyFill="1" applyBorder="1" applyAlignment="1">
      <alignment horizontal="right"/>
      <protection locked="0"/>
    </xf>
    <xf numFmtId="1" fontId="6" fillId="15" borderId="99" xfId="14" applyNumberFormat="1" applyFont="1" applyFill="1" applyBorder="1" applyAlignment="1">
      <alignment horizontal="right"/>
      <protection locked="0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15" borderId="63" xfId="14" applyNumberFormat="1" applyFont="1" applyFill="1" applyBorder="1" applyAlignment="1">
      <alignment horizontal="right"/>
      <protection locked="0"/>
    </xf>
    <xf numFmtId="1" fontId="6" fillId="0" borderId="21" xfId="126" applyNumberFormat="1" applyFont="1" applyBorder="1" applyAlignment="1">
      <alignment horizontal="right"/>
    </xf>
    <xf numFmtId="1" fontId="6" fillId="15" borderId="48" xfId="14" applyNumberFormat="1" applyFont="1" applyFill="1" applyBorder="1" applyAlignment="1">
      <alignment horizontal="right"/>
      <protection locked="0"/>
    </xf>
    <xf numFmtId="1" fontId="6" fillId="15" borderId="49" xfId="14" applyNumberFormat="1" applyFont="1" applyFill="1" applyBorder="1" applyAlignment="1">
      <alignment horizontal="right"/>
      <protection locked="0"/>
    </xf>
    <xf numFmtId="1" fontId="6" fillId="15" borderId="79" xfId="14" applyNumberFormat="1" applyFont="1" applyFill="1" applyBorder="1" applyAlignment="1">
      <alignment horizontal="right"/>
      <protection locked="0"/>
    </xf>
    <xf numFmtId="1" fontId="6" fillId="15" borderId="70" xfId="14" applyNumberFormat="1" applyFont="1" applyFill="1" applyBorder="1" applyAlignment="1">
      <alignment horizontal="right"/>
      <protection locked="0"/>
    </xf>
    <xf numFmtId="1" fontId="6" fillId="15" borderId="24" xfId="14" applyNumberFormat="1" applyFont="1" applyFill="1" applyBorder="1" applyAlignment="1">
      <alignment horizontal="right"/>
      <protection locked="0"/>
    </xf>
    <xf numFmtId="1" fontId="6" fillId="0" borderId="62" xfId="14" applyNumberFormat="1" applyFont="1" applyFill="1" applyBorder="1" applyAlignment="1" applyProtection="1">
      <alignment horizontal="right"/>
    </xf>
    <xf numFmtId="1" fontId="6" fillId="15" borderId="11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66" xfId="14" applyNumberFormat="1" applyFont="1" applyFill="1" applyBorder="1" applyAlignment="1" applyProtection="1">
      <alignment horizontal="right"/>
    </xf>
    <xf numFmtId="1" fontId="6" fillId="0" borderId="23" xfId="15" applyNumberFormat="1" applyFont="1" applyFill="1" applyBorder="1" applyAlignment="1" applyProtection="1">
      <alignment horizontal="right"/>
    </xf>
    <xf numFmtId="1" fontId="6" fillId="0" borderId="49" xfId="15" applyNumberFormat="1" applyFont="1" applyFill="1" applyBorder="1" applyAlignment="1" applyProtection="1">
      <alignment horizontal="right"/>
    </xf>
    <xf numFmtId="1" fontId="6" fillId="0" borderId="61" xfId="15" applyNumberFormat="1" applyFont="1" applyFill="1" applyBorder="1" applyAlignment="1" applyProtection="1">
      <alignment horizontal="right"/>
    </xf>
    <xf numFmtId="1" fontId="6" fillId="0" borderId="59" xfId="15" applyNumberFormat="1" applyFont="1" applyFill="1" applyBorder="1" applyAlignment="1" applyProtection="1">
      <alignment horizontal="right"/>
    </xf>
    <xf numFmtId="1" fontId="6" fillId="0" borderId="14" xfId="126" applyNumberFormat="1" applyFont="1" applyBorder="1" applyAlignment="1" applyProtection="1">
      <alignment horizontal="right"/>
      <protection hidden="1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15" borderId="68" xfId="14" applyNumberFormat="1" applyFont="1" applyFill="1" applyBorder="1" applyAlignment="1">
      <alignment horizontal="right"/>
      <protection locked="0"/>
    </xf>
    <xf numFmtId="1" fontId="6" fillId="0" borderId="94" xfId="126" applyNumberFormat="1" applyFont="1" applyBorder="1" applyAlignment="1" applyProtection="1">
      <alignment horizontal="right"/>
      <protection hidden="1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56" xfId="125" applyNumberFormat="1" applyFont="1" applyFill="1" applyBorder="1" applyAlignment="1" applyProtection="1">
      <alignment horizontal="right"/>
      <protection locked="0"/>
    </xf>
    <xf numFmtId="1" fontId="6" fillId="0" borderId="100" xfId="125" applyNumberFormat="1" applyFont="1" applyBorder="1" applyAlignment="1">
      <alignment horizontal="right"/>
    </xf>
    <xf numFmtId="1" fontId="6" fillId="0" borderId="89" xfId="125" applyNumberFormat="1" applyFont="1" applyBorder="1" applyAlignment="1">
      <alignment horizontal="right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0" borderId="23" xfId="125" applyNumberFormat="1" applyFont="1" applyFill="1" applyBorder="1" applyAlignment="1">
      <alignment horizontal="right"/>
    </xf>
    <xf numFmtId="1" fontId="6" fillId="0" borderId="79" xfId="125" applyNumberFormat="1" applyFont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101" xfId="125" applyNumberFormat="1" applyFont="1" applyBorder="1" applyAlignment="1">
      <alignment horizontal="right"/>
    </xf>
    <xf numFmtId="1" fontId="6" fillId="23" borderId="31" xfId="125" applyNumberFormat="1" applyFont="1" applyFill="1" applyBorder="1" applyAlignment="1" applyProtection="1">
      <alignment horizontal="right"/>
      <protection locked="0"/>
    </xf>
    <xf numFmtId="1" fontId="6" fillId="0" borderId="99" xfId="125" applyNumberFormat="1" applyFont="1" applyBorder="1" applyAlignment="1">
      <alignment horizontal="right"/>
    </xf>
    <xf numFmtId="1" fontId="6" fillId="0" borderId="61" xfId="125" applyNumberFormat="1" applyFont="1" applyBorder="1" applyAlignment="1">
      <alignment horizontal="right"/>
    </xf>
    <xf numFmtId="1" fontId="6" fillId="0" borderId="102" xfId="125" applyNumberFormat="1" applyFont="1" applyBorder="1" applyAlignment="1">
      <alignment horizontal="right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19" xfId="125" applyNumberFormat="1" applyFont="1" applyFill="1" applyBorder="1" applyAlignment="1" applyProtection="1">
      <alignment horizontal="right"/>
      <protection locked="0"/>
    </xf>
    <xf numFmtId="1" fontId="6" fillId="20" borderId="67" xfId="125" applyNumberFormat="1" applyFont="1" applyFill="1" applyBorder="1" applyAlignment="1">
      <alignment horizontal="right"/>
    </xf>
    <xf numFmtId="1" fontId="6" fillId="20" borderId="68" xfId="125" applyNumberFormat="1" applyFont="1" applyFill="1" applyBorder="1" applyAlignment="1">
      <alignment horizontal="right"/>
    </xf>
    <xf numFmtId="1" fontId="6" fillId="23" borderId="117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0" fontId="29" fillId="0" borderId="6" xfId="0" applyFont="1" applyBorder="1" applyAlignment="1">
      <alignment horizontal="right" wrapText="1"/>
    </xf>
    <xf numFmtId="0" fontId="29" fillId="0" borderId="22" xfId="0" applyFont="1" applyBorder="1" applyAlignment="1">
      <alignment horizontal="right" wrapText="1"/>
    </xf>
    <xf numFmtId="0" fontId="29" fillId="0" borderId="17" xfId="0" applyFont="1" applyBorder="1" applyAlignment="1">
      <alignment horizontal="right" wrapText="1"/>
    </xf>
    <xf numFmtId="1" fontId="6" fillId="0" borderId="17" xfId="0" applyNumberFormat="1" applyFont="1" applyBorder="1" applyAlignment="1">
      <alignment horizontal="right" wrapText="1"/>
    </xf>
    <xf numFmtId="1" fontId="6" fillId="0" borderId="22" xfId="0" applyNumberFormat="1" applyFont="1" applyBorder="1" applyAlignment="1">
      <alignment horizontal="right" wrapText="1"/>
    </xf>
    <xf numFmtId="0" fontId="29" fillId="24" borderId="61" xfId="0" applyFont="1" applyFill="1" applyBorder="1" applyAlignment="1" applyProtection="1">
      <alignment horizontal="right"/>
      <protection locked="0"/>
    </xf>
    <xf numFmtId="0" fontId="29" fillId="24" borderId="97" xfId="0" applyFont="1" applyFill="1" applyBorder="1" applyAlignment="1" applyProtection="1">
      <alignment horizontal="right"/>
      <protection locked="0"/>
    </xf>
    <xf numFmtId="0" fontId="29" fillId="24" borderId="16" xfId="0" applyFont="1" applyFill="1" applyBorder="1" applyAlignment="1" applyProtection="1">
      <alignment horizontal="right"/>
      <protection locked="0"/>
    </xf>
    <xf numFmtId="0" fontId="29" fillId="24" borderId="23" xfId="0" applyFont="1" applyFill="1" applyBorder="1" applyAlignment="1" applyProtection="1">
      <alignment horizontal="right"/>
      <protection locked="0"/>
    </xf>
    <xf numFmtId="0" fontId="29" fillId="24" borderId="8" xfId="0" applyFont="1" applyFill="1" applyBorder="1" applyAlignment="1" applyProtection="1">
      <alignment horizontal="right"/>
      <protection locked="0"/>
    </xf>
    <xf numFmtId="0" fontId="29" fillId="24" borderId="26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12" xfId="0" applyFont="1" applyFill="1" applyBorder="1" applyAlignment="1" applyProtection="1">
      <alignment horizontal="right"/>
      <protection locked="0"/>
    </xf>
    <xf numFmtId="0" fontId="29" fillId="24" borderId="62" xfId="0" applyFont="1" applyFill="1" applyBorder="1" applyAlignment="1" applyProtection="1">
      <alignment horizontal="right"/>
      <protection locked="0"/>
    </xf>
    <xf numFmtId="0" fontId="29" fillId="24" borderId="49" xfId="0" applyFont="1" applyFill="1" applyBorder="1" applyAlignment="1" applyProtection="1">
      <alignment horizontal="right"/>
      <protection locked="0"/>
    </xf>
    <xf numFmtId="0" fontId="29" fillId="24" borderId="59" xfId="0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4" xfId="124" applyNumberFormat="1" applyFont="1" applyBorder="1" applyAlignment="1">
      <alignment horizontal="left" vertical="center"/>
    </xf>
    <xf numFmtId="1" fontId="6" fillId="20" borderId="58" xfId="125" applyNumberFormat="1" applyFont="1" applyFill="1" applyBorder="1" applyAlignment="1">
      <alignment horizontal="right"/>
    </xf>
    <xf numFmtId="1" fontId="6" fillId="20" borderId="59" xfId="125" applyNumberFormat="1" applyFont="1" applyFill="1" applyBorder="1" applyAlignment="1">
      <alignment horizontal="right"/>
    </xf>
    <xf numFmtId="1" fontId="6" fillId="20" borderId="63" xfId="125" applyNumberFormat="1" applyFont="1" applyFill="1" applyBorder="1" applyAlignment="1">
      <alignment horizontal="right"/>
    </xf>
    <xf numFmtId="1" fontId="6" fillId="20" borderId="109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20" borderId="71" xfId="125" applyNumberFormat="1" applyFont="1" applyFill="1" applyBorder="1" applyAlignment="1">
      <alignment horizontal="right"/>
    </xf>
    <xf numFmtId="1" fontId="6" fillId="20" borderId="110" xfId="125" applyNumberFormat="1" applyFont="1" applyFill="1" applyBorder="1" applyAlignment="1">
      <alignment horizontal="right"/>
    </xf>
    <xf numFmtId="1" fontId="6" fillId="23" borderId="87" xfId="125" applyNumberFormat="1" applyFont="1" applyFill="1" applyBorder="1" applyAlignment="1" applyProtection="1">
      <alignment horizontal="right"/>
      <protection locked="0"/>
    </xf>
    <xf numFmtId="1" fontId="6" fillId="0" borderId="16" xfId="0" applyNumberFormat="1" applyFont="1" applyBorder="1" applyAlignment="1">
      <alignment horizontal="right"/>
    </xf>
    <xf numFmtId="1" fontId="6" fillId="0" borderId="14" xfId="0" applyNumberFormat="1" applyFont="1" applyBorder="1" applyAlignment="1">
      <alignment horizontal="right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14" xfId="0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1" fontId="6" fillId="0" borderId="112" xfId="125" applyNumberFormat="1" applyFont="1" applyBorder="1" applyAlignment="1">
      <alignment horizontal="right"/>
    </xf>
    <xf numFmtId="1" fontId="6" fillId="0" borderId="21" xfId="0" applyNumberFormat="1" applyFont="1" applyBorder="1" applyAlignment="1">
      <alignment wrapText="1"/>
    </xf>
    <xf numFmtId="1" fontId="6" fillId="0" borderId="26" xfId="0" applyNumberFormat="1" applyFont="1" applyBorder="1" applyAlignment="1">
      <alignment wrapText="1"/>
    </xf>
    <xf numFmtId="1" fontId="6" fillId="0" borderId="72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vertical="center" wrapText="1"/>
    </xf>
    <xf numFmtId="1" fontId="6" fillId="0" borderId="143" xfId="125" applyNumberFormat="1" applyFont="1" applyBorder="1" applyAlignment="1">
      <alignment vertical="center" wrapText="1"/>
    </xf>
    <xf numFmtId="1" fontId="6" fillId="0" borderId="59" xfId="125" applyNumberFormat="1" applyFont="1" applyBorder="1" applyAlignment="1">
      <alignment horizontal="right"/>
    </xf>
    <xf numFmtId="1" fontId="6" fillId="20" borderId="15" xfId="125" applyNumberFormat="1" applyFont="1" applyFill="1" applyBorder="1" applyAlignment="1">
      <alignment horizontal="right"/>
    </xf>
    <xf numFmtId="1" fontId="6" fillId="15" borderId="61" xfId="72" applyNumberFormat="1" applyFont="1" applyFill="1" applyBorder="1" applyAlignment="1" applyProtection="1">
      <alignment horizontal="right"/>
      <protection locked="0"/>
    </xf>
    <xf numFmtId="1" fontId="6" fillId="0" borderId="94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6" xfId="0" applyNumberFormat="1" applyFont="1" applyBorder="1" applyAlignment="1">
      <alignment horizontal="center" vertical="center"/>
    </xf>
    <xf numFmtId="1" fontId="6" fillId="23" borderId="56" xfId="45" applyNumberFormat="1" applyFont="1" applyFill="1" applyBorder="1" applyAlignment="1" applyProtection="1">
      <alignment horizontal="right"/>
      <protection locked="0"/>
    </xf>
    <xf numFmtId="1" fontId="6" fillId="15" borderId="95" xfId="124" applyNumberFormat="1" applyFont="1" applyFill="1" applyBorder="1" applyAlignment="1" applyProtection="1">
      <alignment horizontal="right"/>
      <protection locked="0"/>
    </xf>
    <xf numFmtId="1" fontId="6" fillId="17" borderId="51" xfId="122" applyNumberFormat="1" applyFont="1" applyFill="1" applyBorder="1" applyAlignment="1">
      <alignment horizontal="left" wrapText="1"/>
    </xf>
    <xf numFmtId="1" fontId="6" fillId="17" borderId="62" xfId="108" applyNumberFormat="1" applyFont="1" applyFill="1" applyBorder="1" applyAlignment="1">
      <alignment horizontal="right" wrapText="1"/>
    </xf>
    <xf numFmtId="1" fontId="6" fillId="17" borderId="69" xfId="122" applyNumberFormat="1" applyFont="1" applyFill="1" applyBorder="1" applyAlignment="1">
      <alignment horizontal="left"/>
    </xf>
    <xf numFmtId="1" fontId="6" fillId="17" borderId="59" xfId="108" applyNumberFormat="1" applyFont="1" applyFill="1" applyBorder="1" applyAlignment="1">
      <alignment horizontal="right" wrapText="1"/>
    </xf>
    <xf numFmtId="1" fontId="6" fillId="17" borderId="53" xfId="122" applyNumberFormat="1" applyFont="1" applyFill="1" applyBorder="1" applyAlignment="1">
      <alignment horizontal="left"/>
    </xf>
    <xf numFmtId="1" fontId="6" fillId="17" borderId="68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61" xfId="124" applyNumberFormat="1" applyFont="1" applyBorder="1" applyAlignment="1">
      <alignment horizontal="center" vertical="center" wrapText="1"/>
    </xf>
    <xf numFmtId="1" fontId="6" fillId="0" borderId="32" xfId="0" applyNumberFormat="1" applyFont="1" applyBorder="1" applyAlignment="1" applyProtection="1">
      <alignment horizontal="left" wrapText="1"/>
      <protection hidden="1"/>
    </xf>
    <xf numFmtId="1" fontId="6" fillId="0" borderId="6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4" xfId="125" applyNumberFormat="1" applyFont="1" applyBorder="1" applyAlignment="1" applyProtection="1">
      <alignment horizontal="left" vertical="center" wrapText="1"/>
      <protection hidden="1"/>
    </xf>
    <xf numFmtId="1" fontId="6" fillId="0" borderId="22" xfId="125" applyNumberFormat="1" applyFont="1" applyBorder="1" applyAlignment="1" applyProtection="1">
      <alignment horizontal="left" vertical="center" wrapText="1"/>
      <protection hidden="1"/>
    </xf>
    <xf numFmtId="1" fontId="6" fillId="0" borderId="46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7" xfId="0" applyFont="1" applyBorder="1"/>
    <xf numFmtId="0" fontId="6" fillId="29" borderId="17" xfId="0" applyFont="1" applyFill="1" applyBorder="1" applyAlignment="1">
      <alignment horizontal="right"/>
    </xf>
    <xf numFmtId="0" fontId="6" fillId="0" borderId="22" xfId="0" applyFont="1" applyBorder="1"/>
    <xf numFmtId="0" fontId="6" fillId="29" borderId="22" xfId="0" applyFont="1" applyFill="1" applyBorder="1" applyAlignment="1">
      <alignment horizontal="right"/>
    </xf>
    <xf numFmtId="0" fontId="6" fillId="0" borderId="46" xfId="0" applyFont="1" applyBorder="1"/>
    <xf numFmtId="0" fontId="6" fillId="29" borderId="46" xfId="0" applyFont="1" applyFill="1" applyBorder="1" applyAlignment="1">
      <alignment horizontal="right"/>
    </xf>
    <xf numFmtId="1" fontId="6" fillId="20" borderId="47" xfId="72" applyNumberFormat="1" applyFont="1" applyFill="1" applyBorder="1" applyAlignment="1" applyProtection="1">
      <alignment horizontal="right"/>
    </xf>
    <xf numFmtId="1" fontId="6" fillId="20" borderId="62" xfId="72" applyNumberFormat="1" applyFont="1" applyFill="1" applyBorder="1" applyAlignment="1" applyProtection="1">
      <alignment horizontal="right"/>
    </xf>
    <xf numFmtId="1" fontId="6" fillId="20" borderId="58" xfId="72" applyNumberFormat="1" applyFont="1" applyFill="1" applyBorder="1" applyAlignment="1" applyProtection="1">
      <alignment horizontal="right"/>
    </xf>
    <xf numFmtId="1" fontId="6" fillId="20" borderId="59" xfId="72" applyNumberFormat="1" applyFont="1" applyFill="1" applyBorder="1" applyAlignment="1" applyProtection="1">
      <alignment horizontal="right"/>
    </xf>
    <xf numFmtId="1" fontId="6" fillId="20" borderId="63" xfId="72" applyNumberFormat="1" applyFont="1" applyFill="1" applyBorder="1" applyAlignment="1" applyProtection="1">
      <alignment horizontal="right"/>
    </xf>
    <xf numFmtId="1" fontId="6" fillId="20" borderId="114" xfId="72" applyNumberFormat="1" applyFont="1" applyFill="1" applyBorder="1" applyAlignment="1" applyProtection="1">
      <alignment horizontal="right"/>
    </xf>
    <xf numFmtId="0" fontId="6" fillId="24" borderId="47" xfId="0" applyFont="1" applyFill="1" applyBorder="1" applyAlignment="1" applyProtection="1">
      <alignment horizontal="right"/>
      <protection locked="0"/>
    </xf>
    <xf numFmtId="0" fontId="6" fillId="24" borderId="12" xfId="0" applyFont="1" applyFill="1" applyBorder="1" applyAlignment="1" applyProtection="1">
      <alignment horizontal="right"/>
      <protection locked="0"/>
    </xf>
    <xf numFmtId="0" fontId="6" fillId="24" borderId="62" xfId="0" applyFont="1" applyFill="1" applyBorder="1" applyAlignment="1" applyProtection="1">
      <alignment horizontal="right"/>
      <protection locked="0"/>
    </xf>
    <xf numFmtId="0" fontId="6" fillId="24" borderId="48" xfId="0" applyFont="1" applyFill="1" applyBorder="1" applyAlignment="1" applyProtection="1">
      <alignment horizontal="right"/>
      <protection locked="0"/>
    </xf>
    <xf numFmtId="0" fontId="6" fillId="24" borderId="8" xfId="0" applyFont="1" applyFill="1" applyBorder="1" applyAlignment="1" applyProtection="1">
      <alignment horizontal="right"/>
      <protection locked="0"/>
    </xf>
    <xf numFmtId="0" fontId="6" fillId="24" borderId="49" xfId="0" applyFont="1" applyFill="1" applyBorder="1" applyAlignment="1" applyProtection="1">
      <alignment horizontal="right"/>
      <protection locked="0"/>
    </xf>
    <xf numFmtId="0" fontId="6" fillId="24" borderId="78" xfId="0" applyFont="1" applyFill="1" applyBorder="1" applyAlignment="1" applyProtection="1">
      <alignment horizontal="right"/>
      <protection locked="0"/>
    </xf>
    <xf numFmtId="0" fontId="6" fillId="24" borderId="93" xfId="0" applyFont="1" applyFill="1" applyBorder="1" applyAlignment="1" applyProtection="1">
      <alignment horizontal="right"/>
      <protection locked="0"/>
    </xf>
    <xf numFmtId="0" fontId="6" fillId="24" borderId="77" xfId="0" applyFont="1" applyFill="1" applyBorder="1" applyAlignment="1" applyProtection="1">
      <alignment horizontal="right"/>
      <protection locked="0"/>
    </xf>
    <xf numFmtId="1" fontId="6" fillId="20" borderId="12" xfId="0" applyNumberFormat="1" applyFont="1" applyFill="1" applyBorder="1" applyAlignment="1">
      <alignment horizontal="right"/>
    </xf>
    <xf numFmtId="1" fontId="6" fillId="20" borderId="97" xfId="0" applyNumberFormat="1" applyFont="1" applyFill="1" applyBorder="1" applyAlignment="1">
      <alignment horizontal="right"/>
    </xf>
    <xf numFmtId="1" fontId="6" fillId="20" borderId="19" xfId="0" applyNumberFormat="1" applyFont="1" applyFill="1" applyBorder="1" applyAlignment="1">
      <alignment horizontal="right"/>
    </xf>
    <xf numFmtId="1" fontId="6" fillId="20" borderId="8" xfId="0" applyNumberFormat="1" applyFont="1" applyFill="1" applyBorder="1" applyAlignment="1">
      <alignment horizontal="right"/>
    </xf>
    <xf numFmtId="1" fontId="6" fillId="20" borderId="28" xfId="0" applyNumberFormat="1" applyFont="1" applyFill="1" applyBorder="1" applyAlignment="1">
      <alignment horizontal="right"/>
    </xf>
    <xf numFmtId="1" fontId="6" fillId="20" borderId="93" xfId="0" applyNumberFormat="1" applyFont="1" applyFill="1" applyBorder="1" applyAlignment="1">
      <alignment horizontal="right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12" xfId="72" applyNumberFormat="1" applyFont="1" applyFill="1" applyBorder="1" applyAlignment="1" applyProtection="1">
      <alignment horizontal="right"/>
      <protection locked="0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15" borderId="97" xfId="72" applyNumberFormat="1" applyFont="1" applyFill="1" applyBorder="1" applyAlignment="1" applyProtection="1">
      <alignment horizontal="right"/>
      <protection locked="0"/>
    </xf>
    <xf numFmtId="1" fontId="6" fillId="15" borderId="106" xfId="72" applyNumberFormat="1" applyFont="1" applyFill="1" applyBorder="1" applyAlignment="1" applyProtection="1">
      <alignment horizontal="right"/>
      <protection locked="0"/>
    </xf>
    <xf numFmtId="1" fontId="6" fillId="15" borderId="19" xfId="72" applyNumberFormat="1" applyFont="1" applyFill="1" applyBorder="1" applyAlignment="1" applyProtection="1">
      <alignment horizontal="right"/>
      <protection locked="0"/>
    </xf>
    <xf numFmtId="1" fontId="6" fillId="15" borderId="19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97" xfId="124" applyNumberFormat="1" applyFont="1" applyFill="1" applyBorder="1" applyAlignment="1" applyProtection="1">
      <alignment horizontal="right"/>
      <protection locked="0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32" xfId="125" applyNumberFormat="1" applyFont="1" applyFill="1" applyBorder="1" applyAlignment="1" applyProtection="1">
      <alignment horizontal="right"/>
      <protection locked="0"/>
    </xf>
    <xf numFmtId="1" fontId="6" fillId="23" borderId="123" xfId="125" applyNumberFormat="1" applyFont="1" applyFill="1" applyBorder="1" applyAlignment="1" applyProtection="1">
      <alignment horizontal="right"/>
      <protection locked="0"/>
    </xf>
    <xf numFmtId="1" fontId="6" fillId="23" borderId="54" xfId="125" applyNumberFormat="1" applyFont="1" applyFill="1" applyBorder="1" applyAlignment="1" applyProtection="1">
      <alignment horizontal="right"/>
      <protection locked="0"/>
    </xf>
    <xf numFmtId="1" fontId="6" fillId="15" borderId="62" xfId="14" quotePrefix="1" applyNumberFormat="1" applyFont="1" applyFill="1" applyBorder="1" applyAlignment="1">
      <alignment horizontal="right"/>
      <protection locked="0"/>
    </xf>
    <xf numFmtId="1" fontId="6" fillId="15" borderId="49" xfId="14" quotePrefix="1" applyNumberFormat="1" applyFont="1" applyFill="1" applyBorder="1" applyAlignment="1">
      <alignment horizontal="right"/>
      <protection locked="0"/>
    </xf>
    <xf numFmtId="1" fontId="6" fillId="15" borderId="77" xfId="14" quotePrefix="1" applyNumberFormat="1" applyFont="1" applyFill="1" applyBorder="1" applyAlignment="1">
      <alignment horizontal="right"/>
      <protection locked="0"/>
    </xf>
    <xf numFmtId="1" fontId="6" fillId="23" borderId="27" xfId="125" applyNumberFormat="1" applyFont="1" applyFill="1" applyBorder="1" applyAlignment="1" applyProtection="1">
      <alignment horizontal="right"/>
      <protection locked="0"/>
    </xf>
    <xf numFmtId="1" fontId="6" fillId="23" borderId="92" xfId="125" applyNumberFormat="1" applyFont="1" applyFill="1" applyBorder="1" applyAlignment="1" applyProtection="1">
      <alignment horizontal="right"/>
      <protection locked="0"/>
    </xf>
    <xf numFmtId="1" fontId="6" fillId="23" borderId="146" xfId="125" applyNumberFormat="1" applyFont="1" applyFill="1" applyBorder="1" applyAlignment="1" applyProtection="1">
      <alignment horizontal="right"/>
      <protection locked="0"/>
    </xf>
    <xf numFmtId="1" fontId="6" fillId="23" borderId="118" xfId="125" applyNumberFormat="1" applyFont="1" applyFill="1" applyBorder="1" applyAlignment="1" applyProtection="1">
      <alignment horizontal="right"/>
      <protection locked="0"/>
    </xf>
    <xf numFmtId="1" fontId="6" fillId="23" borderId="128" xfId="125" applyNumberFormat="1" applyFont="1" applyFill="1" applyBorder="1" applyAlignment="1" applyProtection="1">
      <alignment horizontal="right"/>
      <protection locked="0"/>
    </xf>
    <xf numFmtId="1" fontId="6" fillId="23" borderId="147" xfId="125" applyNumberFormat="1" applyFont="1" applyFill="1" applyBorder="1" applyAlignment="1" applyProtection="1">
      <alignment horizontal="right"/>
      <protection locked="0"/>
    </xf>
    <xf numFmtId="1" fontId="6" fillId="23" borderId="6" xfId="125" applyNumberFormat="1" applyFont="1" applyFill="1" applyBorder="1" applyAlignment="1" applyProtection="1">
      <alignment horizontal="right"/>
      <protection locked="0"/>
    </xf>
    <xf numFmtId="1" fontId="6" fillId="23" borderId="88" xfId="125" applyNumberFormat="1" applyFont="1" applyFill="1" applyBorder="1" applyAlignment="1" applyProtection="1">
      <alignment horizontal="right"/>
      <protection locked="0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2" borderId="52" xfId="124" applyNumberFormat="1" applyFont="1" applyFill="1" applyBorder="1"/>
    <xf numFmtId="1" fontId="6" fillId="22" borderId="53" xfId="124" applyNumberFormat="1" applyFont="1" applyFill="1" applyBorder="1" applyAlignment="1">
      <alignment horizontal="right"/>
    </xf>
    <xf numFmtId="1" fontId="6" fillId="22" borderId="67" xfId="124" applyNumberFormat="1" applyFont="1" applyFill="1" applyBorder="1" applyAlignment="1">
      <alignment horizontal="right"/>
    </xf>
    <xf numFmtId="1" fontId="6" fillId="22" borderId="21" xfId="124" applyNumberFormat="1" applyFont="1" applyFill="1" applyBorder="1" applyAlignment="1">
      <alignment horizontal="right"/>
    </xf>
    <xf numFmtId="1" fontId="6" fillId="22" borderId="65" xfId="124" applyNumberFormat="1" applyFont="1" applyFill="1" applyBorder="1"/>
    <xf numFmtId="1" fontId="6" fillId="22" borderId="65" xfId="124" applyNumberFormat="1" applyFont="1" applyFill="1" applyBorder="1" applyAlignment="1">
      <alignment horizontal="right"/>
    </xf>
    <xf numFmtId="1" fontId="6" fillId="22" borderId="50" xfId="124" applyNumberFormat="1" applyFont="1" applyFill="1" applyBorder="1" applyAlignment="1">
      <alignment horizontal="right"/>
    </xf>
    <xf numFmtId="1" fontId="6" fillId="22" borderId="31" xfId="124" applyNumberFormat="1" applyFont="1" applyFill="1" applyBorder="1" applyAlignment="1">
      <alignment horizontal="right"/>
    </xf>
    <xf numFmtId="1" fontId="6" fillId="22" borderId="53" xfId="124" applyNumberFormat="1" applyFont="1" applyFill="1" applyBorder="1"/>
    <xf numFmtId="1" fontId="6" fillId="22" borderId="6" xfId="124" applyNumberFormat="1" applyFont="1" applyFill="1" applyBorder="1"/>
    <xf numFmtId="1" fontId="6" fillId="22" borderId="69" xfId="124" applyNumberFormat="1" applyFont="1" applyFill="1" applyBorder="1" applyAlignment="1">
      <alignment horizontal="right"/>
    </xf>
    <xf numFmtId="1" fontId="6" fillId="22" borderId="58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15" borderId="114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68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15" borderId="47" xfId="125" applyNumberFormat="1" applyFont="1" applyFill="1" applyBorder="1" applyAlignment="1" applyProtection="1">
      <alignment horizontal="right"/>
      <protection locked="0"/>
    </xf>
    <xf numFmtId="1" fontId="6" fillId="15" borderId="62" xfId="125" applyNumberFormat="1" applyFont="1" applyFill="1" applyBorder="1" applyAlignment="1" applyProtection="1">
      <alignment horizontal="right"/>
      <protection locked="0"/>
    </xf>
    <xf numFmtId="1" fontId="6" fillId="15" borderId="11" xfId="125" applyNumberFormat="1" applyFont="1" applyFill="1" applyBorder="1" applyAlignment="1" applyProtection="1">
      <alignment horizontal="right"/>
      <protection locked="0"/>
    </xf>
    <xf numFmtId="1" fontId="6" fillId="15" borderId="48" xfId="125" applyNumberFormat="1" applyFont="1" applyFill="1" applyBorder="1" applyAlignment="1" applyProtection="1">
      <alignment horizontal="right"/>
      <protection locked="0"/>
    </xf>
    <xf numFmtId="1" fontId="6" fillId="15" borderId="61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49" xfId="125" applyNumberFormat="1" applyFont="1" applyFill="1" applyBorder="1" applyAlignment="1" applyProtection="1">
      <alignment horizontal="right"/>
      <protection locked="0"/>
    </xf>
    <xf numFmtId="1" fontId="6" fillId="15" borderId="59" xfId="125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center" vertical="center"/>
    </xf>
    <xf numFmtId="1" fontId="6" fillId="0" borderId="88" xfId="0" applyNumberFormat="1" applyFont="1" applyBorder="1" applyAlignment="1">
      <alignment horizontal="center" vertical="center" wrapText="1"/>
    </xf>
    <xf numFmtId="1" fontId="6" fillId="0" borderId="11" xfId="124" applyNumberFormat="1" applyFont="1" applyBorder="1" applyAlignment="1">
      <alignment horizontal="right" vertical="center"/>
    </xf>
    <xf numFmtId="1" fontId="6" fillId="15" borderId="14" xfId="124" applyNumberFormat="1" applyFont="1" applyFill="1" applyBorder="1" applyAlignment="1" applyProtection="1">
      <alignment horizontal="right"/>
      <protection locked="0"/>
    </xf>
    <xf numFmtId="1" fontId="6" fillId="0" borderId="23" xfId="124" applyNumberFormat="1" applyFont="1" applyBorder="1" applyAlignment="1">
      <alignment horizontal="right" vertical="center"/>
    </xf>
    <xf numFmtId="1" fontId="6" fillId="15" borderId="26" xfId="124" applyNumberFormat="1" applyFont="1" applyFill="1" applyBorder="1" applyAlignment="1" applyProtection="1">
      <alignment horizontal="right"/>
      <protection locked="0"/>
    </xf>
    <xf numFmtId="1" fontId="6" fillId="0" borderId="76" xfId="124" applyNumberFormat="1" applyFont="1" applyBorder="1" applyAlignment="1">
      <alignment horizontal="right" vertical="center"/>
    </xf>
    <xf numFmtId="1" fontId="6" fillId="0" borderId="94" xfId="124" applyNumberFormat="1" applyFont="1" applyBorder="1" applyAlignment="1">
      <alignment horizontal="right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2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4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17" borderId="17" xfId="122" applyNumberFormat="1" applyFont="1" applyFill="1" applyBorder="1" applyAlignment="1">
      <alignment horizontal="left" vertical="center" wrapText="1"/>
    </xf>
    <xf numFmtId="1" fontId="6" fillId="17" borderId="46" xfId="122" applyNumberFormat="1" applyFont="1" applyFill="1" applyBorder="1" applyAlignment="1">
      <alignment horizontal="left" vertical="center" wrapText="1"/>
    </xf>
    <xf numFmtId="0" fontId="6" fillId="0" borderId="6" xfId="0" applyFont="1" applyBorder="1"/>
    <xf numFmtId="1" fontId="6" fillId="0" borderId="58" xfId="0" applyNumberFormat="1" applyFont="1" applyBorder="1" applyAlignment="1">
      <alignment horizontal="right"/>
    </xf>
    <xf numFmtId="1" fontId="6" fillId="0" borderId="108" xfId="0" applyNumberFormat="1" applyFont="1" applyBorder="1" applyAlignment="1">
      <alignment horizontal="right"/>
    </xf>
    <xf numFmtId="1" fontId="6" fillId="0" borderId="11" xfId="0" applyNumberFormat="1" applyFont="1" applyBorder="1" applyAlignment="1">
      <alignment horizontal="right"/>
    </xf>
    <xf numFmtId="0" fontId="6" fillId="0" borderId="54" xfId="0" applyFont="1" applyBorder="1"/>
    <xf numFmtId="1" fontId="6" fillId="0" borderId="18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15" borderId="119" xfId="0" applyNumberFormat="1" applyFont="1" applyFill="1" applyBorder="1" applyAlignment="1" applyProtection="1">
      <alignment horizontal="right"/>
      <protection locked="0"/>
    </xf>
    <xf numFmtId="1" fontId="6" fillId="0" borderId="76" xfId="0" applyNumberFormat="1" applyFont="1" applyBorder="1" applyAlignment="1">
      <alignment horizontal="right"/>
    </xf>
    <xf numFmtId="1" fontId="6" fillId="0" borderId="94" xfId="0" applyNumberFormat="1" applyFont="1" applyBorder="1" applyAlignment="1">
      <alignment horizontal="right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0" fontId="6" fillId="0" borderId="17" xfId="0" applyFont="1" applyBorder="1" applyAlignment="1">
      <alignment horizontal="left" vertical="center" wrapText="1"/>
    </xf>
    <xf numFmtId="0" fontId="6" fillId="0" borderId="22" xfId="0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right"/>
    </xf>
    <xf numFmtId="1" fontId="6" fillId="0" borderId="26" xfId="0" applyNumberFormat="1" applyFont="1" applyBorder="1" applyAlignment="1">
      <alignment horizontal="right"/>
    </xf>
    <xf numFmtId="1" fontId="6" fillId="17" borderId="46" xfId="125" applyNumberFormat="1" applyFont="1" applyFill="1" applyBorder="1" applyAlignment="1" applyProtection="1">
      <alignment vertical="center" wrapText="1"/>
      <protection hidden="1"/>
    </xf>
    <xf numFmtId="1" fontId="6" fillId="0" borderId="6" xfId="0" applyNumberFormat="1" applyFont="1" applyBorder="1" applyAlignment="1">
      <alignment vertical="center"/>
    </xf>
    <xf numFmtId="1" fontId="6" fillId="0" borderId="14" xfId="125" applyNumberFormat="1" applyFont="1" applyBorder="1" applyAlignment="1" applyProtection="1">
      <alignment horizontal="left" vertical="center" wrapText="1"/>
      <protection hidden="1"/>
    </xf>
    <xf numFmtId="1" fontId="6" fillId="0" borderId="21" xfId="0" applyNumberFormat="1" applyFont="1" applyBorder="1" applyAlignment="1">
      <alignment horizontal="left" vertical="center" wrapText="1"/>
    </xf>
    <xf numFmtId="1" fontId="6" fillId="15" borderId="24" xfId="0" applyNumberFormat="1" applyFont="1" applyFill="1" applyBorder="1" applyAlignment="1" applyProtection="1">
      <alignment horizontal="right"/>
      <protection locked="0"/>
    </xf>
    <xf numFmtId="1" fontId="6" fillId="15" borderId="29" xfId="0" applyNumberFormat="1" applyFont="1" applyFill="1" applyBorder="1" applyAlignment="1" applyProtection="1">
      <alignment horizontal="right"/>
      <protection locked="0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1" fontId="6" fillId="0" borderId="16" xfId="0" applyNumberFormat="1" applyFont="1" applyBorder="1" applyAlignment="1">
      <alignment vertical="center"/>
    </xf>
    <xf numFmtId="1" fontId="6" fillId="15" borderId="56" xfId="14" applyNumberFormat="1" applyFont="1" applyFill="1" applyBorder="1" applyAlignment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6" xfId="125" applyNumberFormat="1" applyFont="1" applyFill="1" applyBorder="1" applyAlignment="1">
      <alignment horizontal="right"/>
    </xf>
    <xf numFmtId="1" fontId="6" fillId="15" borderId="18" xfId="14" applyNumberFormat="1" applyFont="1" applyFill="1" applyBorder="1" applyAlignment="1">
      <alignment horizontal="right"/>
      <protection locked="0"/>
    </xf>
    <xf numFmtId="1" fontId="6" fillId="15" borderId="109" xfId="14" applyNumberFormat="1" applyFont="1" applyFill="1" applyBorder="1" applyAlignment="1">
      <alignment horizontal="right"/>
      <protection locked="0"/>
    </xf>
    <xf numFmtId="0" fontId="6" fillId="0" borderId="17" xfId="0" applyFont="1" applyBorder="1" applyAlignment="1">
      <alignment horizontal="center" vertical="center" wrapText="1"/>
    </xf>
    <xf numFmtId="1" fontId="6" fillId="0" borderId="55" xfId="126" applyNumberFormat="1" applyFont="1" applyBorder="1" applyAlignment="1" applyProtection="1">
      <alignment vertical="center" wrapText="1"/>
      <protection hidden="1"/>
    </xf>
    <xf numFmtId="1" fontId="6" fillId="0" borderId="51" xfId="126" applyNumberFormat="1" applyFont="1" applyBorder="1" applyAlignment="1" applyProtection="1">
      <alignment vertical="center" wrapText="1"/>
      <protection hidden="1"/>
    </xf>
    <xf numFmtId="1" fontId="6" fillId="0" borderId="52" xfId="126" applyNumberFormat="1" applyFont="1" applyBorder="1" applyAlignment="1" applyProtection="1">
      <alignment vertical="center" wrapText="1"/>
      <protection hidden="1"/>
    </xf>
    <xf numFmtId="1" fontId="6" fillId="0" borderId="59" xfId="0" applyNumberFormat="1" applyFont="1" applyBorder="1" applyAlignment="1">
      <alignment horizontal="right"/>
    </xf>
    <xf numFmtId="1" fontId="6" fillId="15" borderId="109" xfId="0" applyNumberFormat="1" applyFont="1" applyFill="1" applyBorder="1" applyAlignment="1" applyProtection="1">
      <alignment horizontal="right"/>
      <protection locked="0"/>
    </xf>
    <xf numFmtId="1" fontId="6" fillId="0" borderId="78" xfId="124" applyNumberFormat="1" applyFont="1" applyBorder="1" applyAlignment="1">
      <alignment horizontal="right"/>
    </xf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2" xfId="124" applyNumberFormat="1" applyFont="1" applyFill="1" applyBorder="1" applyAlignment="1" applyProtection="1">
      <alignment horizontal="right"/>
      <protection locked="0"/>
    </xf>
    <xf numFmtId="1" fontId="6" fillId="15" borderId="8" xfId="124" applyNumberFormat="1" applyFont="1" applyFill="1" applyBorder="1" applyAlignment="1" applyProtection="1">
      <alignment horizontal="right" vertical="center"/>
      <protection locked="0"/>
    </xf>
    <xf numFmtId="1" fontId="6" fillId="15" borderId="70" xfId="124" applyNumberFormat="1" applyFont="1" applyFill="1" applyBorder="1" applyAlignment="1" applyProtection="1">
      <alignment horizontal="right" vertical="center"/>
      <protection locked="0"/>
    </xf>
    <xf numFmtId="1" fontId="6" fillId="15" borderId="49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7" xfId="108" applyNumberFormat="1" applyFont="1" applyBorder="1" applyAlignment="1">
      <alignment horizontal="center" vertical="center" wrapText="1"/>
    </xf>
    <xf numFmtId="1" fontId="6" fillId="0" borderId="56" xfId="108" applyNumberFormat="1" applyFont="1" applyBorder="1" applyAlignment="1">
      <alignment horizontal="center" vertical="center" wrapText="1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0" borderId="47" xfId="124" applyNumberFormat="1" applyFont="1" applyBorder="1" applyAlignment="1">
      <alignment horizontal="right" wrapText="1"/>
    </xf>
    <xf numFmtId="1" fontId="6" fillId="0" borderId="48" xfId="124" applyNumberFormat="1" applyFont="1" applyBorder="1" applyAlignment="1">
      <alignment horizontal="right" wrapText="1"/>
    </xf>
    <xf numFmtId="1" fontId="6" fillId="0" borderId="67" xfId="124" applyNumberFormat="1" applyFont="1" applyBorder="1" applyAlignment="1">
      <alignment horizontal="right" wrapText="1"/>
    </xf>
    <xf numFmtId="1" fontId="6" fillId="0" borderId="6" xfId="124" applyNumberFormat="1" applyFont="1" applyBorder="1"/>
    <xf numFmtId="1" fontId="6" fillId="0" borderId="17" xfId="124" applyNumberFormat="1" applyFont="1" applyBorder="1" applyAlignment="1">
      <alignment horizontal="left"/>
    </xf>
    <xf numFmtId="1" fontId="6" fillId="0" borderId="22" xfId="124" applyNumberFormat="1" applyFont="1" applyBorder="1" applyAlignment="1">
      <alignment horizontal="left"/>
    </xf>
    <xf numFmtId="1" fontId="6" fillId="0" borderId="46" xfId="124" applyNumberFormat="1" applyFont="1" applyBorder="1" applyAlignment="1">
      <alignment horizontal="left"/>
    </xf>
    <xf numFmtId="1" fontId="6" fillId="0" borderId="58" xfId="124" applyNumberFormat="1" applyFont="1" applyBorder="1" applyAlignment="1">
      <alignment horizontal="right"/>
    </xf>
    <xf numFmtId="1" fontId="6" fillId="22" borderId="6" xfId="0" applyNumberFormat="1" applyFont="1" applyFill="1" applyBorder="1" applyAlignment="1">
      <alignment horizontal="center" vertical="center" wrapText="1"/>
    </xf>
    <xf numFmtId="1" fontId="6" fillId="0" borderId="94" xfId="0" applyNumberFormat="1" applyFont="1" applyBorder="1" applyAlignment="1">
      <alignment horizontal="left" vertical="center" wrapText="1"/>
    </xf>
    <xf numFmtId="1" fontId="6" fillId="22" borderId="111" xfId="0" applyNumberFormat="1" applyFont="1" applyFill="1" applyBorder="1" applyAlignment="1">
      <alignment horizontal="right"/>
    </xf>
    <xf numFmtId="1" fontId="6" fillId="22" borderId="21" xfId="0" applyNumberFormat="1" applyFont="1" applyFill="1" applyBorder="1" applyAlignment="1">
      <alignment horizontal="right"/>
    </xf>
    <xf numFmtId="1" fontId="6" fillId="22" borderId="74" xfId="0" applyNumberFormat="1" applyFont="1" applyFill="1" applyBorder="1" applyAlignment="1">
      <alignment horizontal="right"/>
    </xf>
    <xf numFmtId="1" fontId="6" fillId="22" borderId="94" xfId="0" applyNumberFormat="1" applyFont="1" applyFill="1" applyBorder="1" applyAlignment="1">
      <alignment horizontal="right"/>
    </xf>
    <xf numFmtId="1" fontId="6" fillId="22" borderId="44" xfId="0" applyNumberFormat="1" applyFont="1" applyFill="1" applyBorder="1" applyAlignment="1">
      <alignment horizontal="right"/>
    </xf>
    <xf numFmtId="1" fontId="6" fillId="22" borderId="31" xfId="0" applyNumberFormat="1" applyFont="1" applyFill="1" applyBorder="1" applyAlignment="1">
      <alignment horizontal="right"/>
    </xf>
    <xf numFmtId="1" fontId="6" fillId="22" borderId="6" xfId="0" applyNumberFormat="1" applyFont="1" applyFill="1" applyBorder="1" applyAlignment="1">
      <alignment horizontal="right"/>
    </xf>
    <xf numFmtId="1" fontId="6" fillId="22" borderId="113" xfId="0" applyNumberFormat="1" applyFont="1" applyFill="1" applyBorder="1" applyAlignment="1">
      <alignment horizontal="right"/>
    </xf>
    <xf numFmtId="1" fontId="6" fillId="22" borderId="16" xfId="0" applyNumberFormat="1" applyFont="1" applyFill="1" applyBorder="1" applyAlignment="1">
      <alignment horizontal="right"/>
    </xf>
    <xf numFmtId="1" fontId="6" fillId="22" borderId="38" xfId="0" applyNumberFormat="1" applyFont="1" applyFill="1" applyBorder="1" applyAlignment="1">
      <alignment horizontal="right"/>
    </xf>
    <xf numFmtId="1" fontId="6" fillId="22" borderId="14" xfId="0" applyNumberFormat="1" applyFont="1" applyFill="1" applyBorder="1" applyAlignment="1">
      <alignment horizontal="right"/>
    </xf>
    <xf numFmtId="1" fontId="6" fillId="22" borderId="41" xfId="0" applyNumberFormat="1" applyFont="1" applyFill="1" applyBorder="1" applyAlignment="1">
      <alignment horizontal="right"/>
    </xf>
    <xf numFmtId="1" fontId="6" fillId="22" borderId="123" xfId="0" applyNumberFormat="1" applyFont="1" applyFill="1" applyBorder="1" applyAlignment="1">
      <alignment horizontal="right"/>
    </xf>
    <xf numFmtId="1" fontId="6" fillId="22" borderId="111" xfId="0" applyNumberFormat="1" applyFont="1" applyFill="1" applyBorder="1" applyAlignment="1">
      <alignment horizontal="right" wrapText="1"/>
    </xf>
    <xf numFmtId="1" fontId="6" fillId="22" borderId="113" xfId="0" applyNumberFormat="1" applyFont="1" applyFill="1" applyBorder="1" applyAlignment="1">
      <alignment horizontal="right" wrapText="1"/>
    </xf>
    <xf numFmtId="1" fontId="6" fillId="22" borderId="17" xfId="0" applyNumberFormat="1" applyFont="1" applyFill="1" applyBorder="1" applyAlignment="1">
      <alignment horizontal="right" wrapText="1"/>
    </xf>
    <xf numFmtId="1" fontId="6" fillId="22" borderId="38" xfId="0" applyNumberFormat="1" applyFont="1" applyFill="1" applyBorder="1" applyAlignment="1">
      <alignment horizontal="right" wrapText="1"/>
    </xf>
    <xf numFmtId="1" fontId="6" fillId="22" borderId="14" xfId="0" applyNumberFormat="1" applyFont="1" applyFill="1" applyBorder="1" applyAlignment="1">
      <alignment horizontal="right" wrapText="1"/>
    </xf>
    <xf numFmtId="1" fontId="6" fillId="22" borderId="32" xfId="0" applyNumberFormat="1" applyFont="1" applyFill="1" applyBorder="1" applyAlignment="1">
      <alignment horizontal="right" wrapText="1"/>
    </xf>
    <xf numFmtId="1" fontId="6" fillId="22" borderId="44" xfId="0" applyNumberFormat="1" applyFont="1" applyFill="1" applyBorder="1" applyAlignment="1">
      <alignment horizontal="right" wrapText="1"/>
    </xf>
    <xf numFmtId="1" fontId="6" fillId="22" borderId="31" xfId="0" applyNumberFormat="1" applyFont="1" applyFill="1" applyBorder="1" applyAlignment="1">
      <alignment horizontal="right" wrapText="1"/>
    </xf>
    <xf numFmtId="1" fontId="6" fillId="22" borderId="17" xfId="0" applyNumberFormat="1" applyFont="1" applyFill="1" applyBorder="1" applyAlignment="1">
      <alignment horizontal="right"/>
    </xf>
    <xf numFmtId="1" fontId="6" fillId="22" borderId="46" xfId="0" applyNumberFormat="1" applyFont="1" applyFill="1" applyBorder="1" applyAlignment="1">
      <alignment horizontal="right"/>
    </xf>
    <xf numFmtId="1" fontId="6" fillId="22" borderId="54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90" xfId="0" applyNumberFormat="1" applyFont="1" applyBorder="1" applyAlignment="1">
      <alignment wrapText="1"/>
    </xf>
    <xf numFmtId="1" fontId="6" fillId="0" borderId="31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3" xfId="0" applyNumberFormat="1" applyFont="1" applyBorder="1" applyAlignment="1">
      <alignment vertical="center" wrapText="1"/>
    </xf>
    <xf numFmtId="1" fontId="6" fillId="0" borderId="32" xfId="0" quotePrefix="1" applyNumberFormat="1" applyFont="1" applyBorder="1" applyAlignment="1">
      <alignment horizontal="left" wrapText="1"/>
    </xf>
    <xf numFmtId="1" fontId="6" fillId="15" borderId="39" xfId="124" applyNumberFormat="1" applyFont="1" applyFill="1" applyBorder="1" applyAlignment="1" applyProtection="1">
      <alignment horizontal="right"/>
      <protection locked="0"/>
    </xf>
    <xf numFmtId="1" fontId="6" fillId="20" borderId="38" xfId="124" applyNumberFormat="1" applyFont="1" applyFill="1" applyBorder="1" applyAlignment="1">
      <alignment horizontal="right"/>
    </xf>
    <xf numFmtId="1" fontId="6" fillId="15" borderId="42" xfId="124" applyNumberFormat="1" applyFont="1" applyFill="1" applyBorder="1" applyAlignment="1" applyProtection="1">
      <alignment horizontal="right"/>
      <protection locked="0"/>
    </xf>
    <xf numFmtId="1" fontId="6" fillId="15" borderId="105" xfId="124" applyNumberFormat="1" applyFont="1" applyFill="1" applyBorder="1" applyAlignment="1" applyProtection="1">
      <alignment horizontal="right"/>
      <protection locked="0"/>
    </xf>
    <xf numFmtId="1" fontId="6" fillId="15" borderId="79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3" xfId="124" applyNumberFormat="1" applyFont="1" applyFill="1" applyBorder="1" applyAlignment="1" applyProtection="1">
      <alignment horizontal="right"/>
      <protection locked="0"/>
    </xf>
    <xf numFmtId="1" fontId="6" fillId="15" borderId="24" xfId="124" applyNumberFormat="1" applyFont="1" applyFill="1" applyBorder="1" applyAlignment="1" applyProtection="1">
      <alignment horizontal="right"/>
      <protection locked="0"/>
    </xf>
    <xf numFmtId="1" fontId="6" fillId="15" borderId="21" xfId="0" quotePrefix="1" applyNumberFormat="1" applyFont="1" applyFill="1" applyBorder="1" applyAlignment="1" applyProtection="1">
      <alignment horizontal="right"/>
      <protection locked="0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20" borderId="151" xfId="0" applyNumberFormat="1" applyFont="1" applyFill="1" applyBorder="1" applyAlignment="1">
      <alignment horizontal="right"/>
    </xf>
    <xf numFmtId="1" fontId="6" fillId="15" borderId="16" xfId="0" quotePrefix="1" applyNumberFormat="1" applyFont="1" applyFill="1" applyBorder="1" applyAlignment="1" applyProtection="1">
      <alignment horizontal="right"/>
      <protection locked="0"/>
    </xf>
    <xf numFmtId="1" fontId="6" fillId="15" borderId="14" xfId="0" quotePrefix="1" applyNumberFormat="1" applyFont="1" applyFill="1" applyBorder="1" applyAlignment="1" applyProtection="1">
      <alignment horizontal="right"/>
      <protection locked="0"/>
    </xf>
    <xf numFmtId="1" fontId="6" fillId="15" borderId="152" xfId="0" applyNumberFormat="1" applyFont="1" applyFill="1" applyBorder="1" applyAlignment="1" applyProtection="1">
      <alignment horizontal="right"/>
      <protection locked="0"/>
    </xf>
    <xf numFmtId="1" fontId="6" fillId="0" borderId="149" xfId="0" applyNumberFormat="1" applyFont="1" applyBorder="1" applyAlignment="1">
      <alignment horizontal="right"/>
    </xf>
    <xf numFmtId="1" fontId="6" fillId="0" borderId="153" xfId="0" applyNumberFormat="1" applyFont="1" applyBorder="1" applyAlignment="1">
      <alignment horizontal="right"/>
    </xf>
    <xf numFmtId="1" fontId="6" fillId="15" borderId="18" xfId="0" quotePrefix="1" applyNumberFormat="1" applyFont="1" applyFill="1" applyBorder="1" applyAlignment="1" applyProtection="1">
      <alignment horizontal="right"/>
      <protection locked="0"/>
    </xf>
    <xf numFmtId="1" fontId="6" fillId="15" borderId="61" xfId="0" quotePrefix="1" applyNumberFormat="1" applyFont="1" applyFill="1" applyBorder="1" applyAlignment="1" applyProtection="1">
      <alignment horizontal="right"/>
      <protection locked="0"/>
    </xf>
    <xf numFmtId="1" fontId="6" fillId="15" borderId="11" xfId="0" quotePrefix="1" applyNumberFormat="1" applyFont="1" applyFill="1" applyBorder="1" applyAlignment="1" applyProtection="1">
      <alignment horizontal="right"/>
      <protection locked="0"/>
    </xf>
    <xf numFmtId="1" fontId="6" fillId="0" borderId="151" xfId="0" quotePrefix="1" applyNumberFormat="1" applyFont="1" applyBorder="1" applyAlignment="1">
      <alignment horizontal="center" vertical="center"/>
    </xf>
    <xf numFmtId="1" fontId="6" fillId="0" borderId="151" xfId="0" applyNumberFormat="1" applyFont="1" applyBorder="1" applyAlignment="1">
      <alignment horizontal="center" vertical="center"/>
    </xf>
    <xf numFmtId="1" fontId="6" fillId="0" borderId="125" xfId="0" applyNumberFormat="1" applyFont="1" applyBorder="1" applyAlignment="1">
      <alignment horizontal="center" vertical="center" wrapText="1"/>
    </xf>
    <xf numFmtId="1" fontId="6" fillId="20" borderId="39" xfId="0" applyNumberFormat="1" applyFont="1" applyFill="1" applyBorder="1" applyAlignment="1">
      <alignment horizontal="right"/>
    </xf>
    <xf numFmtId="1" fontId="6" fillId="20" borderId="119" xfId="0" applyNumberFormat="1" applyFont="1" applyFill="1" applyBorder="1" applyAlignment="1">
      <alignment horizontal="right"/>
    </xf>
    <xf numFmtId="1" fontId="6" fillId="20" borderId="42" xfId="0" applyNumberFormat="1" applyFont="1" applyFill="1" applyBorder="1" applyAlignment="1">
      <alignment horizontal="right"/>
    </xf>
    <xf numFmtId="1" fontId="6" fillId="20" borderId="154" xfId="0" applyNumberFormat="1" applyFont="1" applyFill="1" applyBorder="1" applyAlignment="1">
      <alignment horizontal="right"/>
    </xf>
    <xf numFmtId="1" fontId="6" fillId="20" borderId="105" xfId="0" applyNumberFormat="1" applyFont="1" applyFill="1" applyBorder="1" applyAlignment="1">
      <alignment horizontal="right"/>
    </xf>
    <xf numFmtId="1" fontId="6" fillId="15" borderId="156" xfId="0" applyNumberFormat="1" applyFont="1" applyFill="1" applyBorder="1" applyAlignment="1" applyProtection="1">
      <alignment horizontal="right"/>
      <protection locked="0"/>
    </xf>
    <xf numFmtId="1" fontId="6" fillId="20" borderId="150" xfId="0" applyNumberFormat="1" applyFont="1" applyFill="1" applyBorder="1" applyAlignment="1">
      <alignment horizontal="right"/>
    </xf>
    <xf numFmtId="1" fontId="6" fillId="20" borderId="149" xfId="0" applyNumberFormat="1" applyFont="1" applyFill="1" applyBorder="1" applyAlignment="1">
      <alignment horizontal="right"/>
    </xf>
    <xf numFmtId="1" fontId="6" fillId="20" borderId="155" xfId="0" applyNumberFormat="1" applyFont="1" applyFill="1" applyBorder="1" applyAlignment="1">
      <alignment horizontal="right"/>
    </xf>
    <xf numFmtId="0" fontId="6" fillId="0" borderId="6" xfId="0" applyFont="1" applyBorder="1" applyAlignment="1">
      <alignment horizontal="center" vertical="center"/>
    </xf>
    <xf numFmtId="1" fontId="6" fillId="0" borderId="6" xfId="0" applyNumberFormat="1" applyFont="1" applyBorder="1" applyAlignment="1" applyProtection="1">
      <alignment vertical="center" wrapText="1"/>
      <protection hidden="1"/>
    </xf>
    <xf numFmtId="1" fontId="6" fillId="0" borderId="54" xfId="0" applyNumberFormat="1" applyFont="1" applyBorder="1" applyAlignment="1" applyProtection="1">
      <alignment vertical="center" wrapText="1"/>
      <protection hidden="1"/>
    </xf>
    <xf numFmtId="1" fontId="6" fillId="0" borderId="6" xfId="0" applyNumberFormat="1" applyFont="1" applyBorder="1" applyAlignment="1" applyProtection="1">
      <alignment horizontal="left" vertical="center" wrapText="1"/>
      <protection hidden="1"/>
    </xf>
    <xf numFmtId="1" fontId="6" fillId="0" borderId="17" xfId="0" applyNumberFormat="1" applyFont="1" applyBorder="1" applyAlignment="1" applyProtection="1">
      <alignment vertical="center" wrapText="1"/>
      <protection hidden="1"/>
    </xf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0" fontId="6" fillId="0" borderId="22" xfId="0" applyFont="1" applyBorder="1" applyAlignment="1">
      <alignment horizontal="center" vertical="center"/>
    </xf>
    <xf numFmtId="1" fontId="6" fillId="20" borderId="78" xfId="0" applyNumberFormat="1" applyFont="1" applyFill="1" applyBorder="1" applyAlignment="1">
      <alignment horizontal="right"/>
    </xf>
    <xf numFmtId="0" fontId="6" fillId="20" borderId="47" xfId="0" applyFont="1" applyFill="1" applyBorder="1" applyAlignment="1">
      <alignment horizontal="right"/>
    </xf>
    <xf numFmtId="0" fontId="6" fillId="20" borderId="14" xfId="0" applyFont="1" applyFill="1" applyBorder="1" applyAlignment="1">
      <alignment horizontal="right"/>
    </xf>
    <xf numFmtId="0" fontId="6" fillId="20" borderId="48" xfId="0" applyFont="1" applyFill="1" applyBorder="1" applyAlignment="1">
      <alignment horizontal="right"/>
    </xf>
    <xf numFmtId="0" fontId="6" fillId="20" borderId="26" xfId="0" applyFont="1" applyFill="1" applyBorder="1" applyAlignment="1">
      <alignment horizontal="right"/>
    </xf>
    <xf numFmtId="0" fontId="6" fillId="20" borderId="42" xfId="0" applyFont="1" applyFill="1" applyBorder="1" applyAlignment="1">
      <alignment horizontal="right"/>
    </xf>
    <xf numFmtId="1" fontId="6" fillId="20" borderId="79" xfId="125" applyNumberFormat="1" applyFont="1" applyFill="1" applyBorder="1" applyAlignment="1">
      <alignment horizontal="right"/>
    </xf>
    <xf numFmtId="1" fontId="6" fillId="20" borderId="41" xfId="125" applyNumberFormat="1" applyFont="1" applyFill="1" applyBorder="1" applyAlignment="1">
      <alignment horizontal="right"/>
    </xf>
    <xf numFmtId="1" fontId="6" fillId="20" borderId="22" xfId="125" applyNumberFormat="1" applyFont="1" applyFill="1" applyBorder="1" applyAlignment="1">
      <alignment horizontal="right"/>
    </xf>
    <xf numFmtId="1" fontId="6" fillId="18" borderId="54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6" xfId="0" applyNumberFormat="1" applyFont="1" applyFill="1" applyBorder="1" applyAlignment="1">
      <alignment horizontal="right"/>
    </xf>
    <xf numFmtId="1" fontId="6" fillId="20" borderId="89" xfId="125" applyNumberFormat="1" applyFont="1" applyFill="1" applyBorder="1" applyAlignment="1">
      <alignment horizontal="right"/>
    </xf>
    <xf numFmtId="1" fontId="6" fillId="20" borderId="111" xfId="125" applyNumberFormat="1" applyFont="1" applyFill="1" applyBorder="1" applyAlignment="1">
      <alignment horizontal="right"/>
    </xf>
    <xf numFmtId="1" fontId="6" fillId="20" borderId="54" xfId="125" applyNumberFormat="1" applyFont="1" applyFill="1" applyBorder="1" applyAlignment="1">
      <alignment horizontal="right"/>
    </xf>
    <xf numFmtId="1" fontId="6" fillId="20" borderId="74" xfId="125" applyNumberFormat="1" applyFont="1" applyFill="1" applyBorder="1" applyAlignment="1">
      <alignment horizontal="right"/>
    </xf>
    <xf numFmtId="1" fontId="6" fillId="20" borderId="46" xfId="125" applyNumberFormat="1" applyFont="1" applyFill="1" applyBorder="1" applyAlignment="1">
      <alignment horizontal="right"/>
    </xf>
    <xf numFmtId="1" fontId="6" fillId="20" borderId="115" xfId="125" applyNumberFormat="1" applyFont="1" applyFill="1" applyBorder="1" applyAlignment="1">
      <alignment horizontal="right"/>
    </xf>
    <xf numFmtId="1" fontId="6" fillId="20" borderId="17" xfId="0" applyNumberFormat="1" applyFont="1" applyFill="1" applyBorder="1" applyAlignment="1">
      <alignment horizontal="right"/>
    </xf>
    <xf numFmtId="1" fontId="6" fillId="20" borderId="104" xfId="125" applyNumberFormat="1" applyFont="1" applyFill="1" applyBorder="1" applyAlignment="1">
      <alignment horizontal="right"/>
    </xf>
    <xf numFmtId="1" fontId="6" fillId="20" borderId="146" xfId="125" applyNumberFormat="1" applyFont="1" applyFill="1" applyBorder="1" applyAlignment="1">
      <alignment horizontal="right"/>
    </xf>
    <xf numFmtId="1" fontId="6" fillId="20" borderId="17" xfId="125" applyNumberFormat="1" applyFont="1" applyFill="1" applyBorder="1" applyAlignment="1">
      <alignment horizontal="right"/>
    </xf>
    <xf numFmtId="1" fontId="6" fillId="20" borderId="117" xfId="125" applyNumberFormat="1" applyFont="1" applyFill="1" applyBorder="1" applyAlignment="1">
      <alignment horizontal="right"/>
    </xf>
    <xf numFmtId="1" fontId="6" fillId="20" borderId="128" xfId="125" applyNumberFormat="1" applyFont="1" applyFill="1" applyBorder="1" applyAlignment="1">
      <alignment horizontal="right"/>
    </xf>
    <xf numFmtId="1" fontId="6" fillId="20" borderId="6" xfId="125" applyNumberFormat="1" applyFont="1" applyFill="1" applyBorder="1" applyAlignment="1">
      <alignment horizontal="right"/>
    </xf>
    <xf numFmtId="0" fontId="3" fillId="14" borderId="151" xfId="123" applyFont="1" applyFill="1" applyBorder="1" applyAlignment="1" applyProtection="1">
      <alignment horizontal="center"/>
      <protection locked="0"/>
    </xf>
    <xf numFmtId="0" fontId="3" fillId="14" borderId="152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10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7" xfId="14" applyNumberFormat="1" applyFont="1" applyFill="1" applyBorder="1" applyAlignment="1" applyProtection="1">
      <alignment horizontal="right"/>
    </xf>
    <xf numFmtId="1" fontId="6" fillId="20" borderId="78" xfId="14" applyNumberFormat="1" applyFont="1" applyFill="1" applyBorder="1" applyAlignment="1" applyProtection="1">
      <alignment horizontal="right"/>
    </xf>
    <xf numFmtId="1" fontId="6" fillId="20" borderId="49" xfId="14" applyNumberFormat="1" applyFont="1" applyFill="1" applyBorder="1" applyAlignment="1" applyProtection="1">
      <alignment horizontal="right"/>
    </xf>
    <xf numFmtId="1" fontId="6" fillId="20" borderId="48" xfId="14" applyNumberFormat="1" applyFont="1" applyFill="1" applyBorder="1" applyAlignment="1" applyProtection="1">
      <alignment horizontal="right"/>
    </xf>
    <xf numFmtId="1" fontId="6" fillId="0" borderId="152" xfId="108" applyNumberFormat="1" applyFont="1" applyBorder="1" applyAlignment="1">
      <alignment horizontal="center" vertical="center" wrapText="1"/>
    </xf>
    <xf numFmtId="1" fontId="6" fillId="0" borderId="152" xfId="125" applyNumberFormat="1" applyFont="1" applyBorder="1" applyAlignment="1" applyProtection="1">
      <alignment horizontal="center" vertical="center"/>
      <protection hidden="1"/>
    </xf>
    <xf numFmtId="1" fontId="6" fillId="0" borderId="92" xfId="125" applyNumberFormat="1" applyFont="1" applyBorder="1" applyAlignment="1" applyProtection="1">
      <alignment horizontal="center" vertical="center"/>
      <protection hidden="1"/>
    </xf>
    <xf numFmtId="1" fontId="6" fillId="0" borderId="14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4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3" borderId="42" xfId="125" applyNumberFormat="1" applyFont="1" applyFill="1" applyBorder="1" applyAlignment="1" applyProtection="1">
      <alignment horizontal="right"/>
      <protection locked="0"/>
    </xf>
    <xf numFmtId="1" fontId="6" fillId="0" borderId="72" xfId="125" applyNumberFormat="1" applyFont="1" applyBorder="1" applyAlignment="1">
      <alignment horizontal="right"/>
    </xf>
    <xf numFmtId="1" fontId="6" fillId="20" borderId="11" xfId="125" applyNumberFormat="1" applyFont="1" applyFill="1" applyBorder="1" applyAlignment="1">
      <alignment horizontal="right"/>
    </xf>
    <xf numFmtId="1" fontId="6" fillId="20" borderId="39" xfId="125" applyNumberFormat="1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15" borderId="23" xfId="124" applyNumberFormat="1" applyFont="1" applyFill="1" applyBorder="1" applyAlignment="1" applyProtection="1">
      <alignment horizontal="right" vertical="center"/>
      <protection locked="0"/>
    </xf>
    <xf numFmtId="1" fontId="6" fillId="0" borderId="68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 vertical="center"/>
    </xf>
    <xf numFmtId="1" fontId="6" fillId="0" borderId="77" xfId="124" applyNumberFormat="1" applyFont="1" applyBorder="1" applyAlignment="1">
      <alignment horizontal="right"/>
    </xf>
    <xf numFmtId="1" fontId="6" fillId="0" borderId="152" xfId="124" applyNumberFormat="1" applyFont="1" applyBorder="1" applyAlignment="1">
      <alignment horizontal="center" vertical="center" wrapText="1"/>
    </xf>
    <xf numFmtId="1" fontId="6" fillId="22" borderId="16" xfId="0" applyNumberFormat="1" applyFont="1" applyFill="1" applyBorder="1" applyAlignment="1">
      <alignment horizontal="center" vertical="center"/>
    </xf>
    <xf numFmtId="1" fontId="6" fillId="22" borderId="47" xfId="124" applyNumberFormat="1" applyFont="1" applyFill="1" applyBorder="1" applyAlignment="1">
      <alignment horizontal="right"/>
    </xf>
    <xf numFmtId="1" fontId="6" fillId="22" borderId="62" xfId="124" applyNumberFormat="1" applyFont="1" applyFill="1" applyBorder="1" applyAlignment="1">
      <alignment horizontal="right"/>
    </xf>
    <xf numFmtId="1" fontId="6" fillId="22" borderId="75" xfId="124" applyNumberFormat="1" applyFont="1" applyFill="1" applyBorder="1" applyAlignment="1">
      <alignment horizontal="right"/>
    </xf>
    <xf numFmtId="1" fontId="6" fillId="22" borderId="14" xfId="0" applyNumberFormat="1" applyFont="1" applyFill="1" applyBorder="1" applyAlignment="1">
      <alignment horizontal="center" vertical="center"/>
    </xf>
    <xf numFmtId="1" fontId="6" fillId="22" borderId="26" xfId="0" applyNumberFormat="1" applyFont="1" applyFill="1" applyBorder="1" applyAlignment="1">
      <alignment horizontal="center" vertical="center"/>
    </xf>
    <xf numFmtId="1" fontId="6" fillId="22" borderId="21" xfId="0" applyNumberFormat="1" applyFont="1" applyFill="1" applyBorder="1" applyAlignment="1">
      <alignment horizontal="center" vertical="center"/>
    </xf>
    <xf numFmtId="1" fontId="6" fillId="22" borderId="47" xfId="0" applyNumberFormat="1" applyFont="1" applyFill="1" applyBorder="1" applyAlignment="1">
      <alignment horizontal="right" wrapText="1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63" xfId="72" applyNumberFormat="1" applyFont="1" applyFill="1" applyBorder="1" applyAlignment="1" applyProtection="1">
      <alignment horizontal="right"/>
      <protection locked="0"/>
    </xf>
    <xf numFmtId="1" fontId="6" fillId="23" borderId="47" xfId="124" applyNumberFormat="1" applyFont="1" applyFill="1" applyBorder="1" applyAlignment="1" applyProtection="1">
      <alignment horizontal="right"/>
      <protection locked="0"/>
    </xf>
    <xf numFmtId="1" fontId="6" fillId="23" borderId="14" xfId="124" applyNumberFormat="1" applyFont="1" applyFill="1" applyBorder="1" applyAlignment="1" applyProtection="1">
      <alignment horizontal="right"/>
      <protection locked="0"/>
    </xf>
    <xf numFmtId="1" fontId="6" fillId="23" borderId="90" xfId="124" applyNumberFormat="1" applyFont="1" applyFill="1" applyBorder="1" applyAlignment="1" applyProtection="1">
      <alignment horizontal="right"/>
      <protection locked="0"/>
    </xf>
    <xf numFmtId="1" fontId="6" fillId="23" borderId="75" xfId="124" applyNumberFormat="1" applyFont="1" applyFill="1" applyBorder="1" applyAlignment="1" applyProtection="1">
      <alignment horizontal="right"/>
      <protection locked="0"/>
    </xf>
    <xf numFmtId="1" fontId="6" fillId="23" borderId="58" xfId="124" applyNumberFormat="1" applyFont="1" applyFill="1" applyBorder="1" applyAlignment="1" applyProtection="1">
      <alignment horizontal="right"/>
      <protection locked="0"/>
    </xf>
    <xf numFmtId="1" fontId="6" fillId="23" borderId="16" xfId="124" applyNumberFormat="1" applyFont="1" applyFill="1" applyBorder="1" applyAlignment="1" applyProtection="1">
      <alignment horizontal="right"/>
      <protection locked="0"/>
    </xf>
    <xf numFmtId="1" fontId="6" fillId="23" borderId="4" xfId="124" applyNumberFormat="1" applyFont="1" applyFill="1" applyBorder="1" applyAlignment="1" applyProtection="1">
      <alignment horizontal="right"/>
      <protection locked="0"/>
    </xf>
    <xf numFmtId="1" fontId="6" fillId="23" borderId="60" xfId="124" applyNumberFormat="1" applyFont="1" applyFill="1" applyBorder="1" applyAlignment="1" applyProtection="1">
      <alignment horizontal="right"/>
      <protection locked="0"/>
    </xf>
    <xf numFmtId="1" fontId="6" fillId="23" borderId="48" xfId="124" applyNumberFormat="1" applyFont="1" applyFill="1" applyBorder="1" applyAlignment="1" applyProtection="1">
      <alignment horizontal="right"/>
      <protection locked="0"/>
    </xf>
    <xf numFmtId="1" fontId="6" fillId="23" borderId="26" xfId="124" applyNumberFormat="1" applyFont="1" applyFill="1" applyBorder="1" applyAlignment="1" applyProtection="1">
      <alignment horizontal="right"/>
      <protection locked="0"/>
    </xf>
    <xf numFmtId="1" fontId="6" fillId="23" borderId="95" xfId="124" applyNumberFormat="1" applyFont="1" applyFill="1" applyBorder="1" applyAlignment="1" applyProtection="1">
      <alignment horizontal="right"/>
      <protection locked="0"/>
    </xf>
    <xf numFmtId="1" fontId="6" fillId="23" borderId="70" xfId="124" applyNumberFormat="1" applyFont="1" applyFill="1" applyBorder="1" applyAlignment="1" applyProtection="1">
      <alignment horizontal="right"/>
      <protection locked="0"/>
    </xf>
    <xf numFmtId="1" fontId="6" fillId="23" borderId="78" xfId="124" applyNumberFormat="1" applyFont="1" applyFill="1" applyBorder="1" applyAlignment="1" applyProtection="1">
      <alignment horizontal="right"/>
      <protection locked="0"/>
    </xf>
    <xf numFmtId="1" fontId="6" fillId="23" borderId="94" xfId="124" applyNumberFormat="1" applyFont="1" applyFill="1" applyBorder="1" applyAlignment="1" applyProtection="1">
      <alignment horizontal="right"/>
      <protection locked="0"/>
    </xf>
    <xf numFmtId="1" fontId="6" fillId="23" borderId="96" xfId="124" applyNumberFormat="1" applyFont="1" applyFill="1" applyBorder="1" applyAlignment="1" applyProtection="1">
      <alignment horizontal="right"/>
      <protection locked="0"/>
    </xf>
    <xf numFmtId="1" fontId="6" fillId="23" borderId="103" xfId="124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0" fontId="6" fillId="23" borderId="17" xfId="0" applyFont="1" applyFill="1" applyBorder="1" applyAlignment="1" applyProtection="1">
      <alignment horizontal="right" vertical="center"/>
      <protection locked="0"/>
    </xf>
    <xf numFmtId="0" fontId="6" fillId="23" borderId="14" xfId="0" applyFont="1" applyFill="1" applyBorder="1" applyAlignment="1" applyProtection="1">
      <alignment horizontal="right" vertical="center"/>
      <protection locked="0"/>
    </xf>
    <xf numFmtId="0" fontId="6" fillId="23" borderId="22" xfId="0" applyFont="1" applyFill="1" applyBorder="1" applyAlignment="1" applyProtection="1">
      <alignment horizontal="right" vertical="center"/>
      <protection locked="0"/>
    </xf>
    <xf numFmtId="0" fontId="6" fillId="23" borderId="26" xfId="0" applyFont="1" applyFill="1" applyBorder="1" applyAlignment="1" applyProtection="1">
      <alignment horizontal="right" vertical="center"/>
      <protection locked="0"/>
    </xf>
    <xf numFmtId="0" fontId="6" fillId="23" borderId="6" xfId="0" applyFont="1" applyFill="1" applyBorder="1" applyAlignment="1" applyProtection="1">
      <alignment horizontal="right" vertical="center"/>
      <protection locked="0"/>
    </xf>
    <xf numFmtId="0" fontId="6" fillId="23" borderId="16" xfId="0" applyFont="1" applyFill="1" applyBorder="1" applyAlignment="1" applyProtection="1">
      <alignment horizontal="right" vertical="center"/>
      <protection locked="0"/>
    </xf>
    <xf numFmtId="1" fontId="6" fillId="20" borderId="47" xfId="124" applyNumberFormat="1" applyFont="1" applyFill="1" applyBorder="1" applyAlignment="1">
      <alignment horizontal="right"/>
    </xf>
    <xf numFmtId="1" fontId="6" fillId="20" borderId="14" xfId="124" applyNumberFormat="1" applyFont="1" applyFill="1" applyBorder="1" applyAlignment="1">
      <alignment horizontal="right"/>
    </xf>
    <xf numFmtId="1" fontId="6" fillId="20" borderId="48" xfId="124" applyNumberFormat="1" applyFont="1" applyFill="1" applyBorder="1" applyAlignment="1">
      <alignment horizontal="right"/>
    </xf>
    <xf numFmtId="1" fontId="6" fillId="20" borderId="26" xfId="124" applyNumberFormat="1" applyFont="1" applyFill="1" applyBorder="1" applyAlignment="1">
      <alignment horizontal="right"/>
    </xf>
    <xf numFmtId="1" fontId="6" fillId="20" borderId="11" xfId="0" applyNumberFormat="1" applyFont="1" applyFill="1" applyBorder="1" applyAlignment="1">
      <alignment horizontal="right"/>
    </xf>
    <xf numFmtId="1" fontId="6" fillId="20" borderId="68" xfId="0" applyNumberFormat="1" applyFont="1" applyFill="1" applyBorder="1" applyAlignment="1">
      <alignment horizontal="right"/>
    </xf>
    <xf numFmtId="1" fontId="6" fillId="20" borderId="23" xfId="0" applyNumberFormat="1" applyFont="1" applyFill="1" applyBorder="1" applyAlignment="1">
      <alignment horizontal="right"/>
    </xf>
    <xf numFmtId="1" fontId="6" fillId="20" borderId="49" xfId="0" applyNumberFormat="1" applyFont="1" applyFill="1" applyBorder="1" applyAlignment="1">
      <alignment horizontal="right"/>
    </xf>
    <xf numFmtId="1" fontId="6" fillId="20" borderId="61" xfId="0" applyNumberFormat="1" applyFont="1" applyFill="1" applyBorder="1" applyAlignment="1">
      <alignment horizontal="right"/>
    </xf>
    <xf numFmtId="1" fontId="6" fillId="20" borderId="59" xfId="0" applyNumberFormat="1" applyFont="1" applyFill="1" applyBorder="1" applyAlignment="1">
      <alignment horizontal="right"/>
    </xf>
    <xf numFmtId="1" fontId="6" fillId="22" borderId="56" xfId="124" applyNumberFormat="1" applyFont="1" applyFill="1" applyBorder="1" applyAlignment="1">
      <alignment horizontal="right"/>
    </xf>
    <xf numFmtId="1" fontId="6" fillId="0" borderId="14" xfId="124" applyNumberFormat="1" applyFont="1" applyBorder="1" applyAlignment="1">
      <alignment horizontal="right" vertical="center"/>
    </xf>
    <xf numFmtId="1" fontId="6" fillId="0" borderId="26" xfId="124" applyNumberFormat="1" applyFont="1" applyBorder="1" applyAlignment="1">
      <alignment horizontal="right" vertical="center"/>
    </xf>
    <xf numFmtId="1" fontId="6" fillId="0" borderId="94" xfId="124" applyNumberFormat="1" applyFont="1" applyBorder="1" applyAlignment="1">
      <alignment horizontal="right" vertical="center"/>
    </xf>
    <xf numFmtId="1" fontId="6" fillId="0" borderId="152" xfId="124" applyNumberFormat="1" applyFont="1" applyBorder="1" applyAlignment="1">
      <alignment horizontal="right"/>
    </xf>
    <xf numFmtId="1" fontId="6" fillId="15" borderId="48" xfId="124" applyNumberFormat="1" applyFont="1" applyFill="1" applyBorder="1" applyAlignment="1" applyProtection="1">
      <alignment horizontal="right" vertical="center"/>
      <protection locked="0"/>
    </xf>
    <xf numFmtId="1" fontId="6" fillId="0" borderId="54" xfId="124" applyNumberFormat="1" applyFont="1" applyBorder="1"/>
    <xf numFmtId="1" fontId="6" fillId="23" borderId="67" xfId="124" applyNumberFormat="1" applyFont="1" applyFill="1" applyBorder="1" applyAlignment="1" applyProtection="1">
      <alignment horizontal="right"/>
      <protection locked="0"/>
    </xf>
    <xf numFmtId="1" fontId="6" fillId="23" borderId="21" xfId="124" applyNumberFormat="1" applyFont="1" applyFill="1" applyBorder="1" applyAlignment="1" applyProtection="1">
      <alignment horizontal="right"/>
      <protection locked="0"/>
    </xf>
    <xf numFmtId="1" fontId="6" fillId="23" borderId="91" xfId="124" applyNumberFormat="1" applyFont="1" applyFill="1" applyBorder="1" applyAlignment="1" applyProtection="1">
      <alignment horizontal="right"/>
      <protection locked="0"/>
    </xf>
    <xf numFmtId="1" fontId="6" fillId="23" borderId="106" xfId="124" applyNumberFormat="1" applyFont="1" applyFill="1" applyBorder="1" applyAlignment="1" applyProtection="1">
      <alignment horizontal="right"/>
      <protection locked="0"/>
    </xf>
    <xf numFmtId="1" fontId="6" fillId="0" borderId="160" xfId="124" applyNumberFormat="1" applyFont="1" applyBorder="1" applyAlignment="1">
      <alignment horizontal="right" wrapText="1"/>
    </xf>
    <xf numFmtId="1" fontId="6" fillId="0" borderId="161" xfId="124" applyNumberFormat="1" applyFont="1" applyBorder="1" applyAlignment="1">
      <alignment horizontal="right" wrapText="1"/>
    </xf>
    <xf numFmtId="1" fontId="6" fillId="0" borderId="153" xfId="124" applyNumberFormat="1" applyFont="1" applyBorder="1" applyAlignment="1">
      <alignment horizontal="right"/>
    </xf>
    <xf numFmtId="1" fontId="6" fillId="23" borderId="161" xfId="124" applyNumberFormat="1" applyFont="1" applyFill="1" applyBorder="1" applyAlignment="1" applyProtection="1">
      <alignment horizontal="right"/>
      <protection locked="0"/>
    </xf>
    <xf numFmtId="1" fontId="6" fillId="23" borderId="153" xfId="124" applyNumberFormat="1" applyFont="1" applyFill="1" applyBorder="1" applyAlignment="1" applyProtection="1">
      <alignment horizontal="right"/>
      <protection locked="0"/>
    </xf>
    <xf numFmtId="1" fontId="6" fillId="23" borderId="162" xfId="124" applyNumberFormat="1" applyFont="1" applyFill="1" applyBorder="1" applyAlignment="1" applyProtection="1">
      <alignment horizontal="right"/>
      <protection locked="0"/>
    </xf>
    <xf numFmtId="1" fontId="6" fillId="23" borderId="163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51" xfId="124" applyNumberFormat="1" applyFont="1" applyFill="1" applyBorder="1" applyAlignment="1" applyProtection="1">
      <alignment horizontal="right"/>
      <protection locked="0"/>
    </xf>
    <xf numFmtId="1" fontId="6" fillId="15" borderId="152" xfId="124" applyNumberFormat="1" applyFont="1" applyFill="1" applyBorder="1" applyAlignment="1" applyProtection="1">
      <alignment horizontal="right"/>
      <protection locked="0"/>
    </xf>
    <xf numFmtId="1" fontId="6" fillId="15" borderId="51" xfId="124" applyNumberFormat="1" applyFont="1" applyFill="1" applyBorder="1" applyAlignment="1" applyProtection="1">
      <alignment horizontal="right"/>
      <protection locked="0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53" xfId="124" applyNumberFormat="1" applyFont="1" applyFill="1" applyBorder="1" applyAlignment="1" applyProtection="1">
      <alignment horizontal="right"/>
      <protection locked="0"/>
    </xf>
    <xf numFmtId="1" fontId="6" fillId="15" borderId="69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22" borderId="152" xfId="124" applyNumberFormat="1" applyFont="1" applyFill="1" applyBorder="1" applyAlignment="1">
      <alignment horizontal="right"/>
    </xf>
    <xf numFmtId="0" fontId="6" fillId="0" borderId="152" xfId="0" applyFont="1" applyBorder="1" applyAlignment="1">
      <alignment horizontal="center" vertical="center"/>
    </xf>
    <xf numFmtId="1" fontId="6" fillId="0" borderId="152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72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8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114" xfId="124" applyNumberFormat="1" applyFont="1" applyBorder="1" applyAlignment="1">
      <alignment horizontal="center" vertical="center" wrapText="1"/>
    </xf>
    <xf numFmtId="1" fontId="6" fillId="0" borderId="60" xfId="124" applyNumberFormat="1" applyFont="1" applyBorder="1" applyAlignment="1">
      <alignment horizontal="center" vertical="center" wrapText="1"/>
    </xf>
    <xf numFmtId="1" fontId="6" fillId="0" borderId="97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51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7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6" xfId="0" applyFont="1" applyBorder="1"/>
    <xf numFmtId="1" fontId="6" fillId="20" borderId="23" xfId="72" applyNumberFormat="1" applyFont="1" applyFill="1" applyBorder="1" applyAlignment="1" applyProtection="1">
      <alignment horizontal="right"/>
    </xf>
    <xf numFmtId="1" fontId="6" fillId="20" borderId="24" xfId="72" applyNumberFormat="1" applyFont="1" applyFill="1" applyBorder="1" applyAlignment="1" applyProtection="1">
      <alignment horizontal="right"/>
    </xf>
    <xf numFmtId="1" fontId="6" fillId="20" borderId="49" xfId="72" applyNumberFormat="1" applyFont="1" applyFill="1" applyBorder="1" applyAlignment="1" applyProtection="1">
      <alignment horizontal="right"/>
    </xf>
    <xf numFmtId="1" fontId="6" fillId="0" borderId="152" xfId="0" applyNumberFormat="1" applyFont="1" applyBorder="1" applyAlignment="1">
      <alignment horizontal="center" vertical="center"/>
    </xf>
    <xf numFmtId="1" fontId="6" fillId="20" borderId="47" xfId="0" applyNumberFormat="1" applyFont="1" applyFill="1" applyBorder="1" applyAlignment="1">
      <alignment horizontal="right"/>
    </xf>
    <xf numFmtId="1" fontId="6" fillId="20" borderId="48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0" borderId="152" xfId="125" applyNumberFormat="1" applyFont="1" applyBorder="1" applyAlignment="1">
      <alignment horizontal="center" vertical="center"/>
    </xf>
    <xf numFmtId="1" fontId="6" fillId="23" borderId="119" xfId="125" applyNumberFormat="1" applyFont="1" applyFill="1" applyBorder="1" applyAlignment="1" applyProtection="1">
      <alignment horizontal="right"/>
      <protection locked="0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15" borderId="63" xfId="125" applyNumberFormat="1" applyFont="1" applyFill="1" applyBorder="1" applyAlignment="1" applyProtection="1">
      <alignment horizontal="right"/>
      <protection locked="0"/>
    </xf>
    <xf numFmtId="1" fontId="6" fillId="15" borderId="24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15" borderId="114" xfId="125" applyNumberFormat="1" applyFont="1" applyFill="1" applyBorder="1" applyAlignment="1" applyProtection="1">
      <alignment horizontal="right"/>
      <protection locked="0"/>
    </xf>
    <xf numFmtId="1" fontId="6" fillId="20" borderId="98" xfId="0" applyNumberFormat="1" applyFont="1" applyFill="1" applyBorder="1" applyAlignment="1">
      <alignment horizontal="right"/>
    </xf>
    <xf numFmtId="1" fontId="6" fillId="20" borderId="88" xfId="0" applyNumberFormat="1" applyFont="1" applyFill="1" applyBorder="1" applyAlignment="1">
      <alignment horizontal="right"/>
    </xf>
    <xf numFmtId="1" fontId="6" fillId="20" borderId="125" xfId="0" applyNumberFormat="1" applyFont="1" applyFill="1" applyBorder="1" applyAlignment="1">
      <alignment horizontal="right"/>
    </xf>
    <xf numFmtId="1" fontId="6" fillId="0" borderId="151" xfId="0" applyNumberFormat="1" applyFont="1" applyBorder="1" applyAlignment="1">
      <alignment horizontal="center" vertical="center" wrapText="1"/>
    </xf>
    <xf numFmtId="1" fontId="6" fillId="20" borderId="114" xfId="0" applyNumberFormat="1" applyFont="1" applyFill="1" applyBorder="1" applyAlignment="1">
      <alignment horizontal="right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6" xfId="0" applyNumberFormat="1" applyFont="1" applyFill="1" applyBorder="1" applyAlignment="1" applyProtection="1">
      <alignment horizontal="right"/>
      <protection locked="0"/>
    </xf>
    <xf numFmtId="1" fontId="6" fillId="17" borderId="54" xfId="0" applyNumberFormat="1" applyFont="1" applyFill="1" applyBorder="1" applyAlignment="1" applyProtection="1">
      <alignment vertical="center" wrapText="1"/>
      <protection hidden="1"/>
    </xf>
    <xf numFmtId="1" fontId="6" fillId="22" borderId="61" xfId="0" applyNumberFormat="1" applyFont="1" applyFill="1" applyBorder="1" applyAlignment="1">
      <alignment horizontal="center" vertical="center" wrapText="1"/>
    </xf>
    <xf numFmtId="1" fontId="6" fillId="15" borderId="56" xfId="171" applyNumberFormat="1" applyFont="1" applyFill="1" applyBorder="1" applyAlignment="1">
      <alignment horizontal="right"/>
      <protection locked="0"/>
    </xf>
    <xf numFmtId="1" fontId="6" fillId="15" borderId="151" xfId="171" applyNumberFormat="1" applyFont="1" applyFill="1" applyBorder="1" applyAlignment="1">
      <alignment horizontal="right"/>
      <protection locked="0"/>
    </xf>
    <xf numFmtId="1" fontId="6" fillId="15" borderId="152" xfId="171" applyNumberFormat="1" applyFont="1" applyFill="1" applyBorder="1" applyAlignment="1">
      <alignment horizontal="right"/>
      <protection locked="0"/>
    </xf>
    <xf numFmtId="1" fontId="6" fillId="15" borderId="113" xfId="0" applyNumberFormat="1" applyFont="1" applyFill="1" applyBorder="1" applyAlignment="1" applyProtection="1">
      <alignment horizontal="right"/>
      <protection locked="0"/>
    </xf>
    <xf numFmtId="1" fontId="6" fillId="15" borderId="111" xfId="0" applyNumberFormat="1" applyFont="1" applyFill="1" applyBorder="1" applyAlignment="1" applyProtection="1">
      <alignment horizontal="right"/>
      <protection locked="0"/>
    </xf>
    <xf numFmtId="1" fontId="6" fillId="15" borderId="123" xfId="0" applyNumberFormat="1" applyFont="1" applyFill="1" applyBorder="1" applyAlignment="1" applyProtection="1">
      <alignment horizontal="right"/>
      <protection locked="0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0" borderId="168" xfId="0" applyNumberFormat="1" applyFont="1" applyBorder="1" applyAlignment="1">
      <alignment horizontal="right"/>
    </xf>
    <xf numFmtId="1" fontId="6" fillId="15" borderId="111" xfId="0" quotePrefix="1" applyNumberFormat="1" applyFont="1" applyFill="1" applyBorder="1" applyAlignment="1" applyProtection="1">
      <alignment horizontal="right"/>
      <protection locked="0"/>
    </xf>
    <xf numFmtId="1" fontId="6" fillId="15" borderId="113" xfId="0" quotePrefix="1" applyNumberFormat="1" applyFont="1" applyFill="1" applyBorder="1" applyAlignment="1" applyProtection="1">
      <alignment horizontal="right"/>
      <protection locked="0"/>
    </xf>
    <xf numFmtId="1" fontId="6" fillId="15" borderId="38" xfId="0" quotePrefix="1" applyNumberFormat="1" applyFont="1" applyFill="1" applyBorder="1" applyAlignment="1" applyProtection="1">
      <alignment horizontal="right"/>
      <protection locked="0"/>
    </xf>
    <xf numFmtId="1" fontId="6" fillId="15" borderId="45" xfId="0" quotePrefix="1" applyNumberFormat="1" applyFont="1" applyFill="1" applyBorder="1" applyAlignment="1" applyProtection="1">
      <alignment horizontal="right"/>
      <protection locked="0"/>
    </xf>
    <xf numFmtId="1" fontId="6" fillId="0" borderId="161" xfId="0" applyNumberFormat="1" applyFont="1" applyBorder="1" applyAlignment="1">
      <alignment horizontal="right"/>
    </xf>
    <xf numFmtId="1" fontId="6" fillId="15" borderId="67" xfId="0" quotePrefix="1" applyNumberFormat="1" applyFont="1" applyFill="1" applyBorder="1" applyAlignment="1" applyProtection="1">
      <alignment horizontal="right"/>
      <protection locked="0"/>
    </xf>
    <xf numFmtId="1" fontId="6" fillId="15" borderId="68" xfId="0" quotePrefix="1" applyNumberFormat="1" applyFont="1" applyFill="1" applyBorder="1" applyAlignment="1" applyProtection="1">
      <alignment horizontal="right"/>
      <protection locked="0"/>
    </xf>
    <xf numFmtId="1" fontId="6" fillId="15" borderId="59" xfId="0" quotePrefix="1" applyNumberFormat="1" applyFont="1" applyFill="1" applyBorder="1" applyAlignment="1" applyProtection="1">
      <alignment horizontal="right"/>
      <protection locked="0"/>
    </xf>
    <xf numFmtId="1" fontId="6" fillId="15" borderId="47" xfId="0" quotePrefix="1" applyNumberFormat="1" applyFont="1" applyFill="1" applyBorder="1" applyAlignment="1" applyProtection="1">
      <alignment horizontal="right"/>
      <protection locked="0"/>
    </xf>
    <xf numFmtId="1" fontId="6" fillId="15" borderId="62" xfId="0" quotePrefix="1" applyNumberFormat="1" applyFont="1" applyFill="1" applyBorder="1" applyAlignment="1" applyProtection="1">
      <alignment horizontal="right"/>
      <protection locked="0"/>
    </xf>
    <xf numFmtId="1" fontId="6" fillId="0" borderId="169" xfId="125" applyNumberFormat="1" applyFont="1" applyBorder="1" applyAlignment="1">
      <alignment horizontal="right"/>
    </xf>
    <xf numFmtId="1" fontId="6" fillId="0" borderId="152" xfId="125" applyNumberFormat="1" applyFont="1" applyBorder="1" applyAlignment="1">
      <alignment horizontal="right"/>
    </xf>
    <xf numFmtId="1" fontId="6" fillId="0" borderId="57" xfId="125" applyNumberFormat="1" applyFont="1" applyBorder="1" applyAlignment="1">
      <alignment horizontal="right"/>
    </xf>
    <xf numFmtId="1" fontId="6" fillId="0" borderId="57" xfId="125" applyNumberFormat="1" applyFont="1" applyBorder="1" applyAlignment="1" applyProtection="1">
      <alignment horizontal="center" vertical="center"/>
      <protection hidden="1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23" borderId="95" xfId="125" applyNumberFormat="1" applyFont="1" applyFill="1" applyBorder="1" applyAlignment="1" applyProtection="1">
      <alignment horizontal="right"/>
      <protection locked="0"/>
    </xf>
    <xf numFmtId="1" fontId="6" fillId="23" borderId="96" xfId="125" applyNumberFormat="1" applyFont="1" applyFill="1" applyBorder="1" applyAlignment="1" applyProtection="1">
      <alignment horizontal="right"/>
      <protection locked="0"/>
    </xf>
    <xf numFmtId="1" fontId="6" fillId="23" borderId="152" xfId="125" applyNumberFormat="1" applyFont="1" applyFill="1" applyBorder="1" applyAlignment="1" applyProtection="1">
      <alignment horizontal="right"/>
      <protection locked="0"/>
    </xf>
    <xf numFmtId="1" fontId="6" fillId="20" borderId="47" xfId="125" applyNumberFormat="1" applyFont="1" applyFill="1" applyBorder="1" applyAlignment="1" applyProtection="1">
      <alignment horizontal="right"/>
      <protection locked="0"/>
    </xf>
    <xf numFmtId="1" fontId="6" fillId="20" borderId="62" xfId="125" applyNumberFormat="1" applyFont="1" applyFill="1" applyBorder="1" applyAlignment="1" applyProtection="1">
      <alignment horizontal="right"/>
      <protection locked="0"/>
    </xf>
    <xf numFmtId="1" fontId="6" fillId="20" borderId="67" xfId="125" applyNumberFormat="1" applyFont="1" applyFill="1" applyBorder="1" applyAlignment="1" applyProtection="1">
      <alignment horizontal="right"/>
      <protection locked="0"/>
    </xf>
    <xf numFmtId="1" fontId="6" fillId="20" borderId="68" xfId="125" applyNumberFormat="1" applyFont="1" applyFill="1" applyBorder="1" applyAlignment="1" applyProtection="1">
      <alignment horizontal="right"/>
      <protection locked="0"/>
    </xf>
    <xf numFmtId="1" fontId="6" fillId="20" borderId="58" xfId="125" applyNumberFormat="1" applyFont="1" applyFill="1" applyBorder="1" applyAlignment="1" applyProtection="1">
      <alignment horizontal="right"/>
      <protection locked="0"/>
    </xf>
    <xf numFmtId="1" fontId="6" fillId="20" borderId="59" xfId="125" applyNumberFormat="1" applyFont="1" applyFill="1" applyBorder="1" applyAlignment="1" applyProtection="1">
      <alignment horizontal="right"/>
      <protection locked="0"/>
    </xf>
    <xf numFmtId="0" fontId="29" fillId="0" borderId="151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8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2" xfId="0" applyNumberFormat="1" applyFont="1" applyFill="1" applyBorder="1" applyAlignment="1">
      <alignment horizontal="left" vertical="center" wrapText="1"/>
    </xf>
    <xf numFmtId="1" fontId="6" fillId="17" borderId="6" xfId="0" applyNumberFormat="1" applyFont="1" applyFill="1" applyBorder="1" applyAlignment="1">
      <alignment horizontal="left" vertical="center" wrapText="1"/>
    </xf>
    <xf numFmtId="1" fontId="6" fillId="0" borderId="17" xfId="124" applyNumberFormat="1" applyFont="1" applyBorder="1" applyAlignment="1">
      <alignment horizontal="left" vertical="center" wrapText="1"/>
    </xf>
    <xf numFmtId="1" fontId="6" fillId="0" borderId="22" xfId="124" applyNumberFormat="1" applyFont="1" applyBorder="1" applyAlignment="1">
      <alignment horizontal="left" vertical="center" wrapText="1"/>
    </xf>
    <xf numFmtId="1" fontId="6" fillId="0" borderId="6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7" xfId="125" applyNumberFormat="1" applyFont="1" applyFill="1" applyBorder="1" applyAlignment="1">
      <alignment horizontal="right"/>
    </xf>
    <xf numFmtId="1" fontId="6" fillId="0" borderId="18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wrapText="1"/>
    </xf>
    <xf numFmtId="1" fontId="6" fillId="0" borderId="88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7" xfId="112" applyNumberFormat="1" applyFont="1" applyBorder="1" applyAlignment="1" applyProtection="1">
      <alignment horizontal="left" vertical="center" wrapText="1"/>
      <protection hidden="1"/>
    </xf>
    <xf numFmtId="1" fontId="6" fillId="0" borderId="62" xfId="45" applyNumberFormat="1" applyFont="1" applyFill="1" applyBorder="1" applyAlignment="1" applyProtection="1">
      <alignment horizontal="right"/>
    </xf>
    <xf numFmtId="1" fontId="6" fillId="23" borderId="47" xfId="45" applyNumberFormat="1" applyFont="1" applyFill="1" applyBorder="1" applyAlignment="1" applyProtection="1">
      <alignment horizontal="right"/>
      <protection locked="0"/>
    </xf>
    <xf numFmtId="1" fontId="6" fillId="23" borderId="11" xfId="45" applyNumberFormat="1" applyFont="1" applyFill="1" applyBorder="1" applyAlignment="1" applyProtection="1">
      <alignment horizontal="right"/>
      <protection locked="0"/>
    </xf>
    <xf numFmtId="1" fontId="6" fillId="23" borderId="14" xfId="45" applyNumberFormat="1" applyFont="1" applyFill="1" applyBorder="1" applyAlignment="1" applyProtection="1">
      <alignment horizontal="right"/>
      <protection locked="0"/>
    </xf>
    <xf numFmtId="1" fontId="6" fillId="0" borderId="46" xfId="112" applyNumberFormat="1" applyFont="1" applyBorder="1" applyAlignment="1" applyProtection="1">
      <alignment horizontal="left" vertical="center" wrapText="1"/>
      <protection hidden="1"/>
    </xf>
    <xf numFmtId="1" fontId="6" fillId="0" borderId="77" xfId="45" applyNumberFormat="1" applyFont="1" applyFill="1" applyBorder="1" applyAlignment="1" applyProtection="1">
      <alignment horizontal="right"/>
    </xf>
    <xf numFmtId="1" fontId="6" fillId="23" borderId="78" xfId="45" applyNumberFormat="1" applyFont="1" applyFill="1" applyBorder="1" applyAlignment="1" applyProtection="1">
      <alignment horizontal="right"/>
      <protection locked="0"/>
    </xf>
    <xf numFmtId="1" fontId="6" fillId="23" borderId="76" xfId="45" applyNumberFormat="1" applyFont="1" applyFill="1" applyBorder="1" applyAlignment="1" applyProtection="1">
      <alignment horizontal="right"/>
      <protection locked="0"/>
    </xf>
    <xf numFmtId="1" fontId="6" fillId="23" borderId="94" xfId="45" applyNumberFormat="1" applyFont="1" applyFill="1" applyBorder="1" applyAlignment="1" applyProtection="1">
      <alignment horizontal="right"/>
      <protection locked="0"/>
    </xf>
    <xf numFmtId="1" fontId="6" fillId="23" borderId="62" xfId="45" applyNumberFormat="1" applyFont="1" applyFill="1" applyBorder="1" applyAlignment="1" applyProtection="1">
      <alignment horizontal="right"/>
      <protection locked="0"/>
    </xf>
    <xf numFmtId="1" fontId="6" fillId="23" borderId="77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52" xfId="125" applyNumberFormat="1" applyFont="1" applyBorder="1" applyAlignment="1" applyProtection="1">
      <alignment horizontal="center" vertical="center" wrapText="1"/>
      <protection hidden="1"/>
    </xf>
    <xf numFmtId="1" fontId="6" fillId="0" borderId="152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6" xfId="0" applyNumberFormat="1" applyFont="1" applyFill="1" applyBorder="1" applyAlignment="1">
      <alignment wrapText="1"/>
    </xf>
    <xf numFmtId="1" fontId="6" fillId="0" borderId="80" xfId="125" applyNumberFormat="1" applyFont="1" applyBorder="1" applyAlignment="1">
      <alignment vertical="center" wrapText="1"/>
    </xf>
    <xf numFmtId="1" fontId="6" fillId="22" borderId="97" xfId="0" applyNumberFormat="1" applyFont="1" applyFill="1" applyBorder="1" applyAlignment="1">
      <alignment horizontal="center" vertical="center" wrapText="1"/>
    </xf>
    <xf numFmtId="1" fontId="6" fillId="20" borderId="58" xfId="124" applyNumberFormat="1" applyFont="1" applyFill="1" applyBorder="1" applyAlignment="1">
      <alignment horizontal="right"/>
    </xf>
    <xf numFmtId="1" fontId="6" fillId="20" borderId="16" xfId="124" applyNumberFormat="1" applyFont="1" applyFill="1" applyBorder="1" applyAlignment="1">
      <alignment horizontal="right"/>
    </xf>
    <xf numFmtId="0" fontId="6" fillId="20" borderId="95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31" xfId="125" applyNumberFormat="1" applyFont="1" applyBorder="1" applyAlignment="1" applyProtection="1">
      <alignment vertical="center"/>
      <protection hidden="1"/>
    </xf>
    <xf numFmtId="1" fontId="6" fillId="17" borderId="6" xfId="122" applyNumberFormat="1" applyFont="1" applyFill="1" applyBorder="1" applyAlignment="1">
      <alignment horizontal="left" vertical="center"/>
    </xf>
    <xf numFmtId="1" fontId="6" fillId="17" borderId="17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5" xfId="0" applyNumberFormat="1" applyFont="1" applyBorder="1" applyAlignment="1">
      <alignment horizontal="center" wrapText="1"/>
    </xf>
    <xf numFmtId="1" fontId="6" fillId="0" borderId="22" xfId="129" applyNumberFormat="1" applyFont="1" applyBorder="1" applyAlignment="1" applyProtection="1"/>
    <xf numFmtId="1" fontId="6" fillId="0" borderId="54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1" xfId="175" applyNumberFormat="1" applyFont="1" applyFill="1" applyBorder="1" applyAlignment="1">
      <alignment horizontal="right"/>
      <protection locked="0"/>
    </xf>
    <xf numFmtId="1" fontId="6" fillId="0" borderId="22" xfId="129" quotePrefix="1" applyNumberFormat="1" applyFont="1" applyBorder="1" applyAlignment="1" applyProtection="1"/>
    <xf numFmtId="1" fontId="6" fillId="0" borderId="17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7" xfId="129" applyNumberFormat="1" applyFont="1" applyBorder="1" applyAlignment="1" applyProtection="1"/>
    <xf numFmtId="1" fontId="6" fillId="20" borderId="11" xfId="122" applyNumberFormat="1" applyFont="1" applyFill="1" applyBorder="1" applyAlignment="1">
      <alignment horizontal="right"/>
    </xf>
    <xf numFmtId="1" fontId="6" fillId="20" borderId="61" xfId="122" applyNumberFormat="1" applyFont="1" applyFill="1" applyBorder="1" applyAlignment="1">
      <alignment horizontal="right"/>
    </xf>
    <xf numFmtId="1" fontId="6" fillId="17" borderId="18" xfId="122" applyNumberFormat="1" applyFont="1" applyFill="1" applyBorder="1" applyAlignment="1">
      <alignment horizontal="right"/>
    </xf>
    <xf numFmtId="1" fontId="6" fillId="17" borderId="61" xfId="122" applyNumberFormat="1" applyFont="1" applyFill="1" applyBorder="1" applyAlignment="1">
      <alignment horizontal="right"/>
    </xf>
    <xf numFmtId="1" fontId="6" fillId="17" borderId="54" xfId="122" applyNumberFormat="1" applyFont="1" applyFill="1" applyBorder="1" applyAlignment="1">
      <alignment horizontal="right"/>
    </xf>
    <xf numFmtId="1" fontId="6" fillId="17" borderId="46" xfId="122" applyNumberFormat="1" applyFont="1" applyFill="1" applyBorder="1" applyAlignment="1">
      <alignment horizontal="right"/>
    </xf>
    <xf numFmtId="1" fontId="6" fillId="17" borderId="6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0" borderId="18" xfId="124" applyNumberFormat="1" applyFont="1" applyBorder="1" applyAlignment="1">
      <alignment horizontal="right"/>
    </xf>
    <xf numFmtId="1" fontId="6" fillId="0" borderId="23" xfId="124" applyNumberFormat="1" applyFont="1" applyBorder="1" applyAlignment="1">
      <alignment horizontal="right"/>
    </xf>
    <xf numFmtId="1" fontId="6" fillId="0" borderId="76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 vertical="center"/>
    </xf>
    <xf numFmtId="1" fontId="6" fillId="0" borderId="17" xfId="124" applyNumberFormat="1" applyFont="1" applyBorder="1" applyAlignment="1">
      <alignment horizontal="right" vertical="center"/>
    </xf>
    <xf numFmtId="1" fontId="6" fillId="0" borderId="46" xfId="124" applyNumberFormat="1" applyFont="1" applyBorder="1" applyAlignment="1">
      <alignment horizontal="right" vertical="center"/>
    </xf>
    <xf numFmtId="1" fontId="6" fillId="0" borderId="54" xfId="125" applyNumberFormat="1" applyFont="1" applyBorder="1" applyAlignment="1">
      <alignment horizontal="right"/>
    </xf>
    <xf numFmtId="1" fontId="6" fillId="0" borderId="46" xfId="125" applyNumberFormat="1" applyFont="1" applyBorder="1" applyAlignment="1">
      <alignment horizontal="right"/>
    </xf>
    <xf numFmtId="1" fontId="6" fillId="0" borderId="6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32" xfId="125" applyNumberFormat="1" applyFont="1" applyBorder="1" applyAlignment="1">
      <alignment horizontal="right"/>
    </xf>
    <xf numFmtId="1" fontId="6" fillId="0" borderId="22" xfId="125" applyNumberFormat="1" applyFont="1" applyBorder="1" applyAlignment="1">
      <alignment horizontal="right"/>
    </xf>
    <xf numFmtId="1" fontId="6" fillId="0" borderId="11" xfId="45" applyNumberFormat="1" applyFont="1" applyFill="1" applyBorder="1" applyAlignment="1" applyProtection="1">
      <alignment horizontal="right"/>
    </xf>
    <xf numFmtId="1" fontId="6" fillId="0" borderId="76" xfId="45" applyNumberFormat="1" applyFont="1" applyFill="1" applyBorder="1" applyAlignment="1" applyProtection="1">
      <alignment horizontal="right"/>
    </xf>
    <xf numFmtId="1" fontId="6" fillId="0" borderId="17" xfId="112" applyNumberFormat="1" applyFont="1" applyBorder="1" applyAlignment="1" applyProtection="1">
      <alignment horizontal="right" wrapText="1"/>
      <protection hidden="1"/>
    </xf>
    <xf numFmtId="1" fontId="6" fillId="0" borderId="46" xfId="112" applyNumberFormat="1" applyFont="1" applyBorder="1" applyAlignment="1" applyProtection="1">
      <alignment horizontal="right" wrapText="1"/>
      <protection hidden="1"/>
    </xf>
    <xf numFmtId="1" fontId="6" fillId="0" borderId="76" xfId="0" applyNumberFormat="1" applyFont="1" applyBorder="1" applyAlignment="1">
      <alignment wrapText="1"/>
    </xf>
    <xf numFmtId="1" fontId="6" fillId="20" borderId="99" xfId="125" applyNumberFormat="1" applyFont="1" applyFill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22" xfId="126" applyNumberFormat="1" applyFont="1" applyBorder="1" applyAlignment="1">
      <alignment horizontal="right"/>
    </xf>
    <xf numFmtId="1" fontId="6" fillId="0" borderId="18" xfId="126" applyNumberFormat="1" applyFont="1" applyBorder="1" applyAlignment="1">
      <alignment horizontal="right"/>
    </xf>
    <xf numFmtId="1" fontId="6" fillId="0" borderId="11" xfId="14" applyNumberFormat="1" applyFont="1" applyFill="1" applyBorder="1" applyAlignment="1" applyProtection="1">
      <alignment horizontal="right"/>
    </xf>
    <xf numFmtId="1" fontId="6" fillId="0" borderId="23" xfId="14" applyNumberFormat="1" applyFont="1" applyFill="1" applyBorder="1" applyAlignment="1" applyProtection="1">
      <alignment horizontal="right"/>
    </xf>
    <xf numFmtId="1" fontId="6" fillId="0" borderId="27" xfId="14" applyNumberFormat="1" applyFont="1" applyFill="1" applyBorder="1" applyAlignment="1" applyProtection="1">
      <alignment horizontal="right"/>
    </xf>
    <xf numFmtId="1" fontId="6" fillId="0" borderId="54" xfId="126" applyNumberFormat="1" applyFont="1" applyBorder="1" applyAlignment="1">
      <alignment horizontal="right"/>
    </xf>
    <xf numFmtId="1" fontId="6" fillId="0" borderId="6" xfId="126" applyNumberFormat="1" applyFont="1" applyBorder="1" applyAlignment="1">
      <alignment horizontal="right"/>
    </xf>
    <xf numFmtId="1" fontId="6" fillId="0" borderId="32" xfId="126" applyNumberFormat="1" applyFont="1" applyBorder="1" applyAlignment="1">
      <alignment horizontal="right"/>
    </xf>
    <xf numFmtId="1" fontId="6" fillId="0" borderId="11" xfId="126" applyNumberFormat="1" applyFont="1" applyBorder="1" applyAlignment="1" applyProtection="1">
      <alignment horizontal="right"/>
      <protection hidden="1"/>
    </xf>
    <xf numFmtId="1" fontId="6" fillId="0" borderId="76" xfId="126" applyNumberFormat="1" applyFont="1" applyBorder="1" applyAlignment="1" applyProtection="1">
      <alignment horizontal="right"/>
      <protection hidden="1"/>
    </xf>
    <xf numFmtId="1" fontId="6" fillId="0" borderId="17" xfId="126" applyNumberFormat="1" applyFont="1" applyBorder="1" applyAlignment="1" applyProtection="1">
      <alignment horizontal="right"/>
      <protection hidden="1"/>
    </xf>
    <xf numFmtId="1" fontId="6" fillId="0" borderId="46" xfId="126" applyNumberFormat="1" applyFont="1" applyBorder="1" applyAlignment="1" applyProtection="1">
      <alignment horizontal="right"/>
      <protection hidden="1"/>
    </xf>
    <xf numFmtId="1" fontId="6" fillId="0" borderId="175" xfId="125" applyNumberFormat="1" applyFont="1" applyBorder="1" applyAlignment="1">
      <alignment horizontal="right"/>
    </xf>
    <xf numFmtId="1" fontId="6" fillId="22" borderId="11" xfId="0" applyNumberFormat="1" applyFont="1" applyFill="1" applyBorder="1" applyAlignment="1">
      <alignment horizontal="center" vertical="center"/>
    </xf>
    <xf numFmtId="1" fontId="6" fillId="22" borderId="23" xfId="0" applyNumberFormat="1" applyFont="1" applyFill="1" applyBorder="1" applyAlignment="1">
      <alignment horizontal="center" vertical="center"/>
    </xf>
    <xf numFmtId="1" fontId="6" fillId="22" borderId="61" xfId="0" applyNumberFormat="1" applyFont="1" applyFill="1" applyBorder="1" applyAlignment="1">
      <alignment horizontal="center" vertical="center"/>
    </xf>
    <xf numFmtId="1" fontId="6" fillId="22" borderId="18" xfId="0" applyNumberFormat="1" applyFont="1" applyFill="1" applyBorder="1" applyAlignment="1">
      <alignment horizontal="center" vertical="center"/>
    </xf>
    <xf numFmtId="1" fontId="6" fillId="17" borderId="17" xfId="0" applyNumberFormat="1" applyFont="1" applyFill="1" applyBorder="1" applyAlignment="1">
      <alignment horizontal="center" vertical="center" wrapText="1"/>
    </xf>
    <xf numFmtId="1" fontId="6" fillId="17" borderId="22" xfId="0" applyNumberFormat="1" applyFont="1" applyFill="1" applyBorder="1" applyAlignment="1">
      <alignment horizontal="center" vertical="center" wrapText="1"/>
    </xf>
    <xf numFmtId="1" fontId="6" fillId="17" borderId="6" xfId="0" applyNumberFormat="1" applyFont="1" applyFill="1" applyBorder="1" applyAlignment="1">
      <alignment horizontal="center" vertical="center" wrapText="1"/>
    </xf>
    <xf numFmtId="1" fontId="6" fillId="17" borderId="54" xfId="0" applyNumberFormat="1" applyFont="1" applyFill="1" applyBorder="1" applyAlignment="1">
      <alignment horizontal="center" vertical="center" wrapText="1"/>
    </xf>
    <xf numFmtId="1" fontId="6" fillId="0" borderId="56" xfId="125" applyNumberFormat="1" applyFont="1" applyBorder="1" applyAlignment="1" applyProtection="1">
      <alignment horizontal="center" vertical="center" wrapText="1"/>
      <protection hidden="1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107" xfId="0" applyNumberFormat="1" applyFont="1" applyFill="1" applyBorder="1" applyAlignment="1" applyProtection="1">
      <alignment horizontal="right"/>
      <protection locked="0"/>
    </xf>
    <xf numFmtId="1" fontId="6" fillId="0" borderId="57" xfId="0" applyNumberFormat="1" applyFont="1" applyBorder="1" applyAlignment="1">
      <alignment horizontal="right"/>
    </xf>
    <xf numFmtId="1" fontId="6" fillId="15" borderId="154" xfId="0" applyNumberFormat="1" applyFont="1" applyFill="1" applyBorder="1" applyAlignment="1" applyProtection="1">
      <alignment horizontal="right"/>
      <protection locked="0"/>
    </xf>
    <xf numFmtId="1" fontId="6" fillId="0" borderId="151" xfId="0" applyNumberFormat="1" applyFont="1" applyBorder="1" applyAlignment="1">
      <alignment horizontal="right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15" borderId="64" xfId="0" applyNumberFormat="1" applyFont="1" applyFill="1" applyBorder="1" applyAlignment="1" applyProtection="1">
      <alignment horizontal="right"/>
      <protection locked="0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125" xfId="0" applyNumberFormat="1" applyFont="1" applyFill="1" applyBorder="1" applyAlignment="1" applyProtection="1">
      <alignment horizontal="right"/>
      <protection locked="0"/>
    </xf>
    <xf numFmtId="0" fontId="6" fillId="23" borderId="75" xfId="0" applyFont="1" applyFill="1" applyBorder="1" applyAlignment="1" applyProtection="1">
      <alignment horizontal="right" vertical="center"/>
      <protection locked="0"/>
    </xf>
    <xf numFmtId="0" fontId="6" fillId="23" borderId="70" xfId="0" applyFont="1" applyFill="1" applyBorder="1" applyAlignment="1" applyProtection="1">
      <alignment horizontal="right" vertical="center"/>
      <protection locked="0"/>
    </xf>
    <xf numFmtId="0" fontId="6" fillId="23" borderId="60" xfId="0" applyFont="1" applyFill="1" applyBorder="1" applyAlignment="1" applyProtection="1">
      <alignment horizontal="right" vertical="center"/>
      <protection locked="0"/>
    </xf>
    <xf numFmtId="0" fontId="6" fillId="0" borderId="57" xfId="0" applyFont="1" applyBorder="1" applyAlignment="1">
      <alignment horizontal="right" vertical="center"/>
    </xf>
    <xf numFmtId="0" fontId="6" fillId="23" borderId="57" xfId="0" applyFont="1" applyFill="1" applyBorder="1" applyAlignment="1" applyProtection="1">
      <alignment horizontal="right" vertical="center"/>
      <protection locked="0"/>
    </xf>
    <xf numFmtId="0" fontId="6" fillId="23" borderId="47" xfId="0" applyFont="1" applyFill="1" applyBorder="1" applyAlignment="1" applyProtection="1">
      <alignment horizontal="right" vertical="center"/>
      <protection locked="0"/>
    </xf>
    <xf numFmtId="0" fontId="6" fillId="23" borderId="48" xfId="0" applyFont="1" applyFill="1" applyBorder="1" applyAlignment="1" applyProtection="1">
      <alignment horizontal="right" vertical="center"/>
      <protection locked="0"/>
    </xf>
    <xf numFmtId="0" fontId="6" fillId="23" borderId="58" xfId="0" applyFont="1" applyFill="1" applyBorder="1" applyAlignment="1" applyProtection="1">
      <alignment horizontal="right" vertical="center"/>
      <protection locked="0"/>
    </xf>
    <xf numFmtId="0" fontId="6" fillId="23" borderId="39" xfId="0" applyFont="1" applyFill="1" applyBorder="1" applyAlignment="1" applyProtection="1">
      <alignment horizontal="right" vertical="center"/>
      <protection locked="0"/>
    </xf>
    <xf numFmtId="0" fontId="6" fillId="23" borderId="42" xfId="0" applyFont="1" applyFill="1" applyBorder="1" applyAlignment="1" applyProtection="1">
      <alignment horizontal="right" vertical="center"/>
      <protection locked="0"/>
    </xf>
    <xf numFmtId="0" fontId="6" fillId="23" borderId="108" xfId="0" applyFont="1" applyFill="1" applyBorder="1" applyAlignment="1" applyProtection="1">
      <alignment horizontal="right" vertical="center"/>
      <protection locked="0"/>
    </xf>
    <xf numFmtId="0" fontId="6" fillId="23" borderId="12" xfId="0" applyFont="1" applyFill="1" applyBorder="1" applyAlignment="1" applyProtection="1">
      <alignment horizontal="right" vertical="center"/>
      <protection locked="0"/>
    </xf>
    <xf numFmtId="0" fontId="6" fillId="23" borderId="8" xfId="0" applyFont="1" applyFill="1" applyBorder="1" applyAlignment="1" applyProtection="1">
      <alignment horizontal="right" vertical="center"/>
      <protection locked="0"/>
    </xf>
    <xf numFmtId="0" fontId="6" fillId="23" borderId="97" xfId="0" applyFont="1" applyFill="1" applyBorder="1" applyAlignment="1" applyProtection="1">
      <alignment horizontal="right" vertical="center"/>
      <protection locked="0"/>
    </xf>
    <xf numFmtId="0" fontId="6" fillId="0" borderId="57" xfId="0" applyFont="1" applyBorder="1" applyAlignment="1">
      <alignment horizontal="right" vertical="center" wrapText="1"/>
    </xf>
    <xf numFmtId="0" fontId="6" fillId="0" borderId="151" xfId="0" applyFont="1" applyBorder="1" applyAlignment="1">
      <alignment horizontal="right" vertical="center"/>
    </xf>
    <xf numFmtId="0" fontId="6" fillId="20" borderId="57" xfId="0" applyFont="1" applyFill="1" applyBorder="1" applyAlignment="1">
      <alignment horizontal="right" vertical="center" wrapText="1"/>
    </xf>
    <xf numFmtId="0" fontId="6" fillId="23" borderId="151" xfId="0" applyFont="1" applyFill="1" applyBorder="1" applyAlignment="1" applyProtection="1">
      <alignment horizontal="right" vertical="center"/>
      <protection locked="0"/>
    </xf>
    <xf numFmtId="1" fontId="6" fillId="0" borderId="151" xfId="0" applyNumberFormat="1" applyFont="1" applyBorder="1" applyAlignment="1" applyProtection="1">
      <alignment horizontal="center" vertical="center" wrapText="1"/>
      <protection hidden="1"/>
    </xf>
    <xf numFmtId="1" fontId="6" fillId="17" borderId="151" xfId="0" applyNumberFormat="1" applyFont="1" applyFill="1" applyBorder="1" applyAlignment="1">
      <alignment horizontal="right"/>
    </xf>
    <xf numFmtId="1" fontId="6" fillId="0" borderId="152" xfId="0" applyNumberFormat="1" applyFont="1" applyBorder="1" applyAlignment="1" applyProtection="1">
      <alignment horizontal="center" vertical="center" wrapText="1"/>
      <protection hidden="1"/>
    </xf>
    <xf numFmtId="0" fontId="6" fillId="0" borderId="151" xfId="0" applyFont="1" applyBorder="1" applyAlignment="1">
      <alignment horizontal="right"/>
    </xf>
    <xf numFmtId="0" fontId="6" fillId="0" borderId="152" xfId="0" applyFont="1" applyBorder="1" applyAlignment="1">
      <alignment horizontal="right"/>
    </xf>
    <xf numFmtId="1" fontId="6" fillId="0" borderId="151" xfId="124" applyNumberFormat="1" applyFont="1" applyBorder="1" applyAlignment="1">
      <alignment horizontal="right"/>
    </xf>
    <xf numFmtId="1" fontId="6" fillId="22" borderId="151" xfId="124" applyNumberFormat="1" applyFont="1" applyFill="1" applyBorder="1" applyAlignment="1">
      <alignment horizontal="right"/>
    </xf>
    <xf numFmtId="1" fontId="6" fillId="17" borderId="152" xfId="0" applyNumberFormat="1" applyFont="1" applyFill="1" applyBorder="1" applyAlignment="1">
      <alignment horizontal="center" vertical="center"/>
    </xf>
    <xf numFmtId="1" fontId="6" fillId="0" borderId="152" xfId="126" applyNumberFormat="1" applyFont="1" applyBorder="1" applyAlignment="1" applyProtection="1">
      <alignment horizontal="center" vertical="center" wrapText="1"/>
      <protection hidden="1"/>
    </xf>
    <xf numFmtId="1" fontId="6" fillId="0" borderId="152" xfId="126" applyNumberFormat="1" applyFont="1" applyBorder="1" applyAlignment="1">
      <alignment horizontal="right"/>
    </xf>
    <xf numFmtId="1" fontId="6" fillId="0" borderId="152" xfId="14" applyNumberFormat="1" applyFont="1" applyFill="1" applyBorder="1" applyAlignment="1" applyProtection="1">
      <alignment horizontal="right"/>
    </xf>
    <xf numFmtId="1" fontId="6" fillId="0" borderId="152" xfId="126" applyNumberFormat="1" applyFont="1" applyBorder="1" applyAlignment="1" applyProtection="1">
      <alignment horizontal="center" vertical="center"/>
      <protection hidden="1"/>
    </xf>
    <xf numFmtId="1" fontId="6" fillId="15" borderId="152" xfId="14" applyNumberFormat="1" applyFont="1" applyFill="1" applyBorder="1" applyAlignment="1">
      <alignment horizontal="right"/>
      <protection locked="0"/>
    </xf>
    <xf numFmtId="1" fontId="6" fillId="23" borderId="152" xfId="45" applyNumberFormat="1" applyFont="1" applyFill="1" applyBorder="1" applyAlignment="1" applyProtection="1">
      <alignment horizontal="right"/>
      <protection locked="0"/>
    </xf>
    <xf numFmtId="1" fontId="6" fillId="0" borderId="152" xfId="125" applyNumberFormat="1" applyFont="1" applyBorder="1" applyAlignment="1" applyProtection="1">
      <alignment horizontal="right" wrapText="1"/>
      <protection hidden="1"/>
    </xf>
    <xf numFmtId="1" fontId="6" fillId="15" borderId="152" xfId="72" applyNumberFormat="1" applyFont="1" applyFill="1" applyBorder="1" applyAlignment="1" applyProtection="1">
      <alignment horizontal="right"/>
      <protection locked="0"/>
    </xf>
    <xf numFmtId="1" fontId="6" fillId="17" borderId="152" xfId="108" applyNumberFormat="1" applyFont="1" applyFill="1" applyBorder="1" applyAlignment="1">
      <alignment horizontal="right" wrapText="1"/>
    </xf>
    <xf numFmtId="1" fontId="6" fillId="0" borderId="182" xfId="0" applyNumberFormat="1" applyFont="1" applyBorder="1"/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>
      <alignment horizontal="right"/>
    </xf>
    <xf numFmtId="1" fontId="6" fillId="17" borderId="5" xfId="0" applyNumberFormat="1" applyFont="1" applyFill="1" applyBorder="1" applyAlignment="1">
      <alignment horizontal="right"/>
    </xf>
    <xf numFmtId="1" fontId="10" fillId="0" borderId="178" xfId="0" applyNumberFormat="1" applyFont="1" applyBorder="1" applyProtection="1">
      <protection hidden="1"/>
    </xf>
    <xf numFmtId="1" fontId="6" fillId="0" borderId="184" xfId="0" applyNumberFormat="1" applyFont="1" applyBorder="1" applyAlignment="1" applyProtection="1">
      <alignment horizontal="center" vertical="center" wrapText="1"/>
      <protection hidden="1"/>
    </xf>
    <xf numFmtId="0" fontId="6" fillId="0" borderId="5" xfId="0" applyFont="1" applyBorder="1" applyAlignment="1">
      <alignment horizontal="right"/>
    </xf>
    <xf numFmtId="0" fontId="6" fillId="0" borderId="5" xfId="0" applyFont="1" applyBorder="1" applyAlignment="1">
      <alignment horizontal="right" vertical="center"/>
    </xf>
    <xf numFmtId="0" fontId="6" fillId="23" borderId="5" xfId="0" applyFont="1" applyFill="1" applyBorder="1" applyAlignment="1" applyProtection="1">
      <alignment horizontal="right" vertical="center"/>
      <protection locked="0"/>
    </xf>
    <xf numFmtId="1" fontId="6" fillId="0" borderId="5" xfId="124" applyNumberFormat="1" applyFont="1" applyBorder="1" applyAlignment="1">
      <alignment horizontal="center" vertical="center" wrapText="1"/>
    </xf>
    <xf numFmtId="1" fontId="6" fillId="15" borderId="5" xfId="124" applyNumberFormat="1" applyFont="1" applyFill="1" applyBorder="1" applyAlignment="1" applyProtection="1">
      <alignment horizontal="right"/>
      <protection locked="0"/>
    </xf>
    <xf numFmtId="1" fontId="6" fillId="0" borderId="5" xfId="124" applyNumberFormat="1" applyFont="1" applyBorder="1" applyAlignment="1">
      <alignment horizontal="right"/>
    </xf>
    <xf numFmtId="1" fontId="6" fillId="0" borderId="182" xfId="124" applyNumberFormat="1" applyFont="1" applyBorder="1" applyAlignment="1">
      <alignment horizontal="right"/>
    </xf>
    <xf numFmtId="1" fontId="6" fillId="22" borderId="5" xfId="124" applyNumberFormat="1" applyFont="1" applyFill="1" applyBorder="1" applyAlignment="1">
      <alignment horizontal="right"/>
    </xf>
    <xf numFmtId="1" fontId="6" fillId="22" borderId="182" xfId="124" applyNumberFormat="1" applyFont="1" applyFill="1" applyBorder="1" applyAlignment="1">
      <alignment horizontal="right"/>
    </xf>
    <xf numFmtId="1" fontId="6" fillId="0" borderId="181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right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185" xfId="124" applyNumberFormat="1" applyFont="1" applyBorder="1" applyAlignment="1">
      <alignment horizontal="center" vertical="center" wrapText="1"/>
    </xf>
    <xf numFmtId="1" fontId="6" fillId="0" borderId="187" xfId="124" applyNumberFormat="1" applyFont="1" applyBorder="1" applyAlignment="1">
      <alignment horizontal="center" vertical="center" wrapText="1"/>
    </xf>
    <xf numFmtId="1" fontId="6" fillId="0" borderId="184" xfId="124" applyNumberFormat="1" applyFont="1" applyBorder="1" applyAlignment="1">
      <alignment horizontal="center" vertical="center" wrapText="1"/>
    </xf>
    <xf numFmtId="1" fontId="6" fillId="0" borderId="186" xfId="0" applyNumberFormat="1" applyFont="1" applyBorder="1" applyAlignment="1">
      <alignment horizontal="center" vertical="center"/>
    </xf>
    <xf numFmtId="1" fontId="6" fillId="0" borderId="181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23" borderId="5" xfId="124" applyNumberFormat="1" applyFont="1" applyFill="1" applyBorder="1" applyAlignment="1" applyProtection="1">
      <alignment horizontal="right"/>
      <protection locked="0"/>
    </xf>
    <xf numFmtId="1" fontId="6" fillId="23" borderId="182" xfId="124" applyNumberFormat="1" applyFont="1" applyFill="1" applyBorder="1" applyAlignment="1" applyProtection="1">
      <alignment horizontal="right"/>
      <protection locked="0"/>
    </xf>
    <xf numFmtId="1" fontId="6" fillId="0" borderId="179" xfId="124" applyNumberFormat="1" applyFont="1" applyBorder="1" applyAlignment="1">
      <alignment horizontal="center"/>
    </xf>
    <xf numFmtId="1" fontId="6" fillId="0" borderId="185" xfId="124" applyNumberFormat="1" applyFont="1" applyBorder="1" applyAlignment="1">
      <alignment horizontal="right"/>
    </xf>
    <xf numFmtId="1" fontId="6" fillId="0" borderId="186" xfId="124" applyNumberFormat="1" applyFont="1" applyBorder="1" applyAlignment="1">
      <alignment horizontal="right"/>
    </xf>
    <xf numFmtId="1" fontId="6" fillId="0" borderId="189" xfId="124" applyNumberFormat="1" applyFont="1" applyBorder="1" applyAlignment="1">
      <alignment horizontal="right"/>
    </xf>
    <xf numFmtId="1" fontId="6" fillId="0" borderId="181" xfId="124" applyNumberFormat="1" applyFont="1" applyBorder="1" applyAlignment="1">
      <alignment horizontal="right"/>
    </xf>
    <xf numFmtId="1" fontId="6" fillId="0" borderId="186" xfId="125" applyNumberFormat="1" applyFont="1" applyBorder="1" applyAlignment="1">
      <alignment horizontal="center" vertical="center"/>
    </xf>
    <xf numFmtId="1" fontId="6" fillId="0" borderId="184" xfId="125" applyNumberFormat="1" applyFont="1" applyBorder="1" applyAlignment="1">
      <alignment horizontal="center" vertical="center"/>
    </xf>
    <xf numFmtId="1" fontId="6" fillId="0" borderId="185" xfId="125" applyNumberFormat="1" applyFont="1" applyBorder="1" applyAlignment="1">
      <alignment horizontal="center" vertical="center"/>
    </xf>
    <xf numFmtId="1" fontId="6" fillId="0" borderId="185" xfId="125" applyNumberFormat="1" applyFont="1" applyBorder="1" applyAlignment="1" applyProtection="1">
      <alignment horizontal="center" vertical="center"/>
      <protection hidden="1"/>
    </xf>
    <xf numFmtId="1" fontId="6" fillId="0" borderId="184" xfId="125" applyNumberFormat="1" applyFont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>
      <alignment horizontal="center" vertical="center"/>
    </xf>
    <xf numFmtId="1" fontId="6" fillId="0" borderId="5" xfId="108" applyNumberFormat="1" applyFont="1" applyBorder="1" applyAlignment="1">
      <alignment horizontal="center" vertical="center" wrapText="1"/>
    </xf>
    <xf numFmtId="1" fontId="6" fillId="15" borderId="5" xfId="171" applyNumberFormat="1" applyFont="1" applyFill="1" applyBorder="1" applyAlignment="1">
      <alignment horizontal="right"/>
      <protection locked="0"/>
    </xf>
    <xf numFmtId="1" fontId="6" fillId="0" borderId="179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>
      <alignment horizontal="center" vertical="center"/>
    </xf>
    <xf numFmtId="1" fontId="6" fillId="0" borderId="5" xfId="125" applyNumberFormat="1" applyFont="1" applyBorder="1" applyAlignment="1" applyProtection="1">
      <alignment horizontal="center" vertical="center"/>
      <protection hidden="1"/>
    </xf>
    <xf numFmtId="1" fontId="6" fillId="0" borderId="5" xfId="125" applyNumberFormat="1" applyFont="1" applyBorder="1" applyAlignment="1">
      <alignment horizontal="right"/>
    </xf>
    <xf numFmtId="1" fontId="6" fillId="0" borderId="182" xfId="125" applyNumberFormat="1" applyFont="1" applyBorder="1" applyAlignment="1">
      <alignment horizontal="right"/>
    </xf>
    <xf numFmtId="1" fontId="6" fillId="0" borderId="182" xfId="125" applyNumberFormat="1" applyFont="1" applyBorder="1" applyAlignment="1" applyProtection="1">
      <alignment horizontal="center" vertical="center"/>
      <protection hidden="1"/>
    </xf>
    <xf numFmtId="1" fontId="6" fillId="0" borderId="5" xfId="126" applyNumberFormat="1" applyFont="1" applyBorder="1" applyAlignment="1">
      <alignment horizontal="right"/>
    </xf>
    <xf numFmtId="1" fontId="6" fillId="0" borderId="5" xfId="14" applyNumberFormat="1" applyFont="1" applyFill="1" applyBorder="1" applyAlignment="1" applyProtection="1">
      <alignment horizontal="right"/>
    </xf>
    <xf numFmtId="1" fontId="4" fillId="0" borderId="182" xfId="126" applyNumberFormat="1" applyFont="1" applyBorder="1" applyProtection="1">
      <protection hidden="1"/>
    </xf>
    <xf numFmtId="1" fontId="35" fillId="0" borderId="182" xfId="14" applyNumberFormat="1" applyFont="1" applyFill="1" applyBorder="1" applyProtection="1"/>
    <xf numFmtId="1" fontId="35" fillId="0" borderId="182" xfId="0" applyNumberFormat="1" applyFont="1" applyBorder="1" applyProtection="1">
      <protection hidden="1"/>
    </xf>
    <xf numFmtId="1" fontId="35" fillId="0" borderId="182" xfId="0" applyNumberFormat="1" applyFont="1" applyBorder="1"/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6" fillId="15" borderId="5" xfId="14" applyNumberFormat="1" applyFont="1" applyFill="1" applyBorder="1" applyAlignment="1">
      <alignment horizontal="right"/>
      <protection locked="0"/>
    </xf>
    <xf numFmtId="1" fontId="6" fillId="0" borderId="179" xfId="126" applyNumberFormat="1" applyFont="1" applyBorder="1" applyAlignment="1">
      <alignment horizontal="right"/>
    </xf>
    <xf numFmtId="1" fontId="6" fillId="0" borderId="186" xfId="15" applyNumberFormat="1" applyFont="1" applyFill="1" applyBorder="1" applyAlignment="1" applyProtection="1">
      <alignment horizontal="right"/>
    </xf>
    <xf numFmtId="1" fontId="6" fillId="0" borderId="184" xfId="15" applyNumberFormat="1" applyFont="1" applyFill="1" applyBorder="1" applyAlignment="1" applyProtection="1">
      <alignment horizontal="right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33" borderId="182" xfId="125" applyNumberFormat="1" applyFont="1" applyFill="1" applyBorder="1" applyAlignment="1">
      <alignment horizontal="right"/>
    </xf>
    <xf numFmtId="1" fontId="6" fillId="22" borderId="181" xfId="0" applyNumberFormat="1" applyFont="1" applyFill="1" applyBorder="1" applyAlignment="1">
      <alignment horizontal="center" vertical="center"/>
    </xf>
    <xf numFmtId="1" fontId="6" fillId="23" borderId="5" xfId="45" applyNumberFormat="1" applyFont="1" applyFill="1" applyBorder="1" applyAlignment="1" applyProtection="1">
      <alignment horizontal="right"/>
      <protection locked="0"/>
    </xf>
    <xf numFmtId="1" fontId="6" fillId="0" borderId="185" xfId="125" applyNumberFormat="1" applyFont="1" applyBorder="1" applyAlignment="1" applyProtection="1">
      <alignment horizontal="center" vertical="center" wrapText="1"/>
      <protection hidden="1"/>
    </xf>
    <xf numFmtId="1" fontId="6" fillId="0" borderId="184" xfId="0" applyNumberFormat="1" applyFont="1" applyBorder="1" applyAlignment="1">
      <alignment horizontal="center" vertical="center"/>
    </xf>
    <xf numFmtId="1" fontId="6" fillId="0" borderId="185" xfId="108" applyNumberFormat="1" applyFont="1" applyBorder="1" applyAlignment="1">
      <alignment horizontal="center" vertical="center" wrapText="1"/>
    </xf>
    <xf numFmtId="1" fontId="6" fillId="0" borderId="184" xfId="108" applyNumberFormat="1" applyFont="1" applyBorder="1" applyAlignment="1">
      <alignment horizontal="center" vertical="center" wrapText="1"/>
    </xf>
    <xf numFmtId="1" fontId="6" fillId="0" borderId="185" xfId="126" applyNumberFormat="1" applyFont="1" applyBorder="1" applyAlignment="1" applyProtection="1">
      <alignment horizontal="center" vertical="center" wrapText="1"/>
      <protection hidden="1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22" borderId="5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15" borderId="5" xfId="80" applyNumberFormat="1" applyFont="1" applyFill="1" applyBorder="1" applyAlignment="1" applyProtection="1">
      <alignment horizontal="right"/>
      <protection locked="0"/>
    </xf>
    <xf numFmtId="1" fontId="6" fillId="0" borderId="182" xfId="125" applyNumberFormat="1" applyFont="1" applyBorder="1" applyAlignment="1" applyProtection="1">
      <alignment horizontal="center" vertical="center" wrapText="1"/>
      <protection hidden="1"/>
    </xf>
    <xf numFmtId="1" fontId="6" fillId="0" borderId="182" xfId="125" applyNumberFormat="1" applyFont="1" applyBorder="1" applyAlignment="1" applyProtection="1">
      <alignment horizontal="right" wrapText="1"/>
      <protection hidden="1"/>
    </xf>
    <xf numFmtId="1" fontId="6" fillId="15" borderId="5" xfId="72" applyNumberFormat="1" applyFont="1" applyFill="1" applyBorder="1" applyAlignment="1" applyProtection="1">
      <alignment horizontal="right"/>
      <protection locked="0"/>
    </xf>
    <xf numFmtId="1" fontId="6" fillId="0" borderId="179" xfId="124" quotePrefix="1" applyNumberFormat="1" applyFont="1" applyBorder="1"/>
    <xf numFmtId="1" fontId="6" fillId="15" borderId="194" xfId="72" applyNumberFormat="1" applyFont="1" applyFill="1" applyBorder="1" applyAlignment="1" applyProtection="1">
      <alignment horizontal="right"/>
      <protection locked="0"/>
    </xf>
    <xf numFmtId="1" fontId="6" fillId="22" borderId="181" xfId="0" applyNumberFormat="1" applyFont="1" applyFill="1" applyBorder="1" applyAlignment="1">
      <alignment horizontal="right"/>
    </xf>
    <xf numFmtId="1" fontId="6" fillId="17" borderId="186" xfId="108" applyNumberFormat="1" applyFont="1" applyFill="1" applyBorder="1" applyAlignment="1">
      <alignment horizontal="center" vertical="center" wrapText="1"/>
    </xf>
    <xf numFmtId="1" fontId="6" fillId="17" borderId="184" xfId="108" applyNumberFormat="1" applyFont="1" applyFill="1" applyBorder="1" applyAlignment="1">
      <alignment horizontal="center" vertical="center"/>
    </xf>
    <xf numFmtId="1" fontId="6" fillId="0" borderId="180" xfId="129" applyNumberFormat="1" applyFont="1" applyBorder="1" applyAlignment="1" applyProtection="1">
      <alignment horizontal="center" vertical="center" wrapText="1"/>
    </xf>
    <xf numFmtId="1" fontId="6" fillId="0" borderId="179" xfId="129" applyNumberFormat="1" applyFont="1" applyBorder="1" applyAlignment="1" applyProtection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>
      <alignment horizontal="center" vertical="center" wrapText="1"/>
    </xf>
    <xf numFmtId="0" fontId="6" fillId="0" borderId="151" xfId="0" applyFont="1" applyBorder="1" applyAlignment="1">
      <alignment horizontal="center" vertical="center" wrapText="1"/>
    </xf>
    <xf numFmtId="0" fontId="6" fillId="0" borderId="165" xfId="0" applyFont="1" applyBorder="1" applyAlignment="1">
      <alignment horizontal="center" vertical="center" wrapText="1"/>
    </xf>
    <xf numFmtId="1" fontId="6" fillId="0" borderId="144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4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46" xfId="0" applyNumberFormat="1" applyFont="1" applyBorder="1" applyAlignment="1" applyProtection="1">
      <alignment horizontal="left" wrapText="1"/>
      <protection hidden="1"/>
    </xf>
    <xf numFmtId="1" fontId="4" fillId="0" borderId="176" xfId="0" applyNumberFormat="1" applyFont="1" applyBorder="1" applyAlignment="1" applyProtection="1">
      <alignment horizontal="left"/>
      <protection hidden="1"/>
    </xf>
    <xf numFmtId="1" fontId="4" fillId="0" borderId="182" xfId="0" applyNumberFormat="1" applyFont="1" applyBorder="1" applyAlignment="1" applyProtection="1">
      <alignment horizontal="left"/>
      <protection hidden="1"/>
    </xf>
    <xf numFmtId="0" fontId="6" fillId="0" borderId="166" xfId="0" applyFont="1" applyBorder="1" applyAlignment="1">
      <alignment horizontal="center" vertical="center" wrapText="1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10" fillId="0" borderId="144" xfId="0" applyNumberFormat="1" applyFont="1" applyBorder="1"/>
    <xf numFmtId="1" fontId="6" fillId="0" borderId="52" xfId="0" applyNumberFormat="1" applyFont="1" applyBorder="1" applyAlignment="1" applyProtection="1">
      <alignment horizontal="left"/>
      <protection hidden="1"/>
    </xf>
    <xf numFmtId="1" fontId="6" fillId="0" borderId="95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7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4" fillId="0" borderId="4" xfId="125" applyNumberFormat="1" applyFont="1" applyBorder="1"/>
    <xf numFmtId="1" fontId="6" fillId="23" borderId="39" xfId="125" applyNumberFormat="1" applyFont="1" applyFill="1" applyBorder="1" applyAlignment="1" applyProtection="1">
      <alignment horizontal="right"/>
      <protection locked="0"/>
    </xf>
    <xf numFmtId="1" fontId="6" fillId="20" borderId="119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2" borderId="59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46" xfId="125" applyNumberFormat="1" applyFont="1" applyBorder="1" applyAlignment="1" applyProtection="1">
      <alignment vertical="center" wrapText="1"/>
      <protection hidden="1"/>
    </xf>
    <xf numFmtId="0" fontId="6" fillId="0" borderId="17" xfId="0" applyFont="1" applyBorder="1" applyAlignment="1">
      <alignment vertical="center" wrapText="1"/>
    </xf>
    <xf numFmtId="0" fontId="6" fillId="0" borderId="32" xfId="0" applyFont="1" applyBorder="1" applyAlignment="1">
      <alignment vertical="center" wrapText="1"/>
    </xf>
    <xf numFmtId="0" fontId="6" fillId="0" borderId="46" xfId="0" applyFont="1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22" xfId="0" applyFont="1" applyBorder="1" applyAlignment="1">
      <alignment vertical="center" wrapText="1"/>
    </xf>
    <xf numFmtId="0" fontId="6" fillId="0" borderId="51" xfId="0" applyFont="1" applyBorder="1" applyAlignment="1">
      <alignment vertical="center" wrapText="1"/>
    </xf>
    <xf numFmtId="0" fontId="6" fillId="0" borderId="14" xfId="0" applyFont="1" applyBorder="1" applyAlignment="1">
      <alignment vertical="center" wrapText="1"/>
    </xf>
    <xf numFmtId="0" fontId="6" fillId="0" borderId="52" xfId="0" applyFont="1" applyBorder="1" applyAlignment="1">
      <alignment vertical="center" wrapText="1"/>
    </xf>
    <xf numFmtId="0" fontId="6" fillId="0" borderId="26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4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10" xfId="125" applyNumberFormat="1" applyFont="1" applyBorder="1" applyAlignment="1" applyProtection="1">
      <alignment horizontal="center" vertical="center" wrapText="1"/>
      <protection hidden="1"/>
    </xf>
    <xf numFmtId="1" fontId="6" fillId="22" borderId="45" xfId="0" applyNumberFormat="1" applyFont="1" applyFill="1" applyBorder="1" applyAlignment="1">
      <alignment horizontal="center" wrapText="1"/>
    </xf>
    <xf numFmtId="1" fontId="6" fillId="15" borderId="67" xfId="80" applyNumberFormat="1" applyFont="1" applyFill="1" applyBorder="1" applyAlignment="1" applyProtection="1">
      <alignment horizontal="right"/>
      <protection locked="0"/>
    </xf>
    <xf numFmtId="1" fontId="6" fillId="15" borderId="68" xfId="80" applyNumberFormat="1" applyFont="1" applyFill="1" applyBorder="1" applyAlignment="1" applyProtection="1">
      <alignment horizontal="right"/>
      <protection locked="0"/>
    </xf>
    <xf numFmtId="1" fontId="6" fillId="15" borderId="100" xfId="80" applyNumberFormat="1" applyFont="1" applyFill="1" applyBorder="1" applyAlignment="1" applyProtection="1">
      <alignment horizontal="right"/>
      <protection locked="0"/>
    </xf>
    <xf numFmtId="1" fontId="6" fillId="22" borderId="78" xfId="0" applyNumberFormat="1" applyFont="1" applyFill="1" applyBorder="1" applyAlignment="1">
      <alignment horizontal="right"/>
    </xf>
    <xf numFmtId="1" fontId="6" fillId="15" borderId="78" xfId="80" applyNumberFormat="1" applyFont="1" applyFill="1" applyBorder="1" applyAlignment="1" applyProtection="1">
      <alignment horizontal="right"/>
      <protection locked="0"/>
    </xf>
    <xf numFmtId="1" fontId="6" fillId="15" borderId="77" xfId="80" applyNumberFormat="1" applyFont="1" applyFill="1" applyBorder="1" applyAlignment="1" applyProtection="1">
      <alignment horizontal="right"/>
      <protection locked="0"/>
    </xf>
    <xf numFmtId="1" fontId="6" fillId="15" borderId="89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1" xfId="14" applyNumberFormat="1" applyFont="1" applyFill="1" applyBorder="1" applyAlignment="1">
      <alignment horizontal="right"/>
      <protection locked="0"/>
    </xf>
    <xf numFmtId="1" fontId="6" fillId="0" borderId="197" xfId="129" applyNumberFormat="1" applyFont="1" applyBorder="1" applyAlignment="1" applyProtection="1">
      <alignment horizontal="right"/>
    </xf>
    <xf numFmtId="1" fontId="6" fillId="15" borderId="198" xfId="175" applyNumberFormat="1" applyFont="1" applyFill="1" applyBorder="1" applyAlignment="1">
      <alignment horizontal="right"/>
      <protection locked="0"/>
    </xf>
    <xf numFmtId="1" fontId="6" fillId="15" borderId="72" xfId="137" applyNumberFormat="1" applyFont="1" applyFill="1" applyBorder="1" applyAlignment="1">
      <alignment horizontal="right"/>
      <protection locked="0"/>
    </xf>
    <xf numFmtId="1" fontId="32" fillId="0" borderId="197" xfId="0" applyNumberFormat="1" applyFont="1" applyBorder="1"/>
    <xf numFmtId="1" fontId="6" fillId="15" borderId="198" xfId="173" applyNumberFormat="1" applyFont="1" applyFill="1" applyBorder="1" applyAlignment="1">
      <alignment horizontal="right"/>
      <protection locked="0"/>
    </xf>
    <xf numFmtId="1" fontId="6" fillId="15" borderId="199" xfId="173" applyNumberFormat="1" applyFont="1" applyFill="1" applyBorder="1" applyAlignment="1">
      <alignment horizontal="right"/>
      <protection locked="0"/>
    </xf>
    <xf numFmtId="0" fontId="7" fillId="0" borderId="181" xfId="0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right"/>
    </xf>
    <xf numFmtId="1" fontId="6" fillId="15" borderId="200" xfId="0" applyNumberFormat="1" applyFont="1" applyFill="1" applyBorder="1" applyAlignment="1" applyProtection="1">
      <alignment horizontal="right"/>
      <protection locked="0"/>
    </xf>
    <xf numFmtId="1" fontId="4" fillId="0" borderId="202" xfId="0" applyNumberFormat="1" applyFont="1" applyBorder="1" applyProtection="1">
      <protection hidden="1"/>
    </xf>
    <xf numFmtId="1" fontId="6" fillId="0" borderId="203" xfId="0" applyNumberFormat="1" applyFont="1" applyBorder="1" applyAlignment="1" applyProtection="1">
      <alignment horizontal="center" vertical="center" wrapText="1"/>
      <protection hidden="1"/>
    </xf>
    <xf numFmtId="1" fontId="6" fillId="0" borderId="203" xfId="0" applyNumberFormat="1" applyFont="1" applyBorder="1" applyProtection="1">
      <protection hidden="1"/>
    </xf>
    <xf numFmtId="1" fontId="6" fillId="0" borderId="200" xfId="124" applyNumberFormat="1" applyFont="1" applyBorder="1" applyAlignment="1">
      <alignment horizontal="right"/>
    </xf>
    <xf numFmtId="1" fontId="6" fillId="0" borderId="203" xfId="124" applyNumberFormat="1" applyFont="1" applyBorder="1" applyAlignment="1">
      <alignment horizontal="right"/>
    </xf>
    <xf numFmtId="1" fontId="6" fillId="17" borderId="203" xfId="124" applyNumberFormat="1" applyFont="1" applyFill="1" applyBorder="1" applyAlignment="1">
      <alignment horizontal="center" vertical="center"/>
    </xf>
    <xf numFmtId="1" fontId="6" fillId="0" borderId="200" xfId="125" applyNumberFormat="1" applyFont="1" applyBorder="1" applyAlignment="1">
      <alignment horizontal="right"/>
    </xf>
    <xf numFmtId="1" fontId="6" fillId="0" borderId="203" xfId="0" applyNumberFormat="1" applyFont="1" applyBorder="1" applyAlignment="1">
      <alignment vertical="center" wrapText="1"/>
    </xf>
    <xf numFmtId="1" fontId="6" fillId="0" borderId="200" xfId="125" applyNumberFormat="1" applyFont="1" applyBorder="1" applyAlignment="1" applyProtection="1">
      <alignment vertical="center"/>
      <protection hidden="1"/>
    </xf>
    <xf numFmtId="1" fontId="10" fillId="0" borderId="203" xfId="125" applyNumberFormat="1" applyFont="1" applyBorder="1" applyAlignment="1" applyProtection="1">
      <alignment horizontal="left" vertical="center"/>
      <protection hidden="1"/>
    </xf>
    <xf numFmtId="1" fontId="6" fillId="0" borderId="200" xfId="126" applyNumberFormat="1" applyFont="1" applyBorder="1" applyAlignment="1">
      <alignment horizontal="right"/>
    </xf>
    <xf numFmtId="1" fontId="6" fillId="0" borderId="200" xfId="0" applyNumberFormat="1" applyFont="1" applyBorder="1" applyAlignment="1">
      <alignment wrapText="1"/>
    </xf>
    <xf numFmtId="1" fontId="6" fillId="23" borderId="200" xfId="125" applyNumberFormat="1" applyFont="1" applyFill="1" applyBorder="1" applyAlignment="1" applyProtection="1">
      <alignment horizontal="right"/>
      <protection locked="0"/>
    </xf>
    <xf numFmtId="1" fontId="6" fillId="0" borderId="200" xfId="124" quotePrefix="1" applyNumberFormat="1" applyFont="1" applyBorder="1" applyAlignment="1">
      <alignment horizontal="left" wrapText="1"/>
    </xf>
    <xf numFmtId="1" fontId="6" fillId="0" borderId="200" xfId="124" quotePrefix="1" applyNumberFormat="1" applyFont="1" applyBorder="1" applyAlignment="1">
      <alignment wrapText="1"/>
    </xf>
    <xf numFmtId="1" fontId="6" fillId="0" borderId="203" xfId="124" applyNumberFormat="1" applyFont="1" applyBorder="1" applyAlignment="1">
      <alignment wrapText="1"/>
    </xf>
    <xf numFmtId="1" fontId="6" fillId="22" borderId="200" xfId="124" applyNumberFormat="1" applyFont="1" applyFill="1" applyBorder="1" applyAlignment="1">
      <alignment horizontal="right" wrapText="1"/>
    </xf>
    <xf numFmtId="1" fontId="6" fillId="22" borderId="200" xfId="124" applyNumberFormat="1" applyFont="1" applyFill="1" applyBorder="1" applyAlignment="1">
      <alignment horizontal="right"/>
    </xf>
    <xf numFmtId="1" fontId="6" fillId="22" borderId="200" xfId="0" applyNumberFormat="1" applyFont="1" applyFill="1" applyBorder="1" applyAlignment="1">
      <alignment wrapText="1"/>
    </xf>
    <xf numFmtId="1" fontId="6" fillId="0" borderId="197" xfId="178" applyNumberFormat="1" applyFont="1" applyFill="1" applyBorder="1" applyAlignment="1" applyProtection="1">
      <alignment horizontal="right"/>
    </xf>
    <xf numFmtId="0" fontId="6" fillId="0" borderId="197" xfId="0" applyFont="1" applyBorder="1" applyAlignment="1">
      <alignment horizontal="center" vertical="center"/>
    </xf>
    <xf numFmtId="0" fontId="7" fillId="15" borderId="205" xfId="14" applyFont="1" applyFill="1" applyBorder="1" applyAlignment="1">
      <alignment horizontal="center"/>
      <protection locked="0"/>
    </xf>
    <xf numFmtId="0" fontId="7" fillId="0" borderId="206" xfId="0" applyFont="1" applyBorder="1" applyAlignment="1">
      <alignment horizontal="left" vertical="center"/>
    </xf>
    <xf numFmtId="0" fontId="7" fillId="15" borderId="207" xfId="14" applyFont="1" applyFill="1" applyBorder="1" applyAlignment="1">
      <alignment horizontal="center"/>
      <protection locked="0"/>
    </xf>
    <xf numFmtId="0" fontId="3" fillId="14" borderId="148" xfId="123" applyFont="1" applyFill="1" applyBorder="1" applyAlignment="1" applyProtection="1">
      <alignment horizontal="center"/>
      <protection locked="0"/>
    </xf>
    <xf numFmtId="0" fontId="7" fillId="15" borderId="208" xfId="14" applyFont="1" applyFill="1" applyBorder="1" applyAlignment="1">
      <alignment horizontal="center"/>
      <protection locked="0"/>
    </xf>
    <xf numFmtId="0" fontId="3" fillId="14" borderId="209" xfId="123" applyFont="1" applyFill="1" applyBorder="1" applyAlignment="1" applyProtection="1">
      <alignment horizontal="center"/>
      <protection locked="0"/>
    </xf>
    <xf numFmtId="0" fontId="14" fillId="0" borderId="210" xfId="0" applyFont="1" applyBorder="1" applyAlignment="1">
      <alignment horizontal="center"/>
    </xf>
    <xf numFmtId="0" fontId="7" fillId="17" borderId="211" xfId="0" applyFont="1" applyFill="1" applyBorder="1" applyAlignment="1">
      <alignment horizontal="left" vertical="center"/>
    </xf>
    <xf numFmtId="0" fontId="7" fillId="17" borderId="211" xfId="0" applyFont="1" applyFill="1" applyBorder="1" applyAlignment="1">
      <alignment horizontal="centerContinuous" vertical="center"/>
    </xf>
    <xf numFmtId="0" fontId="7" fillId="0" borderId="148" xfId="0" applyFont="1" applyBorder="1" applyAlignment="1">
      <alignment wrapText="1"/>
    </xf>
    <xf numFmtId="0" fontId="12" fillId="15" borderId="148" xfId="14" applyNumberFormat="1" applyFont="1" applyFill="1" applyBorder="1" applyAlignment="1">
      <alignment horizontal="center"/>
      <protection locked="0"/>
    </xf>
    <xf numFmtId="0" fontId="8" fillId="0" borderId="211" xfId="0" applyFont="1" applyBorder="1"/>
    <xf numFmtId="1" fontId="6" fillId="0" borderId="21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0" fontId="6" fillId="0" borderId="221" xfId="0" applyFont="1" applyBorder="1" applyAlignment="1">
      <alignment horizontal="center" vertical="center" wrapText="1"/>
    </xf>
    <xf numFmtId="1" fontId="6" fillId="0" borderId="212" xfId="0" applyNumberFormat="1" applyFont="1" applyBorder="1" applyAlignment="1">
      <alignment horizontal="right"/>
    </xf>
    <xf numFmtId="1" fontId="6" fillId="0" borderId="222" xfId="0" applyNumberFormat="1" applyFont="1" applyBorder="1" applyAlignment="1">
      <alignment horizontal="right"/>
    </xf>
    <xf numFmtId="1" fontId="6" fillId="0" borderId="223" xfId="0" applyNumberFormat="1" applyFont="1" applyBorder="1" applyAlignment="1">
      <alignment horizontal="right"/>
    </xf>
    <xf numFmtId="1" fontId="6" fillId="0" borderId="204" xfId="0" applyNumberFormat="1" applyFont="1" applyBorder="1" applyAlignment="1">
      <alignment horizontal="right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20" borderId="224" xfId="0" applyNumberFormat="1" applyFont="1" applyFill="1" applyBorder="1" applyAlignment="1">
      <alignment horizontal="right"/>
    </xf>
    <xf numFmtId="1" fontId="6" fillId="15" borderId="225" xfId="0" applyNumberFormat="1" applyFont="1" applyFill="1" applyBorder="1" applyAlignment="1" applyProtection="1">
      <alignment horizontal="right"/>
      <protection locked="0"/>
    </xf>
    <xf numFmtId="1" fontId="6" fillId="15" borderId="220" xfId="0" quotePrefix="1" applyNumberFormat="1" applyFont="1" applyFill="1" applyBorder="1" applyAlignment="1" applyProtection="1">
      <alignment horizontal="right"/>
      <protection locked="0"/>
    </xf>
    <xf numFmtId="1" fontId="6" fillId="0" borderId="226" xfId="0" applyNumberFormat="1" applyFont="1" applyBorder="1" applyAlignment="1" applyProtection="1">
      <alignment horizontal="center" vertical="center" wrapText="1"/>
      <protection hidden="1"/>
    </xf>
    <xf numFmtId="1" fontId="6" fillId="0" borderId="225" xfId="0" applyNumberFormat="1" applyFont="1" applyBorder="1" applyAlignment="1" applyProtection="1">
      <alignment horizontal="center" vertical="center" wrapText="1"/>
      <protection hidden="1"/>
    </xf>
    <xf numFmtId="1" fontId="6" fillId="0" borderId="226" xfId="0" applyNumberFormat="1" applyFont="1" applyBorder="1" applyAlignment="1" applyProtection="1">
      <alignment horizontal="center"/>
      <protection hidden="1"/>
    </xf>
    <xf numFmtId="1" fontId="6" fillId="0" borderId="225" xfId="0" applyNumberFormat="1" applyFont="1" applyBorder="1" applyAlignment="1">
      <alignment horizontal="right"/>
    </xf>
    <xf numFmtId="1" fontId="6" fillId="0" borderId="224" xfId="0" applyNumberFormat="1" applyFont="1" applyBorder="1" applyAlignment="1">
      <alignment horizontal="right"/>
    </xf>
    <xf numFmtId="1" fontId="6" fillId="0" borderId="228" xfId="0" applyNumberFormat="1" applyFont="1" applyBorder="1" applyAlignment="1" applyProtection="1">
      <alignment horizontal="center" vertical="center" wrapText="1"/>
      <protection hidden="1"/>
    </xf>
    <xf numFmtId="1" fontId="6" fillId="0" borderId="225" xfId="0" applyNumberFormat="1" applyFont="1" applyBorder="1" applyAlignment="1">
      <alignment horizontal="center" vertical="center"/>
    </xf>
    <xf numFmtId="1" fontId="6" fillId="17" borderId="226" xfId="0" applyNumberFormat="1" applyFont="1" applyFill="1" applyBorder="1" applyAlignment="1">
      <alignment horizontal="right"/>
    </xf>
    <xf numFmtId="1" fontId="6" fillId="17" borderId="225" xfId="0" applyNumberFormat="1" applyFont="1" applyFill="1" applyBorder="1" applyAlignment="1">
      <alignment horizontal="right"/>
    </xf>
    <xf numFmtId="1" fontId="6" fillId="0" borderId="224" xfId="0" applyNumberFormat="1" applyFont="1" applyBorder="1" applyAlignment="1" applyProtection="1">
      <alignment horizontal="center" vertical="center" wrapText="1"/>
      <protection hidden="1"/>
    </xf>
    <xf numFmtId="1" fontId="6" fillId="0" borderId="228" xfId="0" applyNumberFormat="1" applyFont="1" applyBorder="1" applyAlignment="1" applyProtection="1">
      <alignment vertical="center" wrapText="1"/>
      <protection hidden="1"/>
    </xf>
    <xf numFmtId="1" fontId="6" fillId="15" borderId="224" xfId="0" applyNumberFormat="1" applyFont="1" applyFill="1" applyBorder="1" applyAlignment="1" applyProtection="1">
      <alignment horizontal="right"/>
      <protection locked="0"/>
    </xf>
    <xf numFmtId="1" fontId="6" fillId="0" borderId="225" xfId="0" applyNumberFormat="1" applyFont="1" applyBorder="1" applyAlignment="1">
      <alignment horizontal="center" vertical="center" wrapText="1"/>
    </xf>
    <xf numFmtId="0" fontId="6" fillId="0" borderId="226" xfId="0" applyFont="1" applyBorder="1" applyAlignment="1">
      <alignment horizontal="center"/>
    </xf>
    <xf numFmtId="0" fontId="6" fillId="0" borderId="226" xfId="0" applyFont="1" applyBorder="1" applyAlignment="1">
      <alignment horizontal="right"/>
    </xf>
    <xf numFmtId="0" fontId="6" fillId="0" borderId="225" xfId="0" applyFont="1" applyBorder="1" applyAlignment="1">
      <alignment horizontal="center" vertical="center" wrapText="1"/>
    </xf>
    <xf numFmtId="0" fontId="6" fillId="0" borderId="226" xfId="0" applyFont="1" applyBorder="1" applyAlignment="1">
      <alignment horizontal="center" vertical="center" wrapText="1"/>
    </xf>
    <xf numFmtId="0" fontId="6" fillId="0" borderId="226" xfId="0" applyFont="1" applyBorder="1" applyAlignment="1">
      <alignment horizontal="right" vertical="center"/>
    </xf>
    <xf numFmtId="0" fontId="6" fillId="0" borderId="224" xfId="0" applyFont="1" applyBorder="1" applyAlignment="1">
      <alignment horizontal="right" vertical="center" wrapText="1"/>
    </xf>
    <xf numFmtId="0" fontId="6" fillId="0" borderId="224" xfId="0" applyFont="1" applyBorder="1" applyAlignment="1">
      <alignment horizontal="right" vertical="center"/>
    </xf>
    <xf numFmtId="0" fontId="6" fillId="0" borderId="225" xfId="0" applyFont="1" applyBorder="1" applyAlignment="1">
      <alignment horizontal="right" vertical="center"/>
    </xf>
    <xf numFmtId="0" fontId="6" fillId="20" borderId="226" xfId="0" applyFont="1" applyFill="1" applyBorder="1" applyAlignment="1">
      <alignment horizontal="right" vertical="center"/>
    </xf>
    <xf numFmtId="0" fontId="6" fillId="23" borderId="224" xfId="0" applyFont="1" applyFill="1" applyBorder="1" applyAlignment="1" applyProtection="1">
      <alignment horizontal="right" vertical="center"/>
      <protection locked="0"/>
    </xf>
    <xf numFmtId="0" fontId="6" fillId="23" borderId="225" xfId="0" applyFont="1" applyFill="1" applyBorder="1" applyAlignment="1" applyProtection="1">
      <alignment horizontal="right" vertical="center"/>
      <protection locked="0"/>
    </xf>
    <xf numFmtId="1" fontId="6" fillId="28" borderId="226" xfId="0" applyNumberFormat="1" applyFont="1" applyFill="1" applyBorder="1"/>
    <xf numFmtId="1" fontId="6" fillId="0" borderId="228" xfId="124" applyNumberFormat="1" applyFont="1" applyBorder="1" applyAlignment="1">
      <alignment horizontal="center" vertical="center" wrapText="1"/>
    </xf>
    <xf numFmtId="1" fontId="6" fillId="0" borderId="225" xfId="124" applyNumberFormat="1" applyFont="1" applyBorder="1" applyAlignment="1">
      <alignment horizontal="center" vertical="center" wrapText="1"/>
    </xf>
    <xf numFmtId="1" fontId="6" fillId="15" borderId="228" xfId="124" applyNumberFormat="1" applyFont="1" applyFill="1" applyBorder="1" applyAlignment="1" applyProtection="1">
      <alignment horizontal="right"/>
      <protection locked="0"/>
    </xf>
    <xf numFmtId="1" fontId="6" fillId="15" borderId="220" xfId="124" applyNumberFormat="1" applyFont="1" applyFill="1" applyBorder="1" applyAlignment="1" applyProtection="1">
      <alignment horizontal="right"/>
      <protection locked="0"/>
    </xf>
    <xf numFmtId="1" fontId="6" fillId="0" borderId="228" xfId="124" applyNumberFormat="1" applyFont="1" applyBorder="1" applyAlignment="1">
      <alignment horizontal="center"/>
    </xf>
    <xf numFmtId="1" fontId="6" fillId="0" borderId="226" xfId="124" applyNumberFormat="1" applyFont="1" applyBorder="1" applyAlignment="1">
      <alignment horizontal="right"/>
    </xf>
    <xf numFmtId="1" fontId="6" fillId="0" borderId="220" xfId="124" applyNumberFormat="1" applyFont="1" applyBorder="1" applyAlignment="1">
      <alignment horizontal="right"/>
    </xf>
    <xf numFmtId="1" fontId="6" fillId="0" borderId="228" xfId="124" applyNumberFormat="1" applyFont="1" applyBorder="1" applyAlignment="1">
      <alignment horizontal="right"/>
    </xf>
    <xf numFmtId="1" fontId="6" fillId="0" borderId="228" xfId="124" applyNumberFormat="1" applyFont="1" applyBorder="1"/>
    <xf numFmtId="1" fontId="6" fillId="22" borderId="225" xfId="124" applyNumberFormat="1" applyFont="1" applyFill="1" applyBorder="1" applyAlignment="1">
      <alignment horizontal="right"/>
    </xf>
    <xf numFmtId="1" fontId="6" fillId="22" borderId="220" xfId="124" applyNumberFormat="1" applyFont="1" applyFill="1" applyBorder="1" applyAlignment="1">
      <alignment horizontal="right"/>
    </xf>
    <xf numFmtId="1" fontId="6" fillId="22" borderId="228" xfId="124" applyNumberFormat="1" applyFont="1" applyFill="1" applyBorder="1" applyAlignment="1">
      <alignment horizontal="right"/>
    </xf>
    <xf numFmtId="1" fontId="6" fillId="15" borderId="225" xfId="124" applyNumberFormat="1" applyFont="1" applyFill="1" applyBorder="1" applyAlignment="1" applyProtection="1">
      <alignment horizontal="right"/>
      <protection locked="0"/>
    </xf>
    <xf numFmtId="1" fontId="6" fillId="0" borderId="226" xfId="124" applyNumberFormat="1" applyFont="1" applyBorder="1" applyAlignment="1">
      <alignment horizontal="right" wrapText="1"/>
    </xf>
    <xf numFmtId="1" fontId="6" fillId="0" borderId="228" xfId="124" applyNumberFormat="1" applyFont="1" applyBorder="1" applyAlignment="1">
      <alignment wrapText="1"/>
    </xf>
    <xf numFmtId="1" fontId="6" fillId="0" borderId="228" xfId="124" applyNumberFormat="1" applyFont="1" applyBorder="1" applyAlignment="1">
      <alignment horizontal="right" wrapText="1"/>
    </xf>
    <xf numFmtId="1" fontId="6" fillId="0" borderId="225" xfId="124" applyNumberFormat="1" applyFont="1" applyBorder="1" applyAlignment="1">
      <alignment horizontal="right"/>
    </xf>
    <xf numFmtId="1" fontId="6" fillId="0" borderId="226" xfId="0" applyNumberFormat="1" applyFont="1" applyBorder="1" applyAlignment="1">
      <alignment horizontal="center" vertical="center" wrapText="1"/>
    </xf>
    <xf numFmtId="1" fontId="6" fillId="0" borderId="220" xfId="124" applyNumberFormat="1" applyFont="1" applyBorder="1" applyAlignment="1">
      <alignment horizontal="center" vertical="center" wrapText="1"/>
    </xf>
    <xf numFmtId="1" fontId="6" fillId="0" borderId="225" xfId="124" applyNumberFormat="1" applyFont="1" applyBorder="1" applyAlignment="1">
      <alignment horizontal="right" wrapText="1"/>
    </xf>
    <xf numFmtId="1" fontId="6" fillId="0" borderId="226" xfId="124" applyNumberFormat="1" applyFont="1" applyBorder="1" applyAlignment="1">
      <alignment horizontal="center"/>
    </xf>
    <xf numFmtId="1" fontId="6" fillId="0" borderId="226" xfId="124" applyNumberFormat="1" applyFont="1" applyBorder="1"/>
    <xf numFmtId="1" fontId="6" fillId="22" borderId="228" xfId="124" applyNumberFormat="1" applyFont="1" applyFill="1" applyBorder="1" applyAlignment="1">
      <alignment horizontal="center"/>
    </xf>
    <xf numFmtId="1" fontId="6" fillId="0" borderId="220" xfId="0" applyNumberFormat="1" applyFont="1" applyBorder="1" applyAlignment="1">
      <alignment horizontal="center" vertical="center" wrapText="1"/>
    </xf>
    <xf numFmtId="1" fontId="6" fillId="0" borderId="226" xfId="124" applyNumberFormat="1" applyFont="1" applyBorder="1" applyAlignment="1">
      <alignment horizontal="center" vertical="center"/>
    </xf>
    <xf numFmtId="1" fontId="6" fillId="0" borderId="224" xfId="124" applyNumberFormat="1" applyFont="1" applyBorder="1" applyAlignment="1">
      <alignment horizontal="right"/>
    </xf>
    <xf numFmtId="1" fontId="10" fillId="0" borderId="211" xfId="124" quotePrefix="1" applyNumberFormat="1" applyFont="1" applyBorder="1"/>
    <xf numFmtId="1" fontId="6" fillId="22" borderId="226" xfId="124" applyNumberFormat="1" applyFont="1" applyFill="1" applyBorder="1" applyAlignment="1">
      <alignment horizontal="right"/>
    </xf>
    <xf numFmtId="1" fontId="6" fillId="0" borderId="211" xfId="124" applyNumberFormat="1" applyFont="1" applyBorder="1" applyAlignment="1">
      <alignment horizontal="center" vertical="center" wrapText="1"/>
    </xf>
    <xf numFmtId="1" fontId="6" fillId="0" borderId="226" xfId="124" applyNumberFormat="1" applyFont="1" applyBorder="1" applyAlignment="1">
      <alignment horizontal="center" vertical="center" wrapText="1"/>
    </xf>
    <xf numFmtId="1" fontId="6" fillId="0" borderId="226" xfId="0" applyNumberFormat="1" applyFont="1" applyBorder="1"/>
    <xf numFmtId="1" fontId="6" fillId="0" borderId="220" xfId="0" applyNumberFormat="1" applyFont="1" applyBorder="1"/>
    <xf numFmtId="1" fontId="6" fillId="0" borderId="226" xfId="126" applyNumberFormat="1" applyFont="1" applyBorder="1" applyAlignment="1" applyProtection="1">
      <alignment horizontal="center" vertical="center" wrapText="1"/>
      <protection hidden="1"/>
    </xf>
    <xf numFmtId="1" fontId="6" fillId="0" borderId="226" xfId="124" applyNumberFormat="1" applyFont="1" applyBorder="1" applyAlignment="1">
      <alignment horizontal="left"/>
    </xf>
    <xf numFmtId="1" fontId="6" fillId="23" borderId="225" xfId="124" applyNumberFormat="1" applyFont="1" applyFill="1" applyBorder="1" applyAlignment="1" applyProtection="1">
      <alignment horizontal="right"/>
      <protection locked="0"/>
    </xf>
    <xf numFmtId="1" fontId="6" fillId="0" borderId="211" xfId="124" applyNumberFormat="1" applyFont="1" applyBorder="1" applyAlignment="1">
      <alignment horizontal="right"/>
    </xf>
    <xf numFmtId="1" fontId="6" fillId="21" borderId="226" xfId="0" applyNumberFormat="1" applyFont="1" applyFill="1" applyBorder="1"/>
    <xf numFmtId="1" fontId="6" fillId="0" borderId="220" xfId="108" applyNumberFormat="1" applyFont="1" applyBorder="1" applyAlignment="1">
      <alignment horizontal="center" vertical="center" wrapText="1"/>
    </xf>
    <xf numFmtId="1" fontId="6" fillId="0" borderId="228" xfId="126" applyNumberFormat="1" applyFont="1" applyBorder="1" applyProtection="1">
      <protection hidden="1"/>
    </xf>
    <xf numFmtId="1" fontId="6" fillId="22" borderId="226" xfId="171" applyNumberFormat="1" applyFont="1" applyFill="1" applyBorder="1" applyAlignment="1" applyProtection="1">
      <alignment horizontal="right"/>
    </xf>
    <xf numFmtId="1" fontId="6" fillId="15" borderId="220" xfId="171" applyNumberFormat="1" applyFont="1" applyFill="1" applyBorder="1" applyAlignment="1">
      <alignment horizontal="right"/>
      <protection locked="0"/>
    </xf>
    <xf numFmtId="1" fontId="6" fillId="0" borderId="226" xfId="0" applyNumberFormat="1" applyFont="1" applyBorder="1" applyAlignment="1">
      <alignment horizontal="center" vertical="center"/>
    </xf>
    <xf numFmtId="1" fontId="6" fillId="17" borderId="226" xfId="0" applyNumberFormat="1" applyFont="1" applyFill="1" applyBorder="1" applyAlignment="1">
      <alignment horizontal="center" vertical="center"/>
    </xf>
    <xf numFmtId="1" fontId="6" fillId="17" borderId="220" xfId="0" applyNumberFormat="1" applyFont="1" applyFill="1" applyBorder="1" applyAlignment="1">
      <alignment horizontal="center" vertical="center"/>
    </xf>
    <xf numFmtId="1" fontId="6" fillId="0" borderId="224" xfId="0" applyNumberFormat="1" applyFont="1" applyBorder="1" applyAlignment="1">
      <alignment horizontal="center" vertical="center"/>
    </xf>
    <xf numFmtId="1" fontId="6" fillId="25" borderId="226" xfId="0" applyNumberFormat="1" applyFont="1" applyFill="1" applyBorder="1"/>
    <xf numFmtId="1" fontId="6" fillId="0" borderId="220" xfId="125" applyNumberFormat="1" applyFont="1" applyBorder="1" applyAlignment="1" applyProtection="1">
      <alignment horizontal="center" vertical="center"/>
      <protection hidden="1"/>
    </xf>
    <xf numFmtId="1" fontId="6" fillId="0" borderId="225" xfId="125" applyNumberFormat="1" applyFont="1" applyBorder="1" applyAlignment="1" applyProtection="1">
      <alignment horizontal="center" vertical="center"/>
      <protection hidden="1"/>
    </xf>
    <xf numFmtId="1" fontId="6" fillId="0" borderId="226" xfId="125" applyNumberFormat="1" applyFont="1" applyBorder="1" applyAlignment="1">
      <alignment horizontal="right"/>
    </xf>
    <xf numFmtId="1" fontId="6" fillId="0" borderId="220" xfId="125" applyNumberFormat="1" applyFont="1" applyBorder="1" applyAlignment="1">
      <alignment horizontal="right"/>
    </xf>
    <xf numFmtId="1" fontId="6" fillId="0" borderId="225" xfId="125" applyNumberFormat="1" applyFont="1" applyBorder="1" applyAlignment="1">
      <alignment horizontal="right"/>
    </xf>
    <xf numFmtId="1" fontId="10" fillId="0" borderId="228" xfId="125" applyNumberFormat="1" applyFont="1" applyBorder="1" applyAlignment="1" applyProtection="1">
      <alignment vertical="center"/>
      <protection hidden="1"/>
    </xf>
    <xf numFmtId="1" fontId="10" fillId="0" borderId="211" xfId="125" applyNumberFormat="1" applyFont="1" applyBorder="1" applyAlignment="1" applyProtection="1">
      <alignment vertical="center"/>
      <protection hidden="1"/>
    </xf>
    <xf numFmtId="1" fontId="6" fillId="0" borderId="225" xfId="126" applyNumberFormat="1" applyFont="1" applyBorder="1" applyAlignment="1" applyProtection="1">
      <alignment horizontal="center" vertical="center" wrapText="1"/>
      <protection hidden="1"/>
    </xf>
    <xf numFmtId="1" fontId="6" fillId="0" borderId="226" xfId="125" applyNumberFormat="1" applyFont="1" applyBorder="1" applyAlignment="1" applyProtection="1">
      <alignment horizontal="center" vertical="center" wrapText="1"/>
      <protection hidden="1"/>
    </xf>
    <xf numFmtId="1" fontId="6" fillId="0" borderId="226" xfId="125" applyNumberFormat="1" applyFont="1" applyBorder="1" applyAlignment="1" applyProtection="1">
      <alignment horizontal="center" vertical="center"/>
      <protection hidden="1"/>
    </xf>
    <xf numFmtId="1" fontId="6" fillId="0" borderId="220" xfId="126" applyNumberFormat="1" applyFont="1" applyBorder="1" applyAlignment="1" applyProtection="1">
      <alignment horizontal="center" vertical="center" wrapText="1"/>
      <protection hidden="1"/>
    </xf>
    <xf numFmtId="1" fontId="6" fillId="0" borderId="226" xfId="126" applyNumberFormat="1" applyFont="1" applyBorder="1" applyAlignment="1">
      <alignment horizontal="right"/>
    </xf>
    <xf numFmtId="1" fontId="6" fillId="0" borderId="220" xfId="126" applyNumberFormat="1" applyFont="1" applyBorder="1" applyAlignment="1">
      <alignment horizontal="right"/>
    </xf>
    <xf numFmtId="1" fontId="6" fillId="0" borderId="225" xfId="126" applyNumberFormat="1" applyFont="1" applyBorder="1" applyAlignment="1">
      <alignment horizontal="right"/>
    </xf>
    <xf numFmtId="1" fontId="6" fillId="0" borderId="225" xfId="14" applyNumberFormat="1" applyFont="1" applyFill="1" applyBorder="1" applyAlignment="1" applyProtection="1">
      <alignment horizontal="right"/>
    </xf>
    <xf numFmtId="1" fontId="6" fillId="0" borderId="220" xfId="14" applyNumberFormat="1" applyFont="1" applyFill="1" applyBorder="1" applyAlignment="1" applyProtection="1">
      <alignment horizontal="right"/>
    </xf>
    <xf numFmtId="1" fontId="6" fillId="0" borderId="220" xfId="126" applyNumberFormat="1" applyFont="1" applyBorder="1" applyAlignment="1" applyProtection="1">
      <alignment horizontal="center" vertical="center"/>
      <protection hidden="1"/>
    </xf>
    <xf numFmtId="1" fontId="6" fillId="0" borderId="225" xfId="126" applyNumberFormat="1" applyFont="1" applyBorder="1" applyAlignment="1" applyProtection="1">
      <alignment horizontal="center" vertical="center"/>
      <protection hidden="1"/>
    </xf>
    <xf numFmtId="1" fontId="6" fillId="15" borderId="220" xfId="14" applyNumberFormat="1" applyFont="1" applyFill="1" applyBorder="1" applyAlignment="1">
      <alignment horizontal="right"/>
      <protection locked="0"/>
    </xf>
    <xf numFmtId="1" fontId="6" fillId="23" borderId="220" xfId="125" applyNumberFormat="1" applyFont="1" applyFill="1" applyBorder="1" applyAlignment="1" applyProtection="1">
      <alignment horizontal="right"/>
      <protection locked="0"/>
    </xf>
    <xf numFmtId="1" fontId="6" fillId="23" borderId="226" xfId="125" applyNumberFormat="1" applyFont="1" applyFill="1" applyBorder="1" applyAlignment="1" applyProtection="1">
      <alignment horizontal="right"/>
      <protection locked="0"/>
    </xf>
    <xf numFmtId="1" fontId="6" fillId="23" borderId="225" xfId="125" applyNumberFormat="1" applyFont="1" applyFill="1" applyBorder="1" applyAlignment="1" applyProtection="1">
      <alignment horizontal="right"/>
      <protection locked="0"/>
    </xf>
    <xf numFmtId="1" fontId="6" fillId="33" borderId="226" xfId="125" applyNumberFormat="1" applyFont="1" applyFill="1" applyBorder="1" applyAlignment="1">
      <alignment horizontal="right"/>
    </xf>
    <xf numFmtId="1" fontId="6" fillId="22" borderId="220" xfId="0" applyNumberFormat="1" applyFont="1" applyFill="1" applyBorder="1" applyAlignment="1">
      <alignment horizontal="center" vertical="center"/>
    </xf>
    <xf numFmtId="1" fontId="6" fillId="0" borderId="226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23" borderId="220" xfId="45" applyNumberFormat="1" applyFont="1" applyFill="1" applyBorder="1" applyAlignment="1" applyProtection="1">
      <alignment horizontal="right"/>
      <protection locked="0"/>
    </xf>
    <xf numFmtId="1" fontId="6" fillId="23" borderId="228" xfId="125" applyNumberFormat="1" applyFont="1" applyFill="1" applyBorder="1" applyAlignment="1" applyProtection="1">
      <alignment horizontal="right"/>
      <protection locked="0"/>
    </xf>
    <xf numFmtId="1" fontId="6" fillId="0" borderId="228" xfId="128" applyNumberFormat="1" applyFont="1" applyBorder="1" applyAlignment="1" applyProtection="1">
      <alignment vertical="center" wrapText="1"/>
      <protection hidden="1"/>
    </xf>
    <xf numFmtId="1" fontId="6" fillId="0" borderId="225" xfId="128" applyNumberFormat="1" applyFont="1" applyBorder="1" applyAlignment="1" applyProtection="1">
      <alignment vertical="center" wrapText="1"/>
      <protection hidden="1"/>
    </xf>
    <xf numFmtId="1" fontId="10" fillId="0" borderId="226" xfId="0" applyNumberFormat="1" applyFont="1" applyBorder="1" applyAlignment="1">
      <alignment horizontal="left" vertical="center"/>
    </xf>
    <xf numFmtId="0" fontId="29" fillId="0" borderId="226" xfId="0" applyFont="1" applyBorder="1" applyAlignment="1">
      <alignment horizontal="center" vertical="center"/>
    </xf>
    <xf numFmtId="0" fontId="29" fillId="0" borderId="220" xfId="0" applyFont="1" applyBorder="1" applyAlignment="1">
      <alignment horizontal="center" vertical="center"/>
    </xf>
    <xf numFmtId="0" fontId="29" fillId="0" borderId="225" xfId="0" applyFont="1" applyBorder="1" applyAlignment="1">
      <alignment horizontal="center" vertical="center"/>
    </xf>
    <xf numFmtId="1" fontId="6" fillId="0" borderId="225" xfId="125" applyNumberFormat="1" applyFont="1" applyBorder="1" applyAlignment="1" applyProtection="1">
      <alignment horizontal="center" vertical="center" wrapText="1"/>
      <protection hidden="1"/>
    </xf>
    <xf numFmtId="1" fontId="6" fillId="0" borderId="224" xfId="125" applyNumberFormat="1" applyFont="1" applyBorder="1" applyAlignment="1" applyProtection="1">
      <alignment horizontal="center" vertical="center" wrapText="1"/>
      <protection hidden="1"/>
    </xf>
    <xf numFmtId="1" fontId="6" fillId="0" borderId="226" xfId="125" applyNumberFormat="1" applyFont="1" applyBorder="1" applyAlignment="1" applyProtection="1">
      <alignment horizontal="right" wrapText="1"/>
      <protection hidden="1"/>
    </xf>
    <xf numFmtId="1" fontId="6" fillId="0" borderId="225" xfId="125" applyNumberFormat="1" applyFont="1" applyBorder="1" applyAlignment="1" applyProtection="1">
      <alignment horizontal="right" wrapText="1"/>
      <protection hidden="1"/>
    </xf>
    <xf numFmtId="1" fontId="6" fillId="15" borderId="225" xfId="80" applyNumberFormat="1" applyFont="1" applyFill="1" applyBorder="1" applyAlignment="1" applyProtection="1">
      <alignment horizontal="right"/>
      <protection locked="0"/>
    </xf>
    <xf numFmtId="1" fontId="6" fillId="15" borderId="224" xfId="80" applyNumberFormat="1" applyFont="1" applyFill="1" applyBorder="1" applyAlignment="1" applyProtection="1">
      <alignment horizontal="right"/>
      <protection locked="0"/>
    </xf>
    <xf numFmtId="1" fontId="6" fillId="0" borderId="220" xfId="125" applyNumberFormat="1" applyFont="1" applyBorder="1" applyAlignment="1" applyProtection="1">
      <alignment horizontal="center" vertical="center" wrapText="1"/>
      <protection hidden="1"/>
    </xf>
    <xf numFmtId="1" fontId="6" fillId="0" borderId="226" xfId="124" quotePrefix="1" applyNumberFormat="1" applyFont="1" applyBorder="1" applyAlignment="1">
      <alignment horizontal="center"/>
    </xf>
    <xf numFmtId="1" fontId="6" fillId="0" borderId="226" xfId="124" quotePrefix="1" applyNumberFormat="1" applyFont="1" applyBorder="1"/>
    <xf numFmtId="1" fontId="6" fillId="0" borderId="224" xfId="125" applyNumberFormat="1" applyFont="1" applyBorder="1" applyAlignment="1" applyProtection="1">
      <alignment horizontal="right" wrapText="1"/>
      <protection hidden="1"/>
    </xf>
    <xf numFmtId="1" fontId="6" fillId="0" borderId="220" xfId="125" applyNumberFormat="1" applyFont="1" applyBorder="1" applyAlignment="1" applyProtection="1">
      <alignment horizontal="right" wrapText="1"/>
      <protection hidden="1"/>
    </xf>
    <xf numFmtId="1" fontId="6" fillId="22" borderId="225" xfId="0" applyNumberFormat="1" applyFont="1" applyFill="1" applyBorder="1" applyAlignment="1">
      <alignment horizontal="center" wrapText="1"/>
    </xf>
    <xf numFmtId="1" fontId="6" fillId="22" borderId="226" xfId="0" applyNumberFormat="1" applyFont="1" applyFill="1" applyBorder="1" applyAlignment="1">
      <alignment horizontal="center" wrapText="1"/>
    </xf>
    <xf numFmtId="1" fontId="6" fillId="17" borderId="226" xfId="108" applyNumberFormat="1" applyFont="1" applyFill="1" applyBorder="1" applyAlignment="1">
      <alignment horizontal="center" vertical="center" wrapText="1"/>
    </xf>
    <xf numFmtId="1" fontId="6" fillId="17" borderId="226" xfId="108" applyNumberFormat="1" applyFont="1" applyFill="1" applyBorder="1" applyAlignment="1">
      <alignment vertical="center" wrapText="1"/>
    </xf>
    <xf numFmtId="1" fontId="6" fillId="17" borderId="226" xfId="108" applyNumberFormat="1" applyFont="1" applyFill="1" applyBorder="1" applyAlignment="1">
      <alignment horizontal="right" wrapText="1"/>
    </xf>
    <xf numFmtId="1" fontId="6" fillId="17" borderId="220" xfId="108" applyNumberFormat="1" applyFont="1" applyFill="1" applyBorder="1" applyAlignment="1">
      <alignment horizontal="right" wrapText="1"/>
    </xf>
    <xf numFmtId="1" fontId="6" fillId="0" borderId="226" xfId="129" applyNumberFormat="1" applyFont="1" applyBorder="1" applyAlignment="1" applyProtection="1">
      <alignment horizontal="center" vertical="center" wrapText="1"/>
    </xf>
    <xf numFmtId="1" fontId="6" fillId="0" borderId="227" xfId="129" applyNumberFormat="1" applyFont="1" applyBorder="1" applyAlignment="1" applyProtection="1">
      <alignment horizontal="center" vertical="center" wrapText="1"/>
    </xf>
    <xf numFmtId="1" fontId="6" fillId="0" borderId="228" xfId="129" applyNumberFormat="1" applyFont="1" applyBorder="1" applyAlignment="1" applyProtection="1"/>
    <xf numFmtId="1" fontId="6" fillId="0" borderId="226" xfId="129" applyNumberFormat="1" applyFont="1" applyBorder="1" applyAlignment="1" applyProtection="1">
      <alignment horizontal="right"/>
    </xf>
    <xf numFmtId="1" fontId="6" fillId="0" borderId="227" xfId="129" applyNumberFormat="1" applyFont="1" applyBorder="1" applyAlignment="1" applyProtection="1">
      <alignment horizontal="right"/>
    </xf>
    <xf numFmtId="1" fontId="32" fillId="0" borderId="226" xfId="0" applyNumberFormat="1" applyFont="1" applyBorder="1"/>
    <xf numFmtId="1" fontId="6" fillId="0" borderId="228" xfId="129" applyNumberFormat="1" applyFont="1" applyBorder="1" applyAlignment="1" applyProtection="1">
      <alignment vertical="center"/>
    </xf>
    <xf numFmtId="1" fontId="6" fillId="0" borderId="226" xfId="178" applyNumberFormat="1" applyFont="1" applyFill="1" applyBorder="1" applyAlignment="1" applyProtection="1">
      <alignment horizontal="right"/>
    </xf>
    <xf numFmtId="0" fontId="6" fillId="0" borderId="224" xfId="0" applyFont="1" applyBorder="1" applyAlignment="1">
      <alignment horizontal="center" vertical="center"/>
    </xf>
    <xf numFmtId="0" fontId="6" fillId="0" borderId="220" xfId="0" applyFont="1" applyBorder="1" applyAlignment="1">
      <alignment horizontal="center" vertical="center"/>
    </xf>
    <xf numFmtId="0" fontId="14" fillId="0" borderId="226" xfId="0" applyFont="1" applyBorder="1" applyAlignment="1" applyProtection="1">
      <alignment horizontal="center" vertical="center" wrapText="1"/>
      <protection hidden="1"/>
    </xf>
    <xf numFmtId="0" fontId="20" fillId="0" borderId="226" xfId="0" applyFont="1" applyBorder="1" applyProtection="1">
      <protection hidden="1"/>
    </xf>
    <xf numFmtId="0" fontId="21" fillId="0" borderId="226" xfId="0" applyFont="1" applyBorder="1" applyAlignment="1" applyProtection="1">
      <alignment horizontal="center"/>
      <protection hidden="1"/>
    </xf>
    <xf numFmtId="1" fontId="21" fillId="0" borderId="226" xfId="0" applyNumberFormat="1" applyFont="1" applyBorder="1" applyAlignment="1" applyProtection="1">
      <alignment horizontal="center"/>
      <protection hidden="1"/>
    </xf>
    <xf numFmtId="0" fontId="22" fillId="0" borderId="226" xfId="0" applyFont="1" applyBorder="1" applyAlignment="1" applyProtection="1">
      <alignment horizontal="center"/>
      <protection hidden="1"/>
    </xf>
    <xf numFmtId="0" fontId="21" fillId="0" borderId="226" xfId="0" applyFont="1" applyBorder="1" applyProtection="1">
      <protection hidden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8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76" xfId="0" applyNumberFormat="1" applyFont="1" applyFill="1" applyBorder="1" applyAlignment="1">
      <alignment horizontal="right"/>
    </xf>
    <xf numFmtId="1" fontId="6" fillId="20" borderId="19" xfId="0" quotePrefix="1" applyNumberFormat="1" applyFont="1" applyFill="1" applyBorder="1" applyAlignment="1">
      <alignment horizontal="right"/>
    </xf>
    <xf numFmtId="1" fontId="6" fillId="20" borderId="97" xfId="0" quotePrefix="1" applyNumberFormat="1" applyFont="1" applyFill="1" applyBorder="1" applyAlignment="1">
      <alignment horizontal="right"/>
    </xf>
    <xf numFmtId="1" fontId="6" fillId="20" borderId="12" xfId="0" quotePrefix="1" applyNumberFormat="1" applyFont="1" applyFill="1" applyBorder="1" applyAlignment="1">
      <alignment horizontal="right"/>
    </xf>
    <xf numFmtId="1" fontId="6" fillId="20" borderId="220" xfId="0" applyNumberFormat="1" applyFont="1" applyFill="1" applyBorder="1" applyAlignment="1">
      <alignment horizontal="right"/>
    </xf>
    <xf numFmtId="1" fontId="6" fillId="20" borderId="73" xfId="0" applyNumberFormat="1" applyFont="1" applyFill="1" applyBorder="1" applyAlignment="1">
      <alignment horizontal="right"/>
    </xf>
    <xf numFmtId="1" fontId="6" fillId="20" borderId="70" xfId="0" applyNumberFormat="1" applyFont="1" applyFill="1" applyBorder="1" applyAlignment="1">
      <alignment horizontal="right"/>
    </xf>
    <xf numFmtId="0" fontId="6" fillId="0" borderId="0" xfId="0" applyFont="1"/>
    <xf numFmtId="1" fontId="6" fillId="0" borderId="206" xfId="129" applyNumberFormat="1" applyFont="1" applyBorder="1" applyAlignment="1" applyProtection="1">
      <alignment horizontal="center" vertical="center" wrapText="1"/>
    </xf>
    <xf numFmtId="1" fontId="6" fillId="0" borderId="206" xfId="129" applyNumberFormat="1" applyFont="1" applyBorder="1" applyAlignment="1" applyProtection="1">
      <alignment horizontal="right"/>
    </xf>
    <xf numFmtId="1" fontId="6" fillId="0" borderId="45" xfId="129" applyNumberFormat="1" applyFont="1" applyBorder="1" applyAlignment="1" applyProtection="1">
      <alignment horizontal="center" vertical="center" wrapText="1"/>
    </xf>
    <xf numFmtId="1" fontId="6" fillId="15" borderId="111" xfId="173" applyNumberFormat="1" applyFont="1" applyFill="1" applyBorder="1" applyAlignment="1">
      <alignment horizontal="right"/>
      <protection locked="0"/>
    </xf>
    <xf numFmtId="1" fontId="6" fillId="15" borderId="123" xfId="173" applyNumberFormat="1" applyFont="1" applyFill="1" applyBorder="1" applyAlignment="1">
      <alignment horizontal="right"/>
      <protection locked="0"/>
    </xf>
    <xf numFmtId="1" fontId="32" fillId="0" borderId="45" xfId="0" applyNumberFormat="1" applyFont="1" applyBorder="1"/>
    <xf numFmtId="1" fontId="6" fillId="0" borderId="206" xfId="178" applyNumberFormat="1" applyFont="1" applyFill="1" applyBorder="1" applyAlignment="1" applyProtection="1">
      <alignment horizontal="right"/>
    </xf>
    <xf numFmtId="1" fontId="6" fillId="0" borderId="227" xfId="174" applyNumberFormat="1" applyFont="1" applyFill="1" applyBorder="1" applyAlignment="1" applyProtection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33" borderId="225" xfId="125" applyNumberFormat="1" applyFont="1" applyFill="1" applyBorder="1" applyAlignment="1">
      <alignment horizontal="right"/>
    </xf>
    <xf numFmtId="1" fontId="6" fillId="0" borderId="221" xfId="125" applyNumberFormat="1" applyFont="1" applyBorder="1" applyAlignment="1" applyProtection="1">
      <alignment horizontal="center" vertical="center"/>
      <protection hidden="1"/>
    </xf>
    <xf numFmtId="0" fontId="38" fillId="0" borderId="0" xfId="179" applyFont="1" applyAlignment="1">
      <alignment horizontal="center"/>
    </xf>
    <xf numFmtId="0" fontId="39" fillId="0" borderId="0" xfId="179" applyFont="1" applyAlignment="1">
      <alignment horizontal="center"/>
    </xf>
    <xf numFmtId="1" fontId="6" fillId="34" borderId="0" xfId="0" applyNumberFormat="1" applyFont="1" applyFill="1"/>
    <xf numFmtId="0" fontId="38" fillId="0" borderId="72" xfId="179" applyFont="1" applyBorder="1" applyAlignment="1">
      <alignment horizontal="center"/>
    </xf>
    <xf numFmtId="1" fontId="12" fillId="34" borderId="0" xfId="0" applyNumberFormat="1" applyFont="1" applyFill="1"/>
    <xf numFmtId="0" fontId="12" fillId="34" borderId="0" xfId="0" applyFont="1" applyFill="1"/>
    <xf numFmtId="0" fontId="39" fillId="0" borderId="72" xfId="179" applyFont="1" applyBorder="1" applyAlignment="1">
      <alignment horizontal="center"/>
    </xf>
    <xf numFmtId="1" fontId="6" fillId="34" borderId="0" xfId="0" applyNumberFormat="1" applyFont="1" applyFill="1" applyProtection="1">
      <protection hidden="1"/>
    </xf>
    <xf numFmtId="1" fontId="6" fillId="0" borderId="72" xfId="0" applyNumberFormat="1" applyFont="1" applyBorder="1"/>
    <xf numFmtId="0" fontId="40" fillId="0" borderId="72" xfId="179" applyFont="1" applyBorder="1" applyAlignment="1">
      <alignment horizontal="center"/>
    </xf>
    <xf numFmtId="0" fontId="41" fillId="34" borderId="72" xfId="0" applyFont="1" applyFill="1" applyBorder="1"/>
    <xf numFmtId="0" fontId="40" fillId="34" borderId="72" xfId="179" applyFont="1" applyFill="1" applyBorder="1" applyAlignment="1">
      <alignment horizontal="center"/>
    </xf>
    <xf numFmtId="1" fontId="6" fillId="34" borderId="72" xfId="0" applyNumberFormat="1" applyFont="1" applyFill="1" applyBorder="1"/>
    <xf numFmtId="0" fontId="40" fillId="0" borderId="0" xfId="179" applyFont="1" applyAlignment="1">
      <alignment horizontal="center"/>
    </xf>
    <xf numFmtId="0" fontId="40" fillId="34" borderId="0" xfId="179" applyFont="1" applyFill="1" applyAlignment="1">
      <alignment horizontal="center"/>
    </xf>
    <xf numFmtId="0" fontId="41" fillId="34" borderId="0" xfId="0" applyFont="1" applyFill="1"/>
    <xf numFmtId="1" fontId="41" fillId="34" borderId="0" xfId="0" applyNumberFormat="1" applyFont="1" applyFill="1"/>
    <xf numFmtId="0" fontId="42" fillId="0" borderId="72" xfId="179" applyFont="1" applyBorder="1" applyAlignment="1">
      <alignment horizontal="center"/>
    </xf>
    <xf numFmtId="0" fontId="42" fillId="0" borderId="0" xfId="179" applyFont="1" applyAlignment="1">
      <alignment horizontal="center"/>
    </xf>
    <xf numFmtId="1" fontId="28" fillId="0" borderId="17" xfId="125" applyNumberFormat="1" applyFont="1" applyBorder="1" applyAlignment="1">
      <alignment vertical="center" wrapText="1"/>
    </xf>
    <xf numFmtId="1" fontId="28" fillId="0" borderId="22" xfId="125" applyNumberFormat="1" applyFont="1" applyBorder="1" applyAlignment="1">
      <alignment vertical="center" wrapText="1"/>
    </xf>
    <xf numFmtId="1" fontId="28" fillId="0" borderId="16" xfId="125" applyNumberFormat="1" applyFont="1" applyBorder="1" applyAlignment="1">
      <alignment vertical="center" wrapText="1"/>
    </xf>
    <xf numFmtId="1" fontId="28" fillId="0" borderId="91" xfId="125" applyNumberFormat="1" applyFont="1" applyBorder="1" applyAlignment="1" applyProtection="1">
      <alignment vertical="center" wrapText="1"/>
      <protection hidden="1"/>
    </xf>
    <xf numFmtId="1" fontId="28" fillId="0" borderId="94" xfId="125" applyNumberFormat="1" applyFont="1" applyBorder="1" applyAlignment="1" applyProtection="1">
      <alignment vertical="center"/>
      <protection hidden="1"/>
    </xf>
    <xf numFmtId="1" fontId="28" fillId="0" borderId="54" xfId="125" applyNumberFormat="1" applyFont="1" applyBorder="1" applyAlignment="1" applyProtection="1">
      <alignment vertical="center" wrapText="1"/>
      <protection hidden="1"/>
    </xf>
    <xf numFmtId="1" fontId="28" fillId="0" borderId="22" xfId="125" applyNumberFormat="1" applyFont="1" applyBorder="1" applyAlignment="1" applyProtection="1">
      <alignment vertical="center" wrapText="1"/>
      <protection hidden="1"/>
    </xf>
    <xf numFmtId="1" fontId="28" fillId="0" borderId="32" xfId="125" applyNumberFormat="1" applyFont="1" applyBorder="1" applyAlignment="1" applyProtection="1">
      <alignment vertical="center" wrapText="1"/>
      <protection hidden="1"/>
    </xf>
    <xf numFmtId="1" fontId="28" fillId="0" borderId="46" xfId="125" applyNumberFormat="1" applyFont="1" applyBorder="1" applyAlignment="1" applyProtection="1">
      <alignment vertical="center" wrapText="1"/>
      <protection hidden="1"/>
    </xf>
    <xf numFmtId="1" fontId="28" fillId="22" borderId="22" xfId="125" applyNumberFormat="1" applyFont="1" applyFill="1" applyBorder="1" applyAlignment="1" applyProtection="1">
      <alignment horizontal="left" vertical="center" wrapText="1"/>
      <protection hidden="1"/>
    </xf>
    <xf numFmtId="1" fontId="28" fillId="22" borderId="6" xfId="0" applyNumberFormat="1" applyFont="1" applyFill="1" applyBorder="1" applyAlignment="1">
      <alignment vertical="center"/>
    </xf>
    <xf numFmtId="1" fontId="28" fillId="22" borderId="226" xfId="125" applyNumberFormat="1" applyFont="1" applyFill="1" applyBorder="1" applyAlignment="1" applyProtection="1">
      <alignment horizontal="center" vertical="center" wrapText="1"/>
      <protection hidden="1"/>
    </xf>
    <xf numFmtId="1" fontId="28" fillId="17" borderId="6" xfId="125" applyNumberFormat="1" applyFont="1" applyFill="1" applyBorder="1" applyAlignment="1" applyProtection="1">
      <alignment horizontal="left" vertical="center" wrapText="1"/>
      <protection hidden="1"/>
    </xf>
    <xf numFmtId="0" fontId="41" fillId="0" borderId="0" xfId="0" applyFont="1"/>
    <xf numFmtId="1" fontId="6" fillId="0" borderId="72" xfId="125" applyNumberFormat="1" applyFont="1" applyBorder="1" applyProtection="1">
      <protection hidden="1"/>
    </xf>
    <xf numFmtId="1" fontId="6" fillId="0" borderId="72" xfId="0" applyNumberFormat="1" applyFont="1" applyBorder="1" applyProtection="1">
      <protection hidden="1"/>
    </xf>
    <xf numFmtId="1" fontId="6" fillId="34" borderId="0" xfId="125" applyNumberFormat="1" applyFont="1" applyFill="1" applyProtection="1">
      <protection hidden="1"/>
    </xf>
    <xf numFmtId="1" fontId="10" fillId="0" borderId="72" xfId="0" applyNumberFormat="1" applyFont="1" applyBorder="1"/>
    <xf numFmtId="0" fontId="40" fillId="0" borderId="200" xfId="179" applyFont="1" applyBorder="1" applyAlignment="1">
      <alignment horizontal="center"/>
    </xf>
    <xf numFmtId="0" fontId="43" fillId="22" borderId="72" xfId="0" applyFont="1" applyFill="1" applyBorder="1" applyAlignment="1">
      <alignment horizontal="center"/>
    </xf>
    <xf numFmtId="0" fontId="43" fillId="22" borderId="0" xfId="0" applyFont="1" applyFill="1" applyAlignment="1">
      <alignment horizontal="center"/>
    </xf>
    <xf numFmtId="0" fontId="43" fillId="34" borderId="0" xfId="0" applyFont="1" applyFill="1"/>
    <xf numFmtId="1" fontId="44" fillId="34" borderId="0" xfId="0" applyNumberFormat="1" applyFont="1" applyFill="1"/>
    <xf numFmtId="1" fontId="6" fillId="22" borderId="72" xfId="0" applyNumberFormat="1" applyFont="1" applyFill="1" applyBorder="1"/>
    <xf numFmtId="0" fontId="42" fillId="22" borderId="0" xfId="0" applyFont="1" applyFill="1" applyAlignment="1">
      <alignment horizontal="center"/>
    </xf>
    <xf numFmtId="0" fontId="40" fillId="0" borderId="72" xfId="179" applyFont="1" applyBorder="1" applyAlignment="1">
      <alignment horizontal="center" vertical="center"/>
    </xf>
    <xf numFmtId="1" fontId="41" fillId="34" borderId="0" xfId="129" applyNumberFormat="1" applyFont="1" applyFill="1" applyAlignment="1" applyProtection="1">
      <protection hidden="1"/>
    </xf>
    <xf numFmtId="1" fontId="6" fillId="34" borderId="0" xfId="129" applyNumberFormat="1" applyFont="1" applyFill="1" applyAlignment="1" applyProtection="1">
      <protection hidden="1"/>
    </xf>
    <xf numFmtId="1" fontId="29" fillId="0" borderId="0" xfId="0" applyNumberFormat="1" applyFont="1"/>
    <xf numFmtId="0" fontId="28" fillId="0" borderId="22" xfId="0" applyFont="1" applyBorder="1" applyAlignment="1">
      <alignment horizontal="left" vertical="center" wrapText="1"/>
    </xf>
    <xf numFmtId="0" fontId="28" fillId="0" borderId="46" xfId="0" applyFont="1" applyBorder="1" applyAlignment="1">
      <alignment horizontal="left" vertical="center" wrapText="1"/>
    </xf>
    <xf numFmtId="1" fontId="28" fillId="0" borderId="197" xfId="129" applyNumberFormat="1" applyFont="1" applyBorder="1" applyAlignment="1" applyProtection="1">
      <alignment horizontal="center" vertical="center" wrapText="1"/>
    </xf>
    <xf numFmtId="1" fontId="28" fillId="0" borderId="226" xfId="129" applyNumberFormat="1" applyFont="1" applyBorder="1" applyAlignment="1" applyProtection="1">
      <alignment horizontal="center" vertical="center" wrapText="1"/>
    </xf>
    <xf numFmtId="1" fontId="6" fillId="15" borderId="221" xfId="80" applyNumberFormat="1" applyFont="1" applyFill="1" applyBorder="1" applyAlignment="1" applyProtection="1">
      <alignment horizontal="right"/>
      <protection locked="0"/>
    </xf>
    <xf numFmtId="1" fontId="6" fillId="15" borderId="220" xfId="80" applyNumberFormat="1" applyFont="1" applyFill="1" applyBorder="1" applyAlignment="1" applyProtection="1">
      <alignment horizontal="right"/>
      <protection locked="0"/>
    </xf>
    <xf numFmtId="1" fontId="6" fillId="15" borderId="56" xfId="80" applyNumberFormat="1" applyFont="1" applyFill="1" applyBorder="1" applyAlignment="1" applyProtection="1">
      <alignment horizontal="right"/>
      <protection locked="0"/>
    </xf>
    <xf numFmtId="1" fontId="6" fillId="15" borderId="57" xfId="80" applyNumberFormat="1" applyFont="1" applyFill="1" applyBorder="1" applyAlignment="1" applyProtection="1">
      <alignment horizontal="right"/>
      <protection locked="0"/>
    </xf>
    <xf numFmtId="1" fontId="6" fillId="15" borderId="206" xfId="80" applyNumberFormat="1" applyFont="1" applyFill="1" applyBorder="1" applyAlignment="1" applyProtection="1">
      <alignment horizontal="right"/>
      <protection locked="0"/>
    </xf>
    <xf numFmtId="1" fontId="6" fillId="0" borderId="6" xfId="124" applyNumberFormat="1" applyFont="1" applyBorder="1" applyAlignment="1">
      <alignment horizontal="left"/>
    </xf>
    <xf numFmtId="1" fontId="6" fillId="0" borderId="22" xfId="124" applyNumberFormat="1" applyFont="1" applyBorder="1" applyAlignment="1">
      <alignment wrapText="1"/>
    </xf>
    <xf numFmtId="1" fontId="28" fillId="17" borderId="22" xfId="0" applyNumberFormat="1" applyFont="1" applyFill="1" applyBorder="1" applyAlignment="1" applyProtection="1">
      <alignment vertical="center" wrapText="1"/>
      <protection hidden="1"/>
    </xf>
    <xf numFmtId="1" fontId="28" fillId="17" borderId="26" xfId="0" applyNumberFormat="1" applyFont="1" applyFill="1" applyBorder="1" applyAlignment="1" applyProtection="1">
      <alignment vertical="center" wrapText="1"/>
      <protection hidden="1"/>
    </xf>
    <xf numFmtId="1" fontId="6" fillId="20" borderId="109" xfId="125" applyNumberFormat="1" applyFont="1" applyFill="1" applyBorder="1" applyAlignment="1" applyProtection="1">
      <alignment horizontal="right"/>
      <protection locked="0"/>
    </xf>
    <xf numFmtId="1" fontId="6" fillId="20" borderId="70" xfId="125" applyNumberFormat="1" applyFont="1" applyFill="1" applyBorder="1" applyAlignment="1" applyProtection="1">
      <alignment horizontal="right"/>
      <protection locked="0"/>
    </xf>
    <xf numFmtId="1" fontId="6" fillId="20" borderId="49" xfId="125" applyNumberFormat="1" applyFont="1" applyFill="1" applyBorder="1" applyAlignment="1" applyProtection="1">
      <alignment horizontal="right"/>
      <protection locked="0"/>
    </xf>
    <xf numFmtId="1" fontId="28" fillId="17" borderId="46" xfId="125" applyNumberFormat="1" applyFont="1" applyFill="1" applyBorder="1" applyAlignment="1" applyProtection="1">
      <alignment horizontal="left" vertical="center" wrapText="1"/>
      <protection hidden="1"/>
    </xf>
    <xf numFmtId="0" fontId="13" fillId="14" borderId="212" xfId="123" applyFont="1" applyFill="1" applyBorder="1" applyAlignment="1" applyProtection="1">
      <alignment horizontal="center" vertical="center" wrapText="1"/>
    </xf>
    <xf numFmtId="0" fontId="8" fillId="0" borderId="200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3" fillId="19" borderId="177" xfId="0" applyFont="1" applyFill="1" applyBorder="1" applyAlignment="1">
      <alignment horizontal="center" vertical="center" wrapText="1"/>
    </xf>
    <xf numFmtId="0" fontId="3" fillId="0" borderId="197" xfId="0" applyFont="1" applyBorder="1" applyAlignment="1">
      <alignment horizontal="center" vertical="center" wrapText="1"/>
    </xf>
    <xf numFmtId="0" fontId="4" fillId="19" borderId="204" xfId="123" applyFont="1" applyFill="1" applyBorder="1" applyAlignment="1" applyProtection="1">
      <alignment horizontal="center" vertical="center" wrapText="1"/>
    </xf>
    <xf numFmtId="0" fontId="11" fillId="14" borderId="209" xfId="119" applyFont="1" applyFill="1" applyBorder="1" applyAlignment="1">
      <alignment horizontal="center" vertical="center"/>
    </xf>
    <xf numFmtId="0" fontId="11" fillId="14" borderId="210" xfId="119" applyFont="1" applyFill="1" applyBorder="1" applyAlignment="1">
      <alignment horizontal="center" vertical="center"/>
    </xf>
    <xf numFmtId="0" fontId="7" fillId="19" borderId="209" xfId="123" applyFont="1" applyFill="1" applyBorder="1" applyAlignment="1" applyProtection="1">
      <alignment horizontal="center" vertical="center"/>
    </xf>
    <xf numFmtId="0" fontId="7" fillId="19" borderId="210" xfId="123" applyFont="1" applyFill="1" applyBorder="1" applyAlignment="1" applyProtection="1">
      <alignment horizontal="center" vertical="center"/>
    </xf>
    <xf numFmtId="0" fontId="4" fillId="0" borderId="171" xfId="0" applyFont="1" applyBorder="1" applyAlignment="1">
      <alignment horizontal="left" vertical="center"/>
    </xf>
    <xf numFmtId="0" fontId="4" fillId="0" borderId="182" xfId="0" applyFont="1" applyBorder="1" applyAlignment="1">
      <alignment horizontal="left" vertical="center"/>
    </xf>
    <xf numFmtId="1" fontId="4" fillId="0" borderId="201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4" fillId="0" borderId="190" xfId="0" applyNumberFormat="1" applyFont="1" applyBorder="1" applyAlignment="1" applyProtection="1">
      <alignment horizontal="left"/>
      <protection hidden="1"/>
    </xf>
    <xf numFmtId="1" fontId="4" fillId="0" borderId="178" xfId="0" applyNumberFormat="1" applyFont="1" applyBorder="1" applyAlignment="1" applyProtection="1">
      <alignment horizontal="left"/>
      <protection hidden="1"/>
    </xf>
    <xf numFmtId="1" fontId="4" fillId="0" borderId="9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4" fillId="0" borderId="176" xfId="0" applyNumberFormat="1" applyFont="1" applyBorder="1" applyAlignment="1" applyProtection="1">
      <alignment horizontal="left"/>
      <protection hidden="1"/>
    </xf>
    <xf numFmtId="1" fontId="4" fillId="0" borderId="182" xfId="0" applyNumberFormat="1" applyFont="1" applyBorder="1" applyAlignment="1" applyProtection="1">
      <alignment horizontal="left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26" xfId="0" applyNumberFormat="1" applyFont="1" applyBorder="1" applyAlignment="1" applyProtection="1">
      <alignment horizontal="left" vertical="center" wrapText="1"/>
      <protection hidden="1"/>
    </xf>
    <xf numFmtId="1" fontId="6" fillId="0" borderId="47" xfId="0" applyNumberFormat="1" applyFont="1" applyBorder="1" applyAlignment="1" applyProtection="1">
      <alignment horizontal="left"/>
      <protection hidden="1"/>
    </xf>
    <xf numFmtId="1" fontId="6" fillId="0" borderId="62" xfId="0" quotePrefix="1" applyNumberFormat="1" applyFont="1" applyBorder="1" applyAlignment="1" applyProtection="1">
      <alignment horizontal="left"/>
      <protection hidden="1"/>
    </xf>
    <xf numFmtId="0" fontId="6" fillId="0" borderId="179" xfId="0" applyFont="1" applyBorder="1" applyAlignment="1">
      <alignment horizontal="center" vertical="center" wrapText="1"/>
    </xf>
    <xf numFmtId="0" fontId="6" fillId="0" borderId="200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1" fontId="6" fillId="0" borderId="179" xfId="0" applyNumberFormat="1" applyFont="1" applyBorder="1" applyAlignment="1" applyProtection="1">
      <alignment horizontal="center" vertical="center" wrapText="1"/>
      <protection hidden="1"/>
    </xf>
    <xf numFmtId="1" fontId="6" fillId="0" borderId="6" xfId="0" applyNumberFormat="1" applyFont="1" applyBorder="1" applyAlignment="1" applyProtection="1">
      <alignment horizontal="center" vertical="center" wrapText="1"/>
      <protection hidden="1"/>
    </xf>
    <xf numFmtId="1" fontId="6" fillId="0" borderId="228" xfId="0" applyNumberFormat="1" applyFont="1" applyBorder="1" applyAlignment="1" applyProtection="1">
      <alignment horizontal="center" vertical="center" wrapText="1"/>
      <protection hidden="1"/>
    </xf>
    <xf numFmtId="1" fontId="6" fillId="0" borderId="225" xfId="0" applyNumberFormat="1" applyFont="1" applyBorder="1" applyAlignment="1" applyProtection="1">
      <alignment horizontal="center" vertical="center" wrapText="1"/>
      <protection hidden="1"/>
    </xf>
    <xf numFmtId="1" fontId="6" fillId="0" borderId="213" xfId="0" quotePrefix="1" applyNumberFormat="1" applyFont="1" applyBorder="1" applyAlignment="1" applyProtection="1">
      <alignment horizontal="center" vertical="center"/>
      <protection hidden="1"/>
    </xf>
    <xf numFmtId="1" fontId="6" fillId="0" borderId="214" xfId="0" quotePrefix="1" applyNumberFormat="1" applyFont="1" applyBorder="1" applyAlignment="1" applyProtection="1">
      <alignment horizontal="center" vertical="center"/>
      <protection hidden="1"/>
    </xf>
    <xf numFmtId="1" fontId="6" fillId="0" borderId="69" xfId="0" quotePrefix="1" applyNumberFormat="1" applyFont="1" applyBorder="1" applyAlignment="1" applyProtection="1">
      <alignment horizontal="center" vertical="center"/>
      <protection hidden="1"/>
    </xf>
    <xf numFmtId="1" fontId="6" fillId="0" borderId="16" xfId="0" quotePrefix="1" applyNumberFormat="1" applyFont="1" applyBorder="1" applyAlignment="1" applyProtection="1">
      <alignment horizontal="center" vertical="center"/>
      <protection hidden="1"/>
    </xf>
    <xf numFmtId="1" fontId="6" fillId="0" borderId="213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113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0" fontId="6" fillId="0" borderId="187" xfId="0" applyFont="1" applyBorder="1" applyAlignment="1">
      <alignment horizontal="center" vertical="center" wrapText="1"/>
    </xf>
    <xf numFmtId="0" fontId="6" fillId="0" borderId="97" xfId="0" applyFont="1" applyBorder="1" applyAlignment="1">
      <alignment horizontal="center" vertical="center" wrapText="1"/>
    </xf>
    <xf numFmtId="0" fontId="6" fillId="0" borderId="188" xfId="0" applyFont="1" applyBorder="1" applyAlignment="1">
      <alignment horizontal="center" vertical="center" wrapText="1"/>
    </xf>
    <xf numFmtId="0" fontId="6" fillId="0" borderId="108" xfId="0" applyFont="1" applyBorder="1" applyAlignment="1">
      <alignment horizontal="center" vertical="center" wrapText="1"/>
    </xf>
    <xf numFmtId="0" fontId="6" fillId="0" borderId="182" xfId="0" applyFont="1" applyBorder="1" applyAlignment="1">
      <alignment horizontal="center" vertical="center"/>
    </xf>
    <xf numFmtId="0" fontId="6" fillId="0" borderId="225" xfId="0" applyFont="1" applyBorder="1" applyAlignment="1">
      <alignment horizontal="center" vertical="center"/>
    </xf>
    <xf numFmtId="0" fontId="6" fillId="0" borderId="228" xfId="0" applyFont="1" applyBorder="1" applyAlignment="1">
      <alignment horizontal="center" vertical="center"/>
    </xf>
    <xf numFmtId="0" fontId="6" fillId="0" borderId="211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185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189" xfId="0" applyFont="1" applyBorder="1" applyAlignment="1">
      <alignment horizontal="center" vertical="center" wrapText="1"/>
    </xf>
    <xf numFmtId="0" fontId="6" fillId="0" borderId="60" xfId="0" applyFont="1" applyBorder="1" applyAlignment="1">
      <alignment horizontal="center" vertical="center" wrapText="1"/>
    </xf>
    <xf numFmtId="1" fontId="6" fillId="0" borderId="185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 applyProtection="1">
      <alignment horizontal="center" vertical="center" wrapText="1"/>
      <protection hidden="1"/>
    </xf>
    <xf numFmtId="1" fontId="6" fillId="0" borderId="184" xfId="0" applyNumberFormat="1" applyFont="1" applyBorder="1" applyAlignment="1" applyProtection="1">
      <alignment horizontal="center" vertical="center" wrapText="1"/>
      <protection hidden="1"/>
    </xf>
    <xf numFmtId="1" fontId="6" fillId="0" borderId="59" xfId="0" applyNumberFormat="1" applyFont="1" applyBorder="1" applyAlignment="1" applyProtection="1">
      <alignment horizontal="center" vertical="center" wrapText="1"/>
      <protection hidden="1"/>
    </xf>
    <xf numFmtId="1" fontId="6" fillId="0" borderId="53" xfId="0" applyNumberFormat="1" applyFont="1" applyBorder="1" applyAlignment="1" applyProtection="1">
      <alignment horizontal="left" vertical="center" wrapText="1"/>
      <protection hidden="1"/>
    </xf>
    <xf numFmtId="1" fontId="6" fillId="0" borderId="21" xfId="0" applyNumberFormat="1" applyFont="1" applyBorder="1" applyAlignment="1" applyProtection="1">
      <alignment horizontal="left" vertical="center" wrapText="1"/>
      <protection hidden="1"/>
    </xf>
    <xf numFmtId="1" fontId="6" fillId="0" borderId="209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210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6" fillId="0" borderId="59" xfId="0" applyNumberFormat="1" applyFont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2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 applyProtection="1">
      <alignment horizontal="center" vertical="center" wrapText="1"/>
      <protection hidden="1"/>
    </xf>
    <xf numFmtId="1" fontId="6" fillId="0" borderId="60" xfId="0" applyNumberFormat="1" applyFont="1" applyBorder="1" applyAlignment="1" applyProtection="1">
      <alignment horizontal="center" vertical="center" wrapText="1"/>
      <protection hidden="1"/>
    </xf>
    <xf numFmtId="1" fontId="6" fillId="0" borderId="182" xfId="0" applyNumberFormat="1" applyFont="1" applyBorder="1" applyAlignment="1" applyProtection="1">
      <alignment horizontal="center" vertical="center" wrapText="1"/>
      <protection hidden="1"/>
    </xf>
    <xf numFmtId="1" fontId="6" fillId="0" borderId="181" xfId="0" applyNumberFormat="1" applyFont="1" applyBorder="1" applyAlignment="1" applyProtection="1">
      <alignment horizontal="center" vertical="center" wrapText="1"/>
      <protection hidden="1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226" xfId="0" applyNumberFormat="1" applyFont="1" applyBorder="1" applyAlignment="1" applyProtection="1">
      <alignment horizontal="center" vertical="center" wrapText="1"/>
      <protection hidden="1"/>
    </xf>
    <xf numFmtId="1" fontId="6" fillId="0" borderId="187" xfId="0" applyNumberFormat="1" applyFont="1" applyBorder="1" applyAlignment="1" applyProtection="1">
      <alignment horizontal="center" vertical="center" wrapText="1"/>
      <protection hidden="1"/>
    </xf>
    <xf numFmtId="1" fontId="6" fillId="0" borderId="97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126" xfId="0" quotePrefix="1" applyNumberFormat="1" applyFont="1" applyBorder="1" applyAlignment="1" applyProtection="1">
      <alignment horizontal="center" vertical="center"/>
      <protection hidden="1"/>
    </xf>
    <xf numFmtId="1" fontId="6" fillId="0" borderId="153" xfId="0" quotePrefix="1" applyNumberFormat="1" applyFont="1" applyBorder="1" applyAlignment="1" applyProtection="1">
      <alignment horizontal="center" vertical="center"/>
      <protection hidden="1"/>
    </xf>
    <xf numFmtId="1" fontId="6" fillId="0" borderId="177" xfId="0" applyNumberFormat="1" applyFont="1" applyBorder="1" applyAlignment="1">
      <alignment horizontal="left" vertical="center"/>
    </xf>
    <xf numFmtId="1" fontId="6" fillId="0" borderId="197" xfId="0" applyNumberFormat="1" applyFont="1" applyBorder="1" applyAlignment="1">
      <alignment horizontal="left" vertical="center"/>
    </xf>
    <xf numFmtId="1" fontId="6" fillId="0" borderId="127" xfId="0" applyNumberFormat="1" applyFont="1" applyBorder="1" applyAlignment="1" applyProtection="1">
      <alignment horizontal="left" vertical="center" wrapText="1"/>
      <protection hidden="1"/>
    </xf>
    <xf numFmtId="1" fontId="6" fillId="0" borderId="36" xfId="0" applyNumberFormat="1" applyFont="1" applyBorder="1" applyAlignment="1" applyProtection="1">
      <alignment horizontal="left" vertical="center" wrapText="1"/>
      <protection hidden="1"/>
    </xf>
    <xf numFmtId="1" fontId="6" fillId="0" borderId="209" xfId="0" applyNumberFormat="1" applyFont="1" applyBorder="1" applyAlignment="1" applyProtection="1">
      <alignment horizontal="center" vertical="center"/>
      <protection hidden="1"/>
    </xf>
    <xf numFmtId="1" fontId="6" fillId="0" borderId="215" xfId="0" applyNumberFormat="1" applyFont="1" applyBorder="1" applyAlignment="1" applyProtection="1">
      <alignment horizontal="center" vertical="center"/>
      <protection hidden="1"/>
    </xf>
    <xf numFmtId="1" fontId="6" fillId="0" borderId="216" xfId="0" applyNumberFormat="1" applyFont="1" applyBorder="1" applyAlignment="1" applyProtection="1">
      <alignment horizontal="center" vertical="center"/>
      <protection hidden="1"/>
    </xf>
    <xf numFmtId="1" fontId="6" fillId="0" borderId="213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177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horizontal="left" vertical="center" wrapText="1"/>
      <protection hidden="1"/>
    </xf>
    <xf numFmtId="1" fontId="6" fillId="0" borderId="69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>
      <alignment horizontal="left" vertical="center"/>
    </xf>
    <xf numFmtId="1" fontId="6" fillId="0" borderId="17" xfId="0" applyNumberFormat="1" applyFont="1" applyBorder="1" applyAlignment="1" applyProtection="1">
      <alignment horizontal="center" vertical="center" wrapText="1"/>
      <protection hidden="1"/>
    </xf>
    <xf numFmtId="1" fontId="6" fillId="0" borderId="46" xfId="0" applyNumberFormat="1" applyFont="1" applyBorder="1" applyAlignment="1" applyProtection="1">
      <alignment horizontal="center" vertical="center" wrapText="1"/>
      <protection hidden="1"/>
    </xf>
    <xf numFmtId="1" fontId="6" fillId="0" borderId="188" xfId="0" applyNumberFormat="1" applyFont="1" applyBorder="1" applyAlignment="1" applyProtection="1">
      <alignment horizontal="center" vertical="center" wrapText="1"/>
      <protection hidden="1"/>
    </xf>
    <xf numFmtId="1" fontId="6" fillId="0" borderId="108" xfId="0" applyNumberFormat="1" applyFont="1" applyBorder="1" applyAlignment="1" applyProtection="1">
      <alignment horizontal="center" vertical="center" wrapText="1"/>
      <protection hidden="1"/>
    </xf>
    <xf numFmtId="1" fontId="6" fillId="0" borderId="227" xfId="0" applyNumberFormat="1" applyFont="1" applyBorder="1" applyAlignment="1" applyProtection="1">
      <alignment horizontal="center" vertical="center" wrapText="1"/>
      <protection hidden="1"/>
    </xf>
    <xf numFmtId="1" fontId="6" fillId="0" borderId="182" xfId="0" applyNumberFormat="1" applyFont="1" applyBorder="1" applyAlignment="1" applyProtection="1">
      <alignment horizontal="left" vertical="center" wrapText="1"/>
      <protection hidden="1"/>
    </xf>
    <xf numFmtId="1" fontId="6" fillId="0" borderId="225" xfId="0" applyNumberFormat="1" applyFont="1" applyBorder="1" applyAlignment="1" applyProtection="1">
      <alignment horizontal="left" vertical="center" wrapText="1"/>
      <protection hidden="1"/>
    </xf>
    <xf numFmtId="1" fontId="6" fillId="0" borderId="144" xfId="0" applyNumberFormat="1" applyFont="1" applyBorder="1" applyAlignment="1" applyProtection="1">
      <alignment horizontal="center" vertical="center" wrapText="1"/>
      <protection hidden="1"/>
    </xf>
    <xf numFmtId="1" fontId="6" fillId="0" borderId="179" xfId="0" applyNumberFormat="1" applyFont="1" applyBorder="1" applyAlignment="1" applyProtection="1">
      <alignment horizontal="center" vertical="center"/>
      <protection hidden="1"/>
    </xf>
    <xf numFmtId="1" fontId="6" fillId="0" borderId="6" xfId="0" applyNumberFormat="1" applyFont="1" applyBorder="1" applyAlignment="1" applyProtection="1">
      <alignment horizontal="center" vertical="center"/>
      <protection hidden="1"/>
    </xf>
    <xf numFmtId="1" fontId="6" fillId="0" borderId="55" xfId="0" applyNumberFormat="1" applyFont="1" applyBorder="1" applyAlignment="1" applyProtection="1">
      <alignment horizontal="left" vertical="center" wrapText="1"/>
      <protection hidden="1"/>
    </xf>
    <xf numFmtId="1" fontId="6" fillId="0" borderId="94" xfId="0" applyNumberFormat="1" applyFont="1" applyBorder="1" applyAlignment="1" applyProtection="1">
      <alignment horizontal="left" vertical="center" wrapText="1"/>
      <protection hidden="1"/>
    </xf>
    <xf numFmtId="0" fontId="6" fillId="0" borderId="226" xfId="0" applyFont="1" applyBorder="1" applyAlignment="1">
      <alignment horizontal="center" wrapText="1"/>
    </xf>
    <xf numFmtId="1" fontId="6" fillId="0" borderId="211" xfId="0" applyNumberFormat="1" applyFont="1" applyBorder="1" applyAlignment="1" applyProtection="1">
      <alignment horizontal="left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86" xfId="0" applyNumberFormat="1" applyFont="1" applyBorder="1" applyAlignment="1">
      <alignment horizontal="center" vertical="center" wrapText="1"/>
    </xf>
    <xf numFmtId="1" fontId="6" fillId="0" borderId="128" xfId="0" applyNumberFormat="1" applyFont="1" applyBorder="1" applyAlignment="1">
      <alignment horizontal="center" vertical="center" wrapText="1"/>
    </xf>
    <xf numFmtId="1" fontId="6" fillId="0" borderId="61" xfId="0" applyNumberFormat="1" applyFont="1" applyBorder="1" applyAlignment="1">
      <alignment horizontal="center" vertical="center" wrapText="1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228" xfId="124" applyNumberFormat="1" applyFont="1" applyBorder="1" applyAlignment="1">
      <alignment horizontal="center" vertical="center" wrapText="1"/>
    </xf>
    <xf numFmtId="1" fontId="6" fillId="0" borderId="225" xfId="124" applyNumberFormat="1" applyFont="1" applyBorder="1" applyAlignment="1">
      <alignment horizontal="center" vertical="center" wrapText="1"/>
    </xf>
    <xf numFmtId="1" fontId="6" fillId="0" borderId="182" xfId="124" applyNumberFormat="1" applyFont="1" applyBorder="1" applyAlignment="1">
      <alignment horizontal="center" vertical="center" wrapText="1"/>
    </xf>
    <xf numFmtId="1" fontId="6" fillId="0" borderId="181" xfId="124" applyNumberFormat="1" applyFont="1" applyBorder="1" applyAlignment="1">
      <alignment horizontal="center" vertical="center" wrapText="1"/>
    </xf>
    <xf numFmtId="1" fontId="6" fillId="0" borderId="72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126" xfId="124" applyNumberFormat="1" applyFont="1" applyBorder="1" applyAlignment="1">
      <alignment horizontal="center" vertical="center" wrapText="1"/>
    </xf>
    <xf numFmtId="1" fontId="6" fillId="0" borderId="153" xfId="124" applyNumberFormat="1" applyFont="1" applyBorder="1" applyAlignment="1">
      <alignment horizontal="center" vertical="center" wrapText="1"/>
    </xf>
    <xf numFmtId="1" fontId="6" fillId="0" borderId="180" xfId="0" applyNumberFormat="1" applyFont="1" applyBorder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26" xfId="124" applyNumberFormat="1" applyFont="1" applyBorder="1" applyAlignment="1">
      <alignment horizontal="left" vertical="center" wrapText="1"/>
    </xf>
    <xf numFmtId="1" fontId="6" fillId="0" borderId="180" xfId="125" applyNumberFormat="1" applyFont="1" applyBorder="1" applyAlignment="1">
      <alignment horizontal="center" vertical="center"/>
    </xf>
    <xf numFmtId="1" fontId="6" fillId="0" borderId="211" xfId="125" applyNumberFormat="1" applyFont="1" applyBorder="1" applyAlignment="1">
      <alignment horizontal="center" vertical="center"/>
    </xf>
    <xf numFmtId="1" fontId="6" fillId="0" borderId="181" xfId="125" applyNumberFormat="1" applyFont="1" applyBorder="1" applyAlignment="1">
      <alignment horizontal="center" vertical="center"/>
    </xf>
    <xf numFmtId="1" fontId="6" fillId="0" borderId="69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6" xfId="125" applyNumberFormat="1" applyFont="1" applyBorder="1" applyAlignment="1">
      <alignment horizontal="center" vertical="center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6" xfId="124" applyNumberFormat="1" applyFont="1" applyBorder="1" applyAlignment="1">
      <alignment horizontal="center" vertical="center" wrapText="1"/>
    </xf>
    <xf numFmtId="1" fontId="6" fillId="0" borderId="179" xfId="124" applyNumberFormat="1" applyFont="1" applyBorder="1" applyAlignment="1">
      <alignment horizontal="center" vertical="center" wrapText="1"/>
    </xf>
    <xf numFmtId="1" fontId="6" fillId="22" borderId="228" xfId="124" applyNumberFormat="1" applyFont="1" applyFill="1" applyBorder="1" applyAlignment="1">
      <alignment horizontal="center" vertical="center" wrapText="1"/>
    </xf>
    <xf numFmtId="1" fontId="6" fillId="22" borderId="225" xfId="124" applyNumberFormat="1" applyFont="1" applyFill="1" applyBorder="1" applyAlignment="1">
      <alignment horizontal="center" vertical="center" wrapText="1"/>
    </xf>
    <xf numFmtId="1" fontId="6" fillId="0" borderId="180" xfId="124" applyNumberFormat="1" applyFont="1" applyBorder="1" applyAlignment="1">
      <alignment horizontal="center" vertical="center" wrapText="1"/>
    </xf>
    <xf numFmtId="1" fontId="6" fillId="0" borderId="181" xfId="124" applyNumberFormat="1" applyFont="1" applyBorder="1" applyAlignment="1">
      <alignment horizontal="center" vertical="center"/>
    </xf>
    <xf numFmtId="1" fontId="6" fillId="0" borderId="203" xfId="124" applyNumberFormat="1" applyFont="1" applyBorder="1" applyAlignment="1">
      <alignment horizontal="center" vertical="center"/>
    </xf>
    <xf numFmtId="1" fontId="6" fillId="0" borderId="72" xfId="124" applyNumberFormat="1" applyFont="1" applyBorder="1" applyAlignment="1">
      <alignment horizontal="center" vertical="center"/>
    </xf>
    <xf numFmtId="1" fontId="6" fillId="0" borderId="69" xfId="124" applyNumberFormat="1" applyFont="1" applyBorder="1" applyAlignment="1">
      <alignment horizontal="center" vertical="center"/>
    </xf>
    <xf numFmtId="1" fontId="6" fillId="0" borderId="16" xfId="124" applyNumberFormat="1" applyFont="1" applyBorder="1" applyAlignment="1">
      <alignment horizontal="center" vertical="center"/>
    </xf>
    <xf numFmtId="1" fontId="6" fillId="0" borderId="51" xfId="124" applyNumberFormat="1" applyFont="1" applyBorder="1" applyAlignment="1">
      <alignment horizontal="left" vertical="center"/>
    </xf>
    <xf numFmtId="1" fontId="6" fillId="0" borderId="14" xfId="124" applyNumberFormat="1" applyFont="1" applyBorder="1" applyAlignment="1">
      <alignment horizontal="left" vertical="center"/>
    </xf>
    <xf numFmtId="1" fontId="6" fillId="0" borderId="53" xfId="124" applyNumberFormat="1" applyFont="1" applyBorder="1" applyAlignment="1">
      <alignment horizontal="left" vertical="center"/>
    </xf>
    <xf numFmtId="1" fontId="6" fillId="0" borderId="21" xfId="124" applyNumberFormat="1" applyFont="1" applyBorder="1" applyAlignment="1">
      <alignment horizontal="left" vertical="center"/>
    </xf>
    <xf numFmtId="1" fontId="6" fillId="0" borderId="55" xfId="124" applyNumberFormat="1" applyFont="1" applyBorder="1" applyAlignment="1">
      <alignment horizontal="left" vertical="center"/>
    </xf>
    <xf numFmtId="1" fontId="6" fillId="0" borderId="94" xfId="124" applyNumberFormat="1" applyFont="1" applyBorder="1" applyAlignment="1">
      <alignment horizontal="left" vertical="center"/>
    </xf>
    <xf numFmtId="1" fontId="6" fillId="0" borderId="228" xfId="124" quotePrefix="1" applyNumberFormat="1" applyFont="1" applyBorder="1" applyAlignment="1">
      <alignment horizontal="center" vertical="center" wrapText="1"/>
    </xf>
    <xf numFmtId="1" fontId="6" fillId="0" borderId="182" xfId="124" quotePrefix="1" applyNumberFormat="1" applyFont="1" applyBorder="1" applyAlignment="1">
      <alignment horizontal="center" vertical="center" wrapText="1"/>
    </xf>
    <xf numFmtId="1" fontId="6" fillId="0" borderId="55" xfId="124" applyNumberFormat="1" applyFont="1" applyBorder="1" applyAlignment="1">
      <alignment horizontal="left" vertical="center" wrapText="1"/>
    </xf>
    <xf numFmtId="1" fontId="6" fillId="0" borderId="94" xfId="124" applyNumberFormat="1" applyFont="1" applyBorder="1" applyAlignment="1">
      <alignment horizontal="left" vertical="center" wrapText="1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69" xfId="124" applyNumberFormat="1" applyFont="1" applyBorder="1" applyAlignment="1">
      <alignment horizontal="center" vertical="center" wrapText="1"/>
    </xf>
    <xf numFmtId="1" fontId="6" fillId="0" borderId="224" xfId="124" applyNumberFormat="1" applyFont="1" applyBorder="1" applyAlignment="1">
      <alignment horizontal="center" vertical="center" wrapText="1"/>
    </xf>
    <xf numFmtId="1" fontId="6" fillId="0" borderId="224" xfId="124" quotePrefix="1" applyNumberFormat="1" applyFont="1" applyBorder="1" applyAlignment="1">
      <alignment horizontal="center" vertical="center" wrapText="1"/>
    </xf>
    <xf numFmtId="1" fontId="28" fillId="0" borderId="5" xfId="124" applyNumberFormat="1" applyFont="1" applyBorder="1" applyAlignment="1">
      <alignment horizontal="center" vertical="center" wrapText="1"/>
    </xf>
    <xf numFmtId="1" fontId="28" fillId="0" borderId="152" xfId="124" applyNumberFormat="1" applyFont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/>
    </xf>
    <xf numFmtId="1" fontId="6" fillId="0" borderId="26" xfId="124" applyNumberFormat="1" applyFont="1" applyBorder="1" applyAlignment="1">
      <alignment horizontal="left" vertical="center"/>
    </xf>
    <xf numFmtId="1" fontId="6" fillId="0" borderId="179" xfId="124" applyNumberFormat="1" applyFont="1" applyBorder="1" applyAlignment="1">
      <alignment horizontal="center" vertical="center"/>
    </xf>
    <xf numFmtId="1" fontId="6" fillId="0" borderId="6" xfId="124" applyNumberFormat="1" applyFont="1" applyBorder="1" applyAlignment="1">
      <alignment horizontal="center" vertical="center"/>
    </xf>
    <xf numFmtId="1" fontId="6" fillId="22" borderId="51" xfId="0" applyNumberFormat="1" applyFont="1" applyFill="1" applyBorder="1" applyAlignment="1">
      <alignment horizontal="left"/>
    </xf>
    <xf numFmtId="1" fontId="6" fillId="22" borderId="14" xfId="0" applyNumberFormat="1" applyFont="1" applyFill="1" applyBorder="1" applyAlignment="1">
      <alignment horizontal="left"/>
    </xf>
    <xf numFmtId="1" fontId="6" fillId="22" borderId="52" xfId="109" applyNumberFormat="1" applyFont="1" applyFill="1" applyBorder="1" applyAlignment="1">
      <alignment horizontal="left"/>
    </xf>
    <xf numFmtId="1" fontId="6" fillId="22" borderId="26" xfId="109" applyNumberFormat="1" applyFont="1" applyFill="1" applyBorder="1" applyAlignment="1">
      <alignment horizontal="left"/>
    </xf>
    <xf numFmtId="1" fontId="6" fillId="22" borderId="179" xfId="124" applyNumberFormat="1" applyFont="1" applyFill="1" applyBorder="1" applyAlignment="1">
      <alignment horizontal="center" vertical="center"/>
    </xf>
    <xf numFmtId="1" fontId="6" fillId="22" borderId="6" xfId="124" applyNumberFormat="1" applyFont="1" applyFill="1" applyBorder="1" applyAlignment="1">
      <alignment horizontal="center" vertical="center"/>
    </xf>
    <xf numFmtId="1" fontId="6" fillId="22" borderId="180" xfId="124" applyNumberFormat="1" applyFont="1" applyFill="1" applyBorder="1" applyAlignment="1">
      <alignment horizontal="center" vertical="center" wrapText="1"/>
    </xf>
    <xf numFmtId="1" fontId="6" fillId="22" borderId="181" xfId="124" applyNumberFormat="1" applyFont="1" applyFill="1" applyBorder="1" applyAlignment="1">
      <alignment horizontal="center" vertical="center" wrapText="1"/>
    </xf>
    <xf numFmtId="1" fontId="6" fillId="22" borderId="69" xfId="124" applyNumberFormat="1" applyFont="1" applyFill="1" applyBorder="1" applyAlignment="1">
      <alignment horizontal="center" vertical="center" wrapText="1"/>
    </xf>
    <xf numFmtId="1" fontId="6" fillId="22" borderId="16" xfId="124" applyNumberFormat="1" applyFont="1" applyFill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left"/>
    </xf>
    <xf numFmtId="1" fontId="6" fillId="0" borderId="94" xfId="0" applyNumberFormat="1" applyFont="1" applyBorder="1" applyAlignment="1">
      <alignment horizontal="left"/>
    </xf>
    <xf numFmtId="1" fontId="6" fillId="0" borderId="211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/>
    </xf>
    <xf numFmtId="1" fontId="6" fillId="0" borderId="14" xfId="0" applyNumberFormat="1" applyFont="1" applyBorder="1" applyAlignment="1">
      <alignment horizontal="left"/>
    </xf>
    <xf numFmtId="1" fontId="6" fillId="22" borderId="228" xfId="0" applyNumberFormat="1" applyFont="1" applyFill="1" applyBorder="1"/>
    <xf numFmtId="1" fontId="6" fillId="22" borderId="225" xfId="0" applyNumberFormat="1" applyFont="1" applyFill="1" applyBorder="1"/>
    <xf numFmtId="1" fontId="6" fillId="0" borderId="228" xfId="0" applyNumberFormat="1" applyFont="1" applyBorder="1"/>
    <xf numFmtId="1" fontId="6" fillId="0" borderId="225" xfId="0" applyNumberFormat="1" applyFont="1" applyBorder="1"/>
    <xf numFmtId="1" fontId="6" fillId="22" borderId="52" xfId="0" applyNumberFormat="1" applyFont="1" applyFill="1" applyBorder="1" applyAlignment="1">
      <alignment horizontal="left"/>
    </xf>
    <xf numFmtId="1" fontId="6" fillId="22" borderId="26" xfId="0" applyNumberFormat="1" applyFont="1" applyFill="1" applyBorder="1" applyAlignment="1">
      <alignment horizontal="left"/>
    </xf>
    <xf numFmtId="1" fontId="6" fillId="0" borderId="47" xfId="124" applyNumberFormat="1" applyFont="1" applyBorder="1" applyAlignment="1">
      <alignment horizontal="center" vertical="center" wrapText="1"/>
    </xf>
    <xf numFmtId="1" fontId="6" fillId="0" borderId="62" xfId="124" applyNumberFormat="1" applyFont="1" applyBorder="1" applyAlignment="1">
      <alignment horizontal="center" vertical="center" wrapText="1"/>
    </xf>
    <xf numFmtId="1" fontId="6" fillId="0" borderId="48" xfId="124" applyNumberFormat="1" applyFont="1" applyBorder="1" applyAlignment="1">
      <alignment horizontal="center" vertical="center" wrapText="1"/>
    </xf>
    <xf numFmtId="1" fontId="6" fillId="0" borderId="49" xfId="124" applyNumberFormat="1" applyFont="1" applyBorder="1" applyAlignment="1">
      <alignment horizontal="center" vertical="center" wrapText="1"/>
    </xf>
    <xf numFmtId="1" fontId="6" fillId="0" borderId="78" xfId="124" applyNumberFormat="1" applyFont="1" applyBorder="1" applyAlignment="1">
      <alignment horizontal="center" vertical="center" wrapText="1"/>
    </xf>
    <xf numFmtId="1" fontId="6" fillId="0" borderId="77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2" xfId="0" applyNumberFormat="1" applyFont="1" applyBorder="1" applyAlignment="1" applyProtection="1">
      <alignment horizontal="center" vertical="center" wrapText="1"/>
      <protection hidden="1"/>
    </xf>
    <xf numFmtId="1" fontId="6" fillId="0" borderId="32" xfId="0" applyNumberFormat="1" applyFont="1" applyBorder="1" applyAlignment="1" applyProtection="1">
      <alignment horizontal="center" vertical="center" wrapText="1"/>
      <protection hidden="1"/>
    </xf>
    <xf numFmtId="1" fontId="6" fillId="0" borderId="183" xfId="124" applyNumberFormat="1" applyFont="1" applyBorder="1" applyAlignment="1">
      <alignment horizontal="center" vertical="center" wrapText="1"/>
    </xf>
    <xf numFmtId="1" fontId="6" fillId="0" borderId="113" xfId="124" applyNumberFormat="1" applyFont="1" applyBorder="1" applyAlignment="1">
      <alignment horizontal="center" vertical="center" wrapText="1"/>
    </xf>
    <xf numFmtId="1" fontId="6" fillId="0" borderId="187" xfId="124" applyNumberFormat="1" applyFont="1" applyBorder="1" applyAlignment="1">
      <alignment horizontal="center" vertical="center" wrapText="1"/>
    </xf>
    <xf numFmtId="1" fontId="6" fillId="0" borderId="97" xfId="0" applyNumberFormat="1" applyFont="1" applyBorder="1" applyAlignment="1">
      <alignment horizontal="center" vertical="center" wrapText="1"/>
    </xf>
    <xf numFmtId="1" fontId="6" fillId="0" borderId="188" xfId="124" applyNumberFormat="1" applyFont="1" applyBorder="1" applyAlignment="1">
      <alignment horizontal="center" vertical="center" wrapText="1"/>
    </xf>
    <xf numFmtId="1" fontId="6" fillId="0" borderId="108" xfId="0" applyNumberFormat="1" applyFont="1" applyBorder="1" applyAlignment="1">
      <alignment horizontal="center" vertical="center" wrapText="1"/>
    </xf>
    <xf numFmtId="1" fontId="6" fillId="0" borderId="184" xfId="124" applyNumberFormat="1" applyFont="1" applyBorder="1" applyAlignment="1">
      <alignment horizontal="center" vertical="center" wrapText="1"/>
    </xf>
    <xf numFmtId="1" fontId="6" fillId="0" borderId="17" xfId="124" applyNumberFormat="1" applyFont="1" applyBorder="1" applyAlignment="1">
      <alignment horizontal="center" vertical="center" wrapText="1"/>
    </xf>
    <xf numFmtId="1" fontId="6" fillId="0" borderId="22" xfId="124" applyNumberFormat="1" applyFont="1" applyBorder="1" applyAlignment="1">
      <alignment horizontal="center" vertical="center" wrapText="1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228" xfId="124" applyNumberFormat="1" applyFont="1" applyBorder="1" applyAlignment="1">
      <alignment horizontal="left" vertical="center" wrapText="1"/>
    </xf>
    <xf numFmtId="1" fontId="6" fillId="0" borderId="225" xfId="124" applyNumberFormat="1" applyFont="1" applyBorder="1" applyAlignment="1">
      <alignment horizontal="left" vertical="center" wrapText="1"/>
    </xf>
    <xf numFmtId="1" fontId="6" fillId="22" borderId="192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22" borderId="130" xfId="0" applyNumberFormat="1" applyFont="1" applyFill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29" xfId="0" applyNumberFormat="1" applyFont="1" applyBorder="1" applyAlignment="1">
      <alignment horizontal="center" vertical="center" wrapText="1"/>
    </xf>
    <xf numFmtId="1" fontId="6" fillId="0" borderId="130" xfId="0" applyNumberFormat="1" applyFont="1" applyBorder="1" applyAlignment="1">
      <alignment horizontal="center" vertical="center" wrapText="1"/>
    </xf>
    <xf numFmtId="1" fontId="6" fillId="0" borderId="225" xfId="0" applyNumberFormat="1" applyFont="1" applyBorder="1" applyAlignment="1">
      <alignment horizontal="center" vertical="center" wrapText="1"/>
    </xf>
    <xf numFmtId="1" fontId="6" fillId="0" borderId="226" xfId="0" applyNumberFormat="1" applyFont="1" applyBorder="1" applyAlignment="1">
      <alignment horizontal="center" vertical="center" wrapText="1"/>
    </xf>
    <xf numFmtId="1" fontId="6" fillId="0" borderId="45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25" xfId="124" quotePrefix="1" applyNumberFormat="1" applyFont="1" applyBorder="1" applyAlignment="1">
      <alignment horizontal="center" vertical="center" wrapText="1"/>
    </xf>
    <xf numFmtId="1" fontId="10" fillId="0" borderId="228" xfId="124" applyNumberFormat="1" applyFont="1" applyBorder="1" applyAlignment="1">
      <alignment horizontal="center" vertical="center" wrapText="1"/>
    </xf>
    <xf numFmtId="1" fontId="10" fillId="0" borderId="225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72" xfId="125" applyNumberFormat="1" applyFont="1" applyBorder="1" applyAlignment="1">
      <alignment horizontal="center" vertical="center"/>
    </xf>
    <xf numFmtId="1" fontId="6" fillId="0" borderId="192" xfId="124" applyNumberFormat="1" applyFont="1" applyBorder="1" applyAlignment="1">
      <alignment horizontal="center" vertical="center" wrapText="1"/>
    </xf>
    <xf numFmtId="1" fontId="6" fillId="0" borderId="129" xfId="124" applyNumberFormat="1" applyFont="1" applyBorder="1" applyAlignment="1">
      <alignment horizontal="center" vertical="center" wrapText="1"/>
    </xf>
    <xf numFmtId="1" fontId="6" fillId="0" borderId="130" xfId="124" applyNumberFormat="1" applyFont="1" applyBorder="1" applyAlignment="1">
      <alignment horizontal="center" vertical="center" wrapText="1"/>
    </xf>
    <xf numFmtId="1" fontId="10" fillId="0" borderId="131" xfId="124" applyNumberFormat="1" applyFont="1" applyBorder="1" applyAlignment="1">
      <alignment horizontal="center" vertical="center" wrapText="1"/>
    </xf>
    <xf numFmtId="1" fontId="10" fillId="0" borderId="16" xfId="124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50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0" borderId="98" xfId="124" applyNumberFormat="1" applyFont="1" applyBorder="1" applyAlignment="1">
      <alignment horizontal="center" vertical="center" wrapText="1"/>
    </xf>
    <xf numFmtId="1" fontId="6" fillId="0" borderId="112" xfId="124" applyNumberFormat="1" applyFont="1" applyBorder="1" applyAlignment="1">
      <alignment horizontal="center" vertical="center" wrapText="1"/>
    </xf>
    <xf numFmtId="1" fontId="6" fillId="0" borderId="5" xfId="124" quotePrefix="1" applyNumberFormat="1" applyFont="1" applyBorder="1" applyAlignment="1">
      <alignment horizontal="center" vertical="center" wrapText="1"/>
    </xf>
    <xf numFmtId="1" fontId="6" fillId="0" borderId="151" xfId="124" quotePrefix="1" applyNumberFormat="1" applyFont="1" applyBorder="1" applyAlignment="1">
      <alignment horizontal="center" vertical="center" wrapText="1"/>
    </xf>
    <xf numFmtId="1" fontId="6" fillId="0" borderId="56" xfId="124" quotePrefix="1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center" vertical="center" wrapText="1"/>
    </xf>
    <xf numFmtId="1" fontId="6" fillId="0" borderId="99" xfId="0" applyNumberFormat="1" applyFont="1" applyBorder="1" applyAlignment="1">
      <alignment horizontal="center" vertical="center" wrapText="1"/>
    </xf>
    <xf numFmtId="1" fontId="6" fillId="0" borderId="107" xfId="0" applyNumberFormat="1" applyFont="1" applyBorder="1" applyAlignment="1">
      <alignment horizontal="center" vertical="center" wrapText="1"/>
    </xf>
    <xf numFmtId="1" fontId="6" fillId="0" borderId="101" xfId="0" applyNumberFormat="1" applyFont="1" applyBorder="1" applyAlignment="1">
      <alignment horizontal="center" vertical="center" wrapText="1"/>
    </xf>
    <xf numFmtId="1" fontId="6" fillId="0" borderId="228" xfId="124" applyNumberFormat="1" applyFont="1" applyBorder="1" applyAlignment="1">
      <alignment horizontal="center" vertical="center"/>
    </xf>
    <xf numFmtId="1" fontId="6" fillId="0" borderId="182" xfId="124" applyNumberFormat="1" applyFont="1" applyBorder="1" applyAlignment="1">
      <alignment horizontal="center" vertical="center"/>
    </xf>
    <xf numFmtId="1" fontId="6" fillId="0" borderId="225" xfId="124" applyNumberFormat="1" applyFont="1" applyBorder="1" applyAlignment="1">
      <alignment horizontal="center" vertical="center"/>
    </xf>
    <xf numFmtId="1" fontId="6" fillId="0" borderId="10" xfId="124" applyNumberFormat="1" applyFont="1" applyBorder="1" applyAlignment="1">
      <alignment horizontal="center" vertical="center" wrapText="1"/>
    </xf>
    <xf numFmtId="1" fontId="6" fillId="0" borderId="185" xfId="124" applyNumberFormat="1" applyFont="1" applyBorder="1" applyAlignment="1">
      <alignment horizontal="center"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182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182" xfId="124" quotePrefix="1" applyNumberFormat="1" applyFont="1" applyFill="1" applyBorder="1" applyAlignment="1">
      <alignment horizontal="left"/>
    </xf>
    <xf numFmtId="1" fontId="4" fillId="0" borderId="211" xfId="124" quotePrefix="1" applyNumberFormat="1" applyFont="1" applyBorder="1" applyAlignment="1">
      <alignment horizontal="left"/>
    </xf>
    <xf numFmtId="1" fontId="6" fillId="0" borderId="47" xfId="125" applyNumberFormat="1" applyFont="1" applyBorder="1" applyAlignment="1">
      <alignment horizontal="center" vertical="center"/>
    </xf>
    <xf numFmtId="1" fontId="6" fillId="0" borderId="12" xfId="125" applyNumberFormat="1" applyFont="1" applyBorder="1" applyAlignment="1">
      <alignment horizontal="center" vertical="center"/>
    </xf>
    <xf numFmtId="1" fontId="6" fillId="0" borderId="62" xfId="125" applyNumberFormat="1" applyFont="1" applyBorder="1" applyAlignment="1">
      <alignment horizontal="center" vertical="center"/>
    </xf>
    <xf numFmtId="1" fontId="6" fillId="0" borderId="78" xfId="125" applyNumberFormat="1" applyFont="1" applyBorder="1" applyAlignment="1">
      <alignment horizontal="center" vertical="center"/>
    </xf>
    <xf numFmtId="1" fontId="6" fillId="0" borderId="93" xfId="125" applyNumberFormat="1" applyFont="1" applyBorder="1" applyAlignment="1">
      <alignment horizontal="center" vertical="center"/>
    </xf>
    <xf numFmtId="1" fontId="6" fillId="0" borderId="77" xfId="125" applyNumberFormat="1" applyFont="1" applyBorder="1" applyAlignment="1">
      <alignment horizontal="center" vertical="center"/>
    </xf>
    <xf numFmtId="1" fontId="6" fillId="0" borderId="53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88" xfId="124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191" xfId="108" applyNumberFormat="1" applyFont="1" applyBorder="1" applyAlignment="1">
      <alignment horizontal="center" vertical="center" wrapText="1"/>
    </xf>
    <xf numFmtId="1" fontId="6" fillId="0" borderId="188" xfId="108" applyNumberFormat="1" applyFont="1" applyBorder="1" applyAlignment="1">
      <alignment horizontal="center" vertical="center" wrapText="1"/>
    </xf>
    <xf numFmtId="1" fontId="6" fillId="0" borderId="128" xfId="108" applyNumberFormat="1" applyFont="1" applyBorder="1" applyAlignment="1">
      <alignment horizontal="center" vertical="center" wrapText="1"/>
    </xf>
    <xf numFmtId="1" fontId="6" fillId="0" borderId="108" xfId="108" applyNumberFormat="1" applyFont="1" applyBorder="1" applyAlignment="1">
      <alignment horizontal="center" vertical="center" wrapText="1"/>
    </xf>
    <xf numFmtId="1" fontId="6" fillId="0" borderId="33" xfId="125" applyNumberFormat="1" applyFont="1" applyBorder="1" applyAlignment="1">
      <alignment horizontal="center" vertical="center" wrapText="1"/>
    </xf>
    <xf numFmtId="1" fontId="6" fillId="0" borderId="72" xfId="125" applyNumberFormat="1" applyFont="1" applyBorder="1" applyAlignment="1">
      <alignment horizontal="center" vertical="center" wrapText="1"/>
    </xf>
    <xf numFmtId="1" fontId="6" fillId="0" borderId="16" xfId="125" applyNumberFormat="1" applyFont="1" applyBorder="1" applyAlignment="1">
      <alignment horizontal="center" vertical="center" wrapText="1"/>
    </xf>
    <xf numFmtId="1" fontId="6" fillId="0" borderId="52" xfId="126" applyNumberFormat="1" applyFont="1" applyBorder="1" applyAlignment="1">
      <alignment horizontal="left" vertical="center" wrapText="1"/>
    </xf>
    <xf numFmtId="1" fontId="6" fillId="0" borderId="26" xfId="126" applyNumberFormat="1" applyFont="1" applyBorder="1" applyAlignment="1">
      <alignment horizontal="left" vertical="center" wrapText="1"/>
    </xf>
    <xf numFmtId="1" fontId="6" fillId="0" borderId="52" xfId="125" applyNumberFormat="1" applyFont="1" applyBorder="1" applyAlignment="1">
      <alignment horizontal="left" vertical="center" wrapText="1"/>
    </xf>
    <xf numFmtId="1" fontId="6" fillId="0" borderId="26" xfId="125" applyNumberFormat="1" applyFont="1" applyBorder="1" applyAlignment="1">
      <alignment horizontal="left" vertical="center" wrapText="1"/>
    </xf>
    <xf numFmtId="1" fontId="6" fillId="0" borderId="95" xfId="0" applyNumberFormat="1" applyFont="1" applyBorder="1" applyAlignment="1">
      <alignment horizontal="left" vertical="center"/>
    </xf>
    <xf numFmtId="1" fontId="6" fillId="0" borderId="26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28" fillId="0" borderId="52" xfId="126" applyNumberFormat="1" applyFont="1" applyBorder="1" applyAlignment="1">
      <alignment horizontal="left" vertical="center" wrapText="1"/>
    </xf>
    <xf numFmtId="1" fontId="28" fillId="0" borderId="26" xfId="126" applyNumberFormat="1" applyFont="1" applyBorder="1" applyAlignment="1">
      <alignment horizontal="left" vertical="center" wrapText="1"/>
    </xf>
    <xf numFmtId="1" fontId="28" fillId="20" borderId="52" xfId="126" applyNumberFormat="1" applyFont="1" applyFill="1" applyBorder="1" applyAlignment="1">
      <alignment horizontal="left" vertical="center" wrapText="1"/>
    </xf>
    <xf numFmtId="1" fontId="28" fillId="20" borderId="26" xfId="126" applyNumberFormat="1" applyFont="1" applyFill="1" applyBorder="1" applyAlignment="1">
      <alignment horizontal="left" vertical="center" wrapText="1"/>
    </xf>
    <xf numFmtId="1" fontId="6" fillId="22" borderId="52" xfId="125" applyNumberFormat="1" applyFont="1" applyFill="1" applyBorder="1" applyAlignment="1">
      <alignment horizontal="left" vertical="center" wrapText="1"/>
    </xf>
    <xf numFmtId="1" fontId="6" fillId="22" borderId="26" xfId="125" applyNumberFormat="1" applyFont="1" applyFill="1" applyBorder="1" applyAlignment="1">
      <alignment horizontal="left" vertical="center" wrapText="1"/>
    </xf>
    <xf numFmtId="1" fontId="6" fillId="0" borderId="181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6" xfId="108" applyNumberFormat="1" applyFont="1" applyBorder="1" applyAlignment="1">
      <alignment horizontal="center" vertical="center" wrapText="1"/>
    </xf>
    <xf numFmtId="1" fontId="6" fillId="0" borderId="211" xfId="108" applyNumberFormat="1" applyFont="1" applyBorder="1" applyAlignment="1">
      <alignment horizontal="center" vertical="center" wrapText="1"/>
    </xf>
    <xf numFmtId="1" fontId="6" fillId="0" borderId="193" xfId="108" applyNumberFormat="1" applyFont="1" applyBorder="1" applyAlignment="1">
      <alignment horizontal="center" vertical="center" wrapText="1"/>
    </xf>
    <xf numFmtId="1" fontId="6" fillId="0" borderId="120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228" xfId="0" applyNumberFormat="1" applyFont="1" applyBorder="1" applyAlignment="1">
      <alignment horizontal="center" vertical="center"/>
    </xf>
    <xf numFmtId="1" fontId="6" fillId="0" borderId="225" xfId="0" applyNumberFormat="1" applyFont="1" applyBorder="1" applyAlignment="1">
      <alignment horizontal="center" vertical="center"/>
    </xf>
    <xf numFmtId="1" fontId="6" fillId="0" borderId="226" xfId="125" quotePrefix="1" applyNumberFormat="1" applyFont="1" applyBorder="1" applyAlignment="1" applyProtection="1">
      <alignment horizontal="center" vertical="center"/>
      <protection hidden="1"/>
    </xf>
    <xf numFmtId="1" fontId="6" fillId="0" borderId="228" xfId="108" applyNumberFormat="1" applyFont="1" applyBorder="1" applyAlignment="1">
      <alignment horizontal="center" vertical="center" wrapText="1"/>
    </xf>
    <xf numFmtId="1" fontId="6" fillId="0" borderId="225" xfId="108" applyNumberFormat="1" applyFont="1" applyBorder="1" applyAlignment="1">
      <alignment horizontal="center" vertical="center" wrapText="1"/>
    </xf>
    <xf numFmtId="1" fontId="6" fillId="0" borderId="226" xfId="0" quotePrefix="1" applyNumberFormat="1" applyFont="1" applyBorder="1" applyAlignment="1">
      <alignment horizontal="center"/>
    </xf>
    <xf numFmtId="1" fontId="6" fillId="0" borderId="226" xfId="0" applyNumberFormat="1" applyFont="1" applyBorder="1" applyAlignment="1">
      <alignment horizontal="center"/>
    </xf>
    <xf numFmtId="1" fontId="6" fillId="0" borderId="228" xfId="0" applyNumberFormat="1" applyFont="1" applyBorder="1" applyAlignment="1">
      <alignment horizontal="center"/>
    </xf>
    <xf numFmtId="1" fontId="6" fillId="0" borderId="228" xfId="0" applyNumberFormat="1" applyFont="1" applyBorder="1" applyAlignment="1">
      <alignment horizontal="center" vertical="center" wrapText="1"/>
    </xf>
    <xf numFmtId="1" fontId="6" fillId="0" borderId="182" xfId="108" applyNumberFormat="1" applyFont="1" applyBorder="1" applyAlignment="1">
      <alignment horizontal="center" vertical="center" wrapText="1"/>
    </xf>
    <xf numFmtId="1" fontId="6" fillId="0" borderId="225" xfId="0" applyNumberFormat="1" applyFont="1" applyBorder="1" applyAlignment="1">
      <alignment horizontal="center"/>
    </xf>
    <xf numFmtId="1" fontId="6" fillId="0" borderId="224" xfId="108" applyNumberFormat="1" applyFont="1" applyBorder="1" applyAlignment="1">
      <alignment horizontal="center" vertical="center" wrapText="1"/>
    </xf>
    <xf numFmtId="1" fontId="6" fillId="0" borderId="179" xfId="0" quotePrefix="1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/>
    </xf>
    <xf numFmtId="1" fontId="6" fillId="0" borderId="195" xfId="0" applyNumberFormat="1" applyFont="1" applyBorder="1" applyAlignment="1">
      <alignment horizontal="center"/>
    </xf>
    <xf numFmtId="1" fontId="6" fillId="0" borderId="226" xfId="125" applyNumberFormat="1" applyFont="1" applyBorder="1" applyAlignment="1">
      <alignment horizontal="center" vertical="center"/>
    </xf>
    <xf numFmtId="1" fontId="6" fillId="0" borderId="182" xfId="0" applyNumberFormat="1" applyFont="1" applyBorder="1" applyAlignment="1">
      <alignment horizontal="center" vertical="center" wrapText="1"/>
    </xf>
    <xf numFmtId="1" fontId="4" fillId="22" borderId="182" xfId="125" applyNumberFormat="1" applyFont="1" applyFill="1" applyBorder="1" applyAlignment="1">
      <alignment horizontal="left"/>
    </xf>
    <xf numFmtId="1" fontId="10" fillId="0" borderId="179" xfId="125" applyNumberFormat="1" applyFont="1" applyBorder="1" applyAlignment="1">
      <alignment horizontal="center" vertical="center" wrapText="1"/>
    </xf>
    <xf numFmtId="1" fontId="10" fillId="0" borderId="200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181" xfId="126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16" xfId="0" applyNumberFormat="1" applyFont="1" applyBorder="1" applyAlignment="1">
      <alignment horizontal="left" vertical="center" wrapText="1"/>
    </xf>
    <xf numFmtId="1" fontId="6" fillId="0" borderId="179" xfId="126" applyNumberFormat="1" applyFont="1" applyBorder="1" applyAlignment="1">
      <alignment horizontal="left" vertical="center" wrapText="1"/>
    </xf>
    <xf numFmtId="1" fontId="6" fillId="0" borderId="6" xfId="0" applyNumberFormat="1" applyFont="1" applyBorder="1" applyAlignment="1">
      <alignment horizontal="left" vertical="center" wrapText="1"/>
    </xf>
    <xf numFmtId="1" fontId="6" fillId="0" borderId="51" xfId="124" applyNumberFormat="1" applyFont="1" applyBorder="1" applyAlignment="1">
      <alignment horizontal="left" vertical="center" wrapText="1"/>
    </xf>
    <xf numFmtId="1" fontId="6" fillId="0" borderId="14" xfId="124" applyNumberFormat="1" applyFont="1" applyBorder="1" applyAlignment="1">
      <alignment horizontal="left" vertical="center" wrapText="1"/>
    </xf>
    <xf numFmtId="1" fontId="6" fillId="0" borderId="179" xfId="124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left" vertical="center" wrapText="1"/>
    </xf>
    <xf numFmtId="1" fontId="6" fillId="0" borderId="71" xfId="125" applyNumberFormat="1" applyFont="1" applyBorder="1" applyAlignment="1">
      <alignment horizontal="center" vertical="center" wrapText="1"/>
    </xf>
    <xf numFmtId="1" fontId="6" fillId="0" borderId="82" xfId="125" applyNumberFormat="1" applyFont="1" applyBorder="1" applyAlignment="1">
      <alignment horizontal="center" vertical="center" wrapText="1"/>
    </xf>
    <xf numFmtId="1" fontId="6" fillId="0" borderId="55" xfId="125" applyNumberFormat="1" applyFont="1" applyBorder="1" applyAlignment="1">
      <alignment horizontal="left" vertical="center" wrapText="1"/>
    </xf>
    <xf numFmtId="1" fontId="6" fillId="0" borderId="94" xfId="125" applyNumberFormat="1" applyFont="1" applyBorder="1" applyAlignment="1">
      <alignment horizontal="left" vertical="center" wrapText="1"/>
    </xf>
    <xf numFmtId="1" fontId="28" fillId="0" borderId="179" xfId="125" applyNumberFormat="1" applyFont="1" applyBorder="1" applyAlignment="1">
      <alignment horizontal="center" vertical="center" wrapText="1"/>
    </xf>
    <xf numFmtId="1" fontId="28" fillId="0" borderId="200" xfId="125" applyNumberFormat="1" applyFont="1" applyBorder="1" applyAlignment="1">
      <alignment horizontal="center" vertical="center" wrapText="1"/>
    </xf>
    <xf numFmtId="1" fontId="28" fillId="0" borderId="6" xfId="125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114" xfId="0" applyNumberFormat="1" applyFont="1" applyBorder="1" applyAlignment="1">
      <alignment horizontal="center" vertical="center" wrapText="1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79" xfId="125" applyNumberFormat="1" applyFont="1" applyBorder="1" applyAlignment="1">
      <alignment horizontal="center" vertical="center" wrapText="1"/>
    </xf>
    <xf numFmtId="1" fontId="6" fillId="0" borderId="6" xfId="125" applyNumberFormat="1" applyFont="1" applyBorder="1" applyAlignment="1">
      <alignment horizontal="center" vertical="center" wrapText="1"/>
    </xf>
    <xf numFmtId="0" fontId="6" fillId="0" borderId="179" xfId="0" applyFont="1" applyBorder="1" applyAlignment="1">
      <alignment horizontal="center" vertical="center"/>
    </xf>
    <xf numFmtId="0" fontId="6" fillId="0" borderId="200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" fontId="6" fillId="0" borderId="180" xfId="125" applyNumberFormat="1" applyFont="1" applyBorder="1" applyAlignment="1">
      <alignment horizontal="center" vertical="center" wrapText="1"/>
    </xf>
    <xf numFmtId="1" fontId="6" fillId="0" borderId="181" xfId="125" applyNumberFormat="1" applyFont="1" applyBorder="1" applyAlignment="1">
      <alignment horizontal="center" vertical="center" wrapText="1"/>
    </xf>
    <xf numFmtId="1" fontId="6" fillId="0" borderId="203" xfId="125" applyNumberFormat="1" applyFont="1" applyBorder="1" applyAlignment="1">
      <alignment horizontal="center" vertical="center" wrapText="1"/>
    </xf>
    <xf numFmtId="1" fontId="6" fillId="0" borderId="69" xfId="125" applyNumberFormat="1" applyFont="1" applyBorder="1" applyAlignment="1">
      <alignment horizontal="center" vertical="center" wrapText="1"/>
    </xf>
    <xf numFmtId="168" fontId="6" fillId="0" borderId="181" xfId="124" applyNumberFormat="1" applyFont="1" applyBorder="1" applyAlignment="1">
      <alignment horizontal="center" vertical="center"/>
    </xf>
    <xf numFmtId="168" fontId="6" fillId="0" borderId="72" xfId="124" applyNumberFormat="1" applyFont="1" applyBorder="1" applyAlignment="1">
      <alignment horizontal="center" vertical="center"/>
    </xf>
    <xf numFmtId="168" fontId="6" fillId="0" borderId="16" xfId="124" applyNumberFormat="1" applyFont="1" applyBorder="1" applyAlignment="1">
      <alignment horizontal="center" vertical="center"/>
    </xf>
    <xf numFmtId="1" fontId="6" fillId="17" borderId="228" xfId="0" quotePrefix="1" applyNumberFormat="1" applyFont="1" applyFill="1" applyBorder="1" applyAlignment="1">
      <alignment horizontal="center" vertical="center"/>
    </xf>
    <xf numFmtId="1" fontId="6" fillId="17" borderId="182" xfId="0" applyNumberFormat="1" applyFont="1" applyFill="1" applyBorder="1" applyAlignment="1">
      <alignment horizontal="center" vertical="center"/>
    </xf>
    <xf numFmtId="1" fontId="6" fillId="17" borderId="224" xfId="0" applyNumberFormat="1" applyFont="1" applyFill="1" applyBorder="1" applyAlignment="1">
      <alignment horizontal="center" vertical="center"/>
    </xf>
    <xf numFmtId="1" fontId="6" fillId="0" borderId="180" xfId="0" applyNumberFormat="1" applyFont="1" applyBorder="1" applyAlignment="1">
      <alignment horizontal="center" vertical="center"/>
    </xf>
    <xf numFmtId="1" fontId="6" fillId="0" borderId="188" xfId="0" applyNumberFormat="1" applyFont="1" applyBorder="1" applyAlignment="1">
      <alignment horizontal="center" vertical="center"/>
    </xf>
    <xf numFmtId="1" fontId="6" fillId="0" borderId="211" xfId="0" applyNumberFormat="1" applyFont="1" applyBorder="1" applyAlignment="1">
      <alignment horizontal="center" vertical="center"/>
    </xf>
    <xf numFmtId="1" fontId="6" fillId="0" borderId="182" xfId="0" applyNumberFormat="1" applyFont="1" applyBorder="1" applyAlignment="1">
      <alignment horizontal="center" vertical="center"/>
    </xf>
    <xf numFmtId="1" fontId="6" fillId="0" borderId="181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79" xfId="126" applyNumberFormat="1" applyFont="1" applyBorder="1" applyAlignment="1">
      <alignment horizontal="center" vertical="center" wrapText="1"/>
    </xf>
    <xf numFmtId="1" fontId="6" fillId="0" borderId="200" xfId="126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" fontId="6" fillId="0" borderId="226" xfId="125" applyNumberFormat="1" applyFont="1" applyBorder="1" applyAlignment="1">
      <alignment horizontal="center" vertical="center" wrapText="1"/>
    </xf>
    <xf numFmtId="1" fontId="6" fillId="0" borderId="226" xfId="0" applyNumberFormat="1" applyFont="1" applyBorder="1" applyAlignment="1">
      <alignment horizontal="center" vertical="center"/>
    </xf>
    <xf numFmtId="1" fontId="6" fillId="17" borderId="226" xfId="0" applyNumberFormat="1" applyFont="1" applyFill="1" applyBorder="1" applyAlignment="1">
      <alignment horizontal="center" vertical="center"/>
    </xf>
    <xf numFmtId="1" fontId="6" fillId="0" borderId="182" xfId="0" applyNumberFormat="1" applyFont="1" applyBorder="1" applyAlignment="1">
      <alignment horizontal="left"/>
    </xf>
    <xf numFmtId="1" fontId="6" fillId="0" borderId="225" xfId="0" applyNumberFormat="1" applyFont="1" applyBorder="1" applyAlignment="1">
      <alignment horizontal="left"/>
    </xf>
    <xf numFmtId="1" fontId="28" fillId="0" borderId="226" xfId="125" applyNumberFormat="1" applyFont="1" applyBorder="1" applyAlignment="1" applyProtection="1">
      <alignment horizontal="center" vertical="center" wrapText="1"/>
      <protection hidden="1"/>
    </xf>
    <xf numFmtId="1" fontId="6" fillId="0" borderId="179" xfId="125" applyNumberFormat="1" applyFont="1" applyBorder="1" applyAlignment="1" applyProtection="1">
      <alignment horizontal="center" vertical="center" wrapText="1"/>
      <protection hidden="1"/>
    </xf>
    <xf numFmtId="1" fontId="6" fillId="0" borderId="200" xfId="125" applyNumberFormat="1" applyFont="1" applyBorder="1" applyAlignment="1" applyProtection="1">
      <alignment horizontal="center" vertical="center" wrapText="1"/>
      <protection hidden="1"/>
    </xf>
    <xf numFmtId="1" fontId="6" fillId="0" borderId="6" xfId="125" applyNumberFormat="1" applyFont="1" applyBorder="1" applyAlignment="1" applyProtection="1">
      <alignment horizontal="center" vertical="center" wrapText="1"/>
      <protection hidden="1"/>
    </xf>
    <xf numFmtId="1" fontId="6" fillId="0" borderId="182" xfId="0" applyNumberFormat="1" applyFont="1" applyBorder="1" applyAlignment="1">
      <alignment horizontal="center"/>
    </xf>
    <xf numFmtId="1" fontId="6" fillId="22" borderId="55" xfId="125" applyNumberFormat="1" applyFont="1" applyFill="1" applyBorder="1" applyAlignment="1" applyProtection="1">
      <alignment horizontal="left" vertical="center"/>
      <protection hidden="1"/>
    </xf>
    <xf numFmtId="1" fontId="6" fillId="22" borderId="94" xfId="125" applyNumberFormat="1" applyFont="1" applyFill="1" applyBorder="1" applyAlignment="1" applyProtection="1">
      <alignment horizontal="left" vertical="center"/>
      <protection hidden="1"/>
    </xf>
    <xf numFmtId="1" fontId="6" fillId="0" borderId="52" xfId="125" applyNumberFormat="1" applyFont="1" applyBorder="1" applyAlignment="1" applyProtection="1">
      <alignment horizontal="left" vertical="center" wrapText="1"/>
      <protection hidden="1"/>
    </xf>
    <xf numFmtId="1" fontId="6" fillId="0" borderId="26" xfId="125" applyNumberFormat="1" applyFont="1" applyBorder="1" applyAlignment="1" applyProtection="1">
      <alignment horizontal="left" vertical="center" wrapText="1"/>
      <protection hidden="1"/>
    </xf>
    <xf numFmtId="1" fontId="6" fillId="0" borderId="180" xfId="125" applyNumberFormat="1" applyFont="1" applyBorder="1" applyAlignment="1" applyProtection="1">
      <alignment horizontal="center" vertical="center" wrapText="1"/>
      <protection hidden="1"/>
    </xf>
    <xf numFmtId="1" fontId="6" fillId="0" borderId="211" xfId="125" applyNumberFormat="1" applyFont="1" applyBorder="1" applyAlignment="1" applyProtection="1">
      <alignment horizontal="center" vertical="center" wrapText="1"/>
      <protection hidden="1"/>
    </xf>
    <xf numFmtId="1" fontId="6" fillId="0" borderId="181" xfId="125" applyNumberFormat="1" applyFont="1" applyBorder="1" applyAlignment="1" applyProtection="1">
      <alignment horizontal="center" vertical="center" wrapText="1"/>
      <protection hidden="1"/>
    </xf>
    <xf numFmtId="1" fontId="6" fillId="0" borderId="69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6" fillId="0" borderId="16" xfId="125" applyNumberFormat="1" applyFont="1" applyBorder="1" applyAlignment="1" applyProtection="1">
      <alignment horizontal="center" vertical="center" wrapText="1"/>
      <protection hidden="1"/>
    </xf>
    <xf numFmtId="1" fontId="6" fillId="0" borderId="228" xfId="0" quotePrefix="1" applyNumberFormat="1" applyFont="1" applyBorder="1" applyAlignment="1">
      <alignment horizontal="center"/>
    </xf>
    <xf numFmtId="1" fontId="6" fillId="22" borderId="52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6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79" xfId="125" applyNumberFormat="1" applyFont="1" applyBorder="1" applyAlignment="1" applyProtection="1">
      <alignment horizontal="left" vertical="center" wrapText="1"/>
      <protection hidden="1"/>
    </xf>
    <xf numFmtId="1" fontId="6" fillId="0" borderId="200" xfId="125" applyNumberFormat="1" applyFont="1" applyBorder="1" applyAlignment="1" applyProtection="1">
      <alignment horizontal="left" vertical="center" wrapText="1"/>
      <protection hidden="1"/>
    </xf>
    <xf numFmtId="1" fontId="6" fillId="0" borderId="6" xfId="125" applyNumberFormat="1" applyFont="1" applyBorder="1" applyAlignment="1" applyProtection="1">
      <alignment horizontal="left" vertical="center" wrapText="1"/>
      <protection hidden="1"/>
    </xf>
    <xf numFmtId="1" fontId="28" fillId="22" borderId="52" xfId="125" applyNumberFormat="1" applyFont="1" applyFill="1" applyBorder="1" applyAlignment="1" applyProtection="1">
      <alignment horizontal="left" vertical="center"/>
      <protection hidden="1"/>
    </xf>
    <xf numFmtId="1" fontId="28" fillId="22" borderId="26" xfId="125" applyNumberFormat="1" applyFont="1" applyFill="1" applyBorder="1" applyAlignment="1" applyProtection="1">
      <alignment horizontal="left" vertical="center"/>
      <protection hidden="1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14" xfId="125" applyNumberFormat="1" applyFont="1" applyBorder="1" applyAlignment="1" applyProtection="1">
      <alignment horizontal="left" vertical="center" wrapText="1"/>
      <protection hidden="1"/>
    </xf>
    <xf numFmtId="0" fontId="6" fillId="22" borderId="51" xfId="125" applyFont="1" applyFill="1" applyBorder="1" applyAlignment="1">
      <alignment horizontal="left"/>
    </xf>
    <xf numFmtId="0" fontId="6" fillId="22" borderId="14" xfId="125" applyFont="1" applyFill="1" applyBorder="1" applyAlignment="1">
      <alignment horizontal="left"/>
    </xf>
    <xf numFmtId="1" fontId="6" fillId="0" borderId="52" xfId="125" applyNumberFormat="1" applyFont="1" applyBorder="1" applyAlignment="1" applyProtection="1">
      <alignment horizontal="left" wrapText="1"/>
      <protection hidden="1"/>
    </xf>
    <xf numFmtId="1" fontId="6" fillId="0" borderId="26" xfId="125" applyNumberFormat="1" applyFont="1" applyBorder="1" applyAlignment="1" applyProtection="1">
      <alignment horizontal="left" wrapText="1"/>
      <protection hidden="1"/>
    </xf>
    <xf numFmtId="1" fontId="6" fillId="22" borderId="5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4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228" xfId="125" quotePrefix="1" applyNumberFormat="1" applyFont="1" applyBorder="1" applyAlignment="1" applyProtection="1">
      <alignment horizontal="center" vertical="center"/>
      <protection hidden="1"/>
    </xf>
    <xf numFmtId="1" fontId="6" fillId="0" borderId="225" xfId="125" quotePrefix="1" applyNumberFormat="1" applyFont="1" applyBorder="1" applyAlignment="1" applyProtection="1">
      <alignment horizontal="center" vertical="center"/>
      <protection hidden="1"/>
    </xf>
    <xf numFmtId="1" fontId="28" fillId="17" borderId="179" xfId="125" applyNumberFormat="1" applyFont="1" applyFill="1" applyBorder="1" applyAlignment="1" applyProtection="1">
      <alignment horizontal="center" vertical="center" wrapText="1"/>
      <protection hidden="1"/>
    </xf>
    <xf numFmtId="1" fontId="28" fillId="17" borderId="200" xfId="125" applyNumberFormat="1" applyFont="1" applyFill="1" applyBorder="1" applyAlignment="1" applyProtection="1">
      <alignment horizontal="center" vertical="center" wrapText="1"/>
      <protection hidden="1"/>
    </xf>
    <xf numFmtId="1" fontId="28" fillId="17" borderId="6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180" xfId="125" applyNumberFormat="1" applyFont="1" applyBorder="1" applyAlignment="1" applyProtection="1">
      <alignment horizontal="center" vertical="center"/>
      <protection hidden="1"/>
    </xf>
    <xf numFmtId="1" fontId="10" fillId="0" borderId="181" xfId="125" applyNumberFormat="1" applyFont="1" applyBorder="1" applyAlignment="1" applyProtection="1">
      <alignment horizontal="center" vertical="center"/>
      <protection hidden="1"/>
    </xf>
    <xf numFmtId="1" fontId="10" fillId="0" borderId="203" xfId="125" applyNumberFormat="1" applyFont="1" applyBorder="1" applyAlignment="1" applyProtection="1">
      <alignment horizontal="center" vertical="center"/>
      <protection hidden="1"/>
    </xf>
    <xf numFmtId="1" fontId="10" fillId="0" borderId="72" xfId="125" applyNumberFormat="1" applyFont="1" applyBorder="1" applyAlignment="1" applyProtection="1">
      <alignment horizontal="center" vertical="center"/>
      <protection hidden="1"/>
    </xf>
    <xf numFmtId="1" fontId="10" fillId="0" borderId="69" xfId="125" applyNumberFormat="1" applyFont="1" applyBorder="1" applyAlignment="1" applyProtection="1">
      <alignment horizontal="center" vertical="center"/>
      <protection hidden="1"/>
    </xf>
    <xf numFmtId="1" fontId="10" fillId="0" borderId="16" xfId="125" applyNumberFormat="1" applyFont="1" applyBorder="1" applyAlignment="1" applyProtection="1">
      <alignment horizontal="center" vertical="center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203" xfId="125" applyNumberFormat="1" applyFont="1" applyBorder="1" applyAlignment="1" applyProtection="1">
      <alignment horizontal="center" vertical="center" wrapText="1"/>
      <protection hidden="1"/>
    </xf>
    <xf numFmtId="1" fontId="6" fillId="0" borderId="72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0" borderId="152" xfId="125" applyNumberFormat="1" applyFont="1" applyBorder="1" applyAlignment="1" applyProtection="1">
      <alignment horizontal="left" vertical="center" wrapText="1"/>
      <protection hidden="1"/>
    </xf>
    <xf numFmtId="1" fontId="28" fillId="22" borderId="55" xfId="125" applyNumberFormat="1" applyFont="1" applyFill="1" applyBorder="1" applyAlignment="1" applyProtection="1">
      <alignment horizontal="left" vertical="center" wrapText="1"/>
      <protection hidden="1"/>
    </xf>
    <xf numFmtId="1" fontId="28" fillId="22" borderId="94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0" borderId="224" xfId="0" applyNumberFormat="1" applyFont="1" applyBorder="1" applyAlignment="1">
      <alignment horizontal="center"/>
    </xf>
    <xf numFmtId="1" fontId="28" fillId="0" borderId="52" xfId="125" applyNumberFormat="1" applyFont="1" applyBorder="1" applyAlignment="1" applyProtection="1">
      <alignment horizontal="left" vertical="center" wrapText="1"/>
      <protection hidden="1"/>
    </xf>
    <xf numFmtId="1" fontId="28" fillId="0" borderId="26" xfId="125" applyNumberFormat="1" applyFont="1" applyBorder="1" applyAlignment="1" applyProtection="1">
      <alignment horizontal="left" vertical="center" wrapText="1"/>
      <protection hidden="1"/>
    </xf>
    <xf numFmtId="1" fontId="6" fillId="0" borderId="55" xfId="125" applyNumberFormat="1" applyFont="1" applyBorder="1" applyAlignment="1" applyProtection="1">
      <alignment horizontal="left" vertical="center" wrapText="1"/>
      <protection hidden="1"/>
    </xf>
    <xf numFmtId="1" fontId="6" fillId="0" borderId="94" xfId="125" applyNumberFormat="1" applyFont="1" applyBorder="1" applyAlignment="1" applyProtection="1">
      <alignment horizontal="left" vertical="center" wrapText="1"/>
      <protection hidden="1"/>
    </xf>
    <xf numFmtId="1" fontId="6" fillId="0" borderId="182" xfId="0" applyNumberFormat="1" applyFont="1" applyBorder="1" applyAlignment="1" applyProtection="1">
      <alignment horizontal="center"/>
      <protection hidden="1"/>
    </xf>
    <xf numFmtId="1" fontId="6" fillId="0" borderId="225" xfId="0" applyNumberFormat="1" applyFont="1" applyBorder="1" applyAlignment="1" applyProtection="1">
      <alignment horizontal="center"/>
      <protection hidden="1"/>
    </xf>
    <xf numFmtId="1" fontId="6" fillId="0" borderId="228" xfId="126" applyNumberFormat="1" applyFont="1" applyBorder="1" applyAlignment="1" applyProtection="1">
      <alignment horizontal="center" vertical="center" wrapText="1"/>
      <protection hidden="1"/>
    </xf>
    <xf numFmtId="1" fontId="6" fillId="0" borderId="182" xfId="126" applyNumberFormat="1" applyFont="1" applyBorder="1" applyAlignment="1" applyProtection="1">
      <alignment horizontal="center" vertical="center" wrapText="1"/>
      <protection hidden="1"/>
    </xf>
    <xf numFmtId="1" fontId="6" fillId="0" borderId="225" xfId="126" applyNumberFormat="1" applyFont="1" applyBorder="1" applyAlignment="1" applyProtection="1">
      <alignment horizontal="center" vertical="center" wrapText="1"/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52" xfId="125" applyNumberFormat="1" applyFont="1" applyBorder="1" applyAlignment="1" applyProtection="1">
      <alignment horizontal="left" vertical="center"/>
      <protection hidden="1"/>
    </xf>
    <xf numFmtId="1" fontId="6" fillId="0" borderId="26" xfId="125" applyNumberFormat="1" applyFont="1" applyBorder="1" applyAlignment="1" applyProtection="1">
      <alignment horizontal="left" vertical="center"/>
      <protection hidden="1"/>
    </xf>
    <xf numFmtId="1" fontId="10" fillId="0" borderId="69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0" fontId="6" fillId="22" borderId="52" xfId="125" applyFont="1" applyFill="1" applyBorder="1" applyAlignment="1">
      <alignment horizontal="left"/>
    </xf>
    <xf numFmtId="0" fontId="6" fillId="22" borderId="26" xfId="125" applyFont="1" applyFill="1" applyBorder="1" applyAlignment="1">
      <alignment horizontal="left"/>
    </xf>
    <xf numFmtId="0" fontId="6" fillId="22" borderId="55" xfId="125" applyFont="1" applyFill="1" applyBorder="1" applyAlignment="1">
      <alignment horizontal="left" vertical="center"/>
    </xf>
    <xf numFmtId="0" fontId="6" fillId="22" borderId="94" xfId="125" applyFont="1" applyFill="1" applyBorder="1" applyAlignment="1">
      <alignment horizontal="left" vertical="center"/>
    </xf>
    <xf numFmtId="1" fontId="6" fillId="0" borderId="228" xfId="125" quotePrefix="1" applyNumberFormat="1" applyFont="1" applyBorder="1" applyAlignment="1">
      <alignment horizontal="center" vertical="center"/>
    </xf>
    <xf numFmtId="1" fontId="6" fillId="0" borderId="225" xfId="125" quotePrefix="1" applyNumberFormat="1" applyFont="1" applyBorder="1" applyAlignment="1">
      <alignment horizontal="center" vertical="center"/>
    </xf>
    <xf numFmtId="1" fontId="28" fillId="22" borderId="179" xfId="125" applyNumberFormat="1" applyFont="1" applyFill="1" applyBorder="1" applyAlignment="1" applyProtection="1">
      <alignment horizontal="center" vertical="center" wrapText="1"/>
      <protection hidden="1"/>
    </xf>
    <xf numFmtId="1" fontId="28" fillId="22" borderId="200" xfId="125" applyNumberFormat="1" applyFont="1" applyFill="1" applyBorder="1" applyAlignment="1" applyProtection="1">
      <alignment horizontal="center" vertical="center" wrapText="1"/>
      <protection hidden="1"/>
    </xf>
    <xf numFmtId="1" fontId="28" fillId="22" borderId="6" xfId="125" applyNumberFormat="1" applyFont="1" applyFill="1" applyBorder="1" applyAlignment="1" applyProtection="1">
      <alignment horizontal="center" vertical="center" wrapText="1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0" borderId="226" xfId="126" applyNumberFormat="1" applyFont="1" applyBorder="1" applyAlignment="1" applyProtection="1">
      <alignment horizontal="center" vertical="center"/>
      <protection hidden="1"/>
    </xf>
    <xf numFmtId="1" fontId="6" fillId="0" borderId="226" xfId="126" applyNumberFormat="1" applyFont="1" applyBorder="1" applyAlignment="1" applyProtection="1">
      <alignment horizontal="center" vertical="center" wrapText="1"/>
      <protection hidden="1"/>
    </xf>
    <xf numFmtId="1" fontId="4" fillId="0" borderId="182" xfId="126" applyNumberFormat="1" applyFont="1" applyBorder="1" applyAlignment="1" applyProtection="1">
      <alignment horizontal="left"/>
      <protection hidden="1"/>
    </xf>
    <xf numFmtId="1" fontId="4" fillId="0" borderId="211" xfId="126" applyNumberFormat="1" applyFont="1" applyBorder="1" applyAlignment="1" applyProtection="1">
      <alignment horizontal="left"/>
      <protection hidden="1"/>
    </xf>
    <xf numFmtId="1" fontId="6" fillId="0" borderId="228" xfId="126" quotePrefix="1" applyNumberFormat="1" applyFont="1" applyBorder="1" applyAlignment="1" applyProtection="1">
      <alignment horizontal="center" vertical="center"/>
      <protection hidden="1"/>
    </xf>
    <xf numFmtId="1" fontId="6" fillId="0" borderId="182" xfId="126" quotePrefix="1" applyNumberFormat="1" applyFont="1" applyBorder="1" applyAlignment="1" applyProtection="1">
      <alignment horizontal="center" vertical="center"/>
      <protection hidden="1"/>
    </xf>
    <xf numFmtId="1" fontId="6" fillId="0" borderId="224" xfId="126" quotePrefix="1" applyNumberFormat="1" applyFont="1" applyBorder="1" applyAlignment="1" applyProtection="1">
      <alignment horizontal="center" vertical="center"/>
      <protection hidden="1"/>
    </xf>
    <xf numFmtId="1" fontId="6" fillId="0" borderId="55" xfId="126" applyNumberFormat="1" applyFont="1" applyBorder="1" applyAlignment="1" applyProtection="1">
      <alignment horizontal="left"/>
      <protection hidden="1"/>
    </xf>
    <xf numFmtId="1" fontId="6" fillId="0" borderId="94" xfId="126" applyNumberFormat="1" applyFont="1" applyBorder="1" applyAlignment="1" applyProtection="1">
      <alignment horizontal="left"/>
      <protection hidden="1"/>
    </xf>
    <xf numFmtId="1" fontId="6" fillId="0" borderId="228" xfId="126" applyNumberFormat="1" applyFont="1" applyBorder="1" applyAlignment="1" applyProtection="1">
      <alignment horizontal="center"/>
      <protection hidden="1"/>
    </xf>
    <xf numFmtId="1" fontId="6" fillId="0" borderId="225" xfId="126" applyNumberFormat="1" applyFont="1" applyBorder="1" applyAlignment="1" applyProtection="1">
      <alignment horizontal="center"/>
      <protection hidden="1"/>
    </xf>
    <xf numFmtId="1" fontId="6" fillId="0" borderId="51" xfId="126" applyNumberFormat="1" applyFont="1" applyBorder="1" applyAlignment="1" applyProtection="1">
      <alignment horizontal="left"/>
      <protection hidden="1"/>
    </xf>
    <xf numFmtId="1" fontId="6" fillId="0" borderId="14" xfId="126" applyNumberFormat="1" applyFont="1" applyBorder="1" applyAlignment="1" applyProtection="1">
      <alignment horizontal="left"/>
      <protection hidden="1"/>
    </xf>
    <xf numFmtId="1" fontId="6" fillId="0" borderId="52" xfId="126" applyNumberFormat="1" applyFont="1" applyBorder="1" applyAlignment="1" applyProtection="1">
      <alignment horizontal="left"/>
      <protection hidden="1"/>
    </xf>
    <xf numFmtId="1" fontId="6" fillId="0" borderId="26" xfId="126" applyNumberFormat="1" applyFont="1" applyBorder="1" applyAlignment="1" applyProtection="1">
      <alignment horizontal="left"/>
      <protection hidden="1"/>
    </xf>
    <xf numFmtId="1" fontId="4" fillId="0" borderId="182" xfId="0" applyNumberFormat="1" applyFont="1" applyBorder="1" applyAlignment="1">
      <alignment horizontal="left"/>
    </xf>
    <xf numFmtId="1" fontId="4" fillId="0" borderId="182" xfId="126" quotePrefix="1" applyNumberFormat="1" applyFont="1" applyBorder="1" applyAlignment="1" applyProtection="1">
      <alignment horizontal="left"/>
      <protection hidden="1"/>
    </xf>
    <xf numFmtId="1" fontId="4" fillId="0" borderId="211" xfId="126" quotePrefix="1" applyNumberFormat="1" applyFont="1" applyBorder="1" applyAlignment="1" applyProtection="1">
      <alignment horizontal="left"/>
      <protection hidden="1"/>
    </xf>
    <xf numFmtId="1" fontId="6" fillId="0" borderId="179" xfId="126" applyNumberFormat="1" applyFont="1" applyBorder="1" applyAlignment="1" applyProtection="1">
      <alignment horizontal="center" vertical="center" wrapText="1"/>
      <protection hidden="1"/>
    </xf>
    <xf numFmtId="1" fontId="6" fillId="0" borderId="200" xfId="126" applyNumberFormat="1" applyFont="1" applyBorder="1" applyAlignment="1" applyProtection="1">
      <alignment horizontal="center" vertical="center" wrapText="1"/>
      <protection hidden="1"/>
    </xf>
    <xf numFmtId="1" fontId="6" fillId="0" borderId="6" xfId="126" applyNumberFormat="1" applyFont="1" applyBorder="1" applyAlignment="1" applyProtection="1">
      <alignment horizontal="center" vertical="center" wrapText="1"/>
      <protection hidden="1"/>
    </xf>
    <xf numFmtId="1" fontId="6" fillId="0" borderId="180" xfId="126" applyNumberFormat="1" applyFont="1" applyBorder="1" applyAlignment="1" applyProtection="1">
      <alignment horizontal="center" vertical="center" wrapText="1"/>
      <protection hidden="1"/>
    </xf>
    <xf numFmtId="1" fontId="6" fillId="0" borderId="181" xfId="126" applyNumberFormat="1" applyFont="1" applyBorder="1" applyAlignment="1" applyProtection="1">
      <alignment horizontal="center" vertical="center" wrapText="1"/>
      <protection hidden="1"/>
    </xf>
    <xf numFmtId="1" fontId="6" fillId="0" borderId="203" xfId="126" applyNumberFormat="1" applyFont="1" applyBorder="1" applyAlignment="1" applyProtection="1">
      <alignment horizontal="center" vertical="center" wrapText="1"/>
      <protection hidden="1"/>
    </xf>
    <xf numFmtId="1" fontId="6" fillId="0" borderId="72" xfId="126" applyNumberFormat="1" applyFont="1" applyBorder="1" applyAlignment="1" applyProtection="1">
      <alignment horizontal="center" vertical="center" wrapText="1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16" xfId="126" applyNumberFormat="1" applyFont="1" applyBorder="1" applyAlignment="1" applyProtection="1">
      <alignment horizontal="center" vertical="center" wrapText="1"/>
      <protection hidden="1"/>
    </xf>
    <xf numFmtId="1" fontId="6" fillId="0" borderId="51" xfId="126" applyNumberFormat="1" applyFont="1" applyBorder="1" applyAlignment="1" applyProtection="1">
      <alignment horizontal="left" vertical="center" wrapText="1"/>
      <protection hidden="1"/>
    </xf>
    <xf numFmtId="1" fontId="6" fillId="0" borderId="14" xfId="126" applyNumberFormat="1" applyFont="1" applyBorder="1" applyAlignment="1" applyProtection="1">
      <alignment horizontal="left" vertical="center" wrapText="1"/>
      <protection hidden="1"/>
    </xf>
    <xf numFmtId="1" fontId="6" fillId="0" borderId="52" xfId="126" applyNumberFormat="1" applyFont="1" applyBorder="1" applyAlignment="1" applyProtection="1">
      <alignment horizontal="left" vertical="center" wrapText="1"/>
      <protection hidden="1"/>
    </xf>
    <xf numFmtId="1" fontId="6" fillId="0" borderId="26" xfId="126" applyNumberFormat="1" applyFont="1" applyBorder="1" applyAlignment="1" applyProtection="1">
      <alignment horizontal="left" vertical="center" wrapText="1"/>
      <protection hidden="1"/>
    </xf>
    <xf numFmtId="1" fontId="6" fillId="0" borderId="55" xfId="126" applyNumberFormat="1" applyFont="1" applyBorder="1" applyAlignment="1" applyProtection="1">
      <alignment horizontal="left" vertical="center" wrapText="1"/>
      <protection hidden="1"/>
    </xf>
    <xf numFmtId="1" fontId="6" fillId="0" borderId="94" xfId="126" applyNumberFormat="1" applyFont="1" applyBorder="1" applyAlignment="1" applyProtection="1">
      <alignment horizontal="left" vertical="center" wrapText="1"/>
      <protection hidden="1"/>
    </xf>
    <xf numFmtId="1" fontId="10" fillId="0" borderId="228" xfId="126" applyNumberFormat="1" applyFont="1" applyBorder="1" applyAlignment="1" applyProtection="1">
      <alignment horizontal="center" vertical="center" wrapText="1"/>
      <protection hidden="1"/>
    </xf>
    <xf numFmtId="1" fontId="10" fillId="0" borderId="225" xfId="126" applyNumberFormat="1" applyFont="1" applyBorder="1" applyAlignment="1" applyProtection="1">
      <alignment horizontal="center" vertical="center" wrapText="1"/>
      <protection hidden="1"/>
    </xf>
    <xf numFmtId="1" fontId="10" fillId="0" borderId="228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225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9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8" xfId="126" quotePrefix="1" applyNumberFormat="1" applyFont="1" applyBorder="1" applyAlignment="1" applyProtection="1">
      <alignment horizontal="center" vertical="center"/>
      <protection hidden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14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wrapText="1"/>
    </xf>
    <xf numFmtId="1" fontId="6" fillId="0" borderId="26" xfId="0" applyNumberFormat="1" applyFont="1" applyBorder="1" applyAlignment="1">
      <alignment horizontal="left" wrapText="1"/>
    </xf>
    <xf numFmtId="0" fontId="6" fillId="0" borderId="17" xfId="0" applyFont="1" applyBorder="1" applyAlignment="1">
      <alignment vertical="center" wrapText="1"/>
    </xf>
    <xf numFmtId="0" fontId="6" fillId="0" borderId="32" xfId="0" applyFont="1" applyBorder="1" applyAlignment="1">
      <alignment vertical="center" wrapText="1"/>
    </xf>
    <xf numFmtId="1" fontId="6" fillId="0" borderId="179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6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6" xfId="0" applyFont="1" applyBorder="1" applyAlignment="1">
      <alignment vertical="center" wrapText="1"/>
    </xf>
    <xf numFmtId="1" fontId="6" fillId="0" borderId="228" xfId="0" quotePrefix="1" applyNumberFormat="1" applyFont="1" applyBorder="1" applyAlignment="1">
      <alignment horizontal="center" vertical="center" wrapText="1"/>
    </xf>
    <xf numFmtId="1" fontId="6" fillId="0" borderId="224" xfId="0" applyNumberFormat="1" applyFont="1" applyBorder="1" applyAlignment="1">
      <alignment horizontal="center" vertical="center" wrapText="1"/>
    </xf>
    <xf numFmtId="1" fontId="10" fillId="0" borderId="228" xfId="125" applyNumberFormat="1" applyFont="1" applyBorder="1" applyAlignment="1" applyProtection="1">
      <alignment horizontal="left" vertical="center" wrapText="1"/>
      <protection hidden="1"/>
    </xf>
    <xf numFmtId="1" fontId="6" fillId="0" borderId="182" xfId="0" applyNumberFormat="1" applyFont="1" applyBorder="1" applyAlignment="1">
      <alignment horizontal="left" wrapText="1"/>
    </xf>
    <xf numFmtId="1" fontId="10" fillId="0" borderId="211" xfId="0" applyNumberFormat="1" applyFont="1" applyBorder="1" applyAlignment="1">
      <alignment horizontal="center" vertical="center" wrapText="1"/>
    </xf>
    <xf numFmtId="1" fontId="10" fillId="0" borderId="181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72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6" xfId="0" applyNumberFormat="1" applyFont="1" applyBorder="1" applyAlignment="1">
      <alignment horizontal="center" vertical="center" wrapText="1"/>
    </xf>
    <xf numFmtId="0" fontId="6" fillId="0" borderId="51" xfId="0" applyFont="1" applyBorder="1" applyAlignment="1">
      <alignment vertical="center" wrapText="1"/>
    </xf>
    <xf numFmtId="0" fontId="6" fillId="0" borderId="14" xfId="0" applyFont="1" applyBorder="1" applyAlignment="1">
      <alignment vertical="center" wrapText="1"/>
    </xf>
    <xf numFmtId="1" fontId="6" fillId="0" borderId="225" xfId="0" applyNumberFormat="1" applyFont="1" applyBorder="1" applyAlignment="1">
      <alignment horizontal="left" wrapText="1"/>
    </xf>
    <xf numFmtId="1" fontId="10" fillId="0" borderId="180" xfId="125" applyNumberFormat="1" applyFont="1" applyBorder="1" applyAlignment="1" applyProtection="1">
      <alignment horizontal="left" vertical="center" wrapText="1"/>
      <protection hidden="1"/>
    </xf>
    <xf numFmtId="1" fontId="6" fillId="0" borderId="211" xfId="0" applyNumberFormat="1" applyFont="1" applyBorder="1" applyAlignment="1">
      <alignment horizontal="left" wrapText="1"/>
    </xf>
    <xf numFmtId="0" fontId="6" fillId="0" borderId="46" xfId="0" applyFont="1" applyBorder="1" applyAlignment="1">
      <alignment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46" xfId="0" applyFont="1" applyBorder="1" applyAlignment="1">
      <alignment horizontal="center" vertical="center" wrapText="1"/>
    </xf>
    <xf numFmtId="0" fontId="6" fillId="0" borderId="52" xfId="0" applyFont="1" applyBorder="1" applyAlignment="1">
      <alignment vertical="center" wrapText="1"/>
    </xf>
    <xf numFmtId="0" fontId="6" fillId="0" borderId="26" xfId="0" applyFont="1" applyBorder="1" applyAlignment="1">
      <alignment vertical="center" wrapText="1"/>
    </xf>
    <xf numFmtId="0" fontId="6" fillId="0" borderId="203" xfId="0" applyFont="1" applyBorder="1" applyAlignment="1">
      <alignment vertical="center" wrapText="1"/>
    </xf>
    <xf numFmtId="0" fontId="6" fillId="0" borderId="72" xfId="0" applyFont="1" applyBorder="1" applyAlignment="1">
      <alignment vertical="center" wrapText="1"/>
    </xf>
    <xf numFmtId="0" fontId="6" fillId="0" borderId="179" xfId="0" applyFont="1" applyBorder="1" applyAlignment="1">
      <alignment horizontal="left" vertical="center" wrapText="1"/>
    </xf>
    <xf numFmtId="0" fontId="6" fillId="0" borderId="200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1" fontId="6" fillId="0" borderId="226" xfId="112" applyNumberFormat="1" applyFont="1" applyBorder="1" applyAlignment="1" applyProtection="1">
      <alignment horizontal="center" vertical="center"/>
      <protection hidden="1"/>
    </xf>
    <xf numFmtId="0" fontId="6" fillId="0" borderId="69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" fontId="10" fillId="0" borderId="181" xfId="125" applyNumberFormat="1" applyFont="1" applyBorder="1" applyAlignment="1" applyProtection="1">
      <alignment horizontal="left" vertical="center" wrapText="1"/>
      <protection hidden="1"/>
    </xf>
    <xf numFmtId="1" fontId="6" fillId="22" borderId="180" xfId="0" applyNumberFormat="1" applyFont="1" applyFill="1" applyBorder="1" applyAlignment="1">
      <alignment horizontal="center" vertical="center"/>
    </xf>
    <xf numFmtId="1" fontId="6" fillId="22" borderId="211" xfId="0" applyNumberFormat="1" applyFont="1" applyFill="1" applyBorder="1" applyAlignment="1">
      <alignment horizontal="center" vertical="center"/>
    </xf>
    <xf numFmtId="1" fontId="6" fillId="22" borderId="181" xfId="0" applyNumberFormat="1" applyFont="1" applyFill="1" applyBorder="1" applyAlignment="1">
      <alignment horizontal="center" vertical="center"/>
    </xf>
    <xf numFmtId="1" fontId="6" fillId="22" borderId="69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6" xfId="0" applyNumberFormat="1" applyFont="1" applyFill="1" applyBorder="1" applyAlignment="1">
      <alignment horizontal="center" vertical="center"/>
    </xf>
    <xf numFmtId="1" fontId="6" fillId="0" borderId="228" xfId="0" applyNumberFormat="1" applyFont="1" applyBorder="1" applyAlignment="1">
      <alignment horizontal="left" vertical="center" wrapText="1"/>
    </xf>
    <xf numFmtId="1" fontId="6" fillId="0" borderId="225" xfId="0" applyNumberFormat="1" applyFont="1" applyBorder="1" applyAlignment="1">
      <alignment horizontal="left" vertical="center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179" xfId="128" applyNumberFormat="1" applyFont="1" applyBorder="1" applyAlignment="1" applyProtection="1">
      <alignment horizontal="left" vertical="center" wrapText="1"/>
      <protection hidden="1"/>
    </xf>
    <xf numFmtId="1" fontId="6" fillId="0" borderId="200" xfId="128" applyNumberFormat="1" applyFont="1" applyBorder="1" applyAlignment="1" applyProtection="1">
      <alignment horizontal="left" vertical="center" wrapText="1"/>
      <protection hidden="1"/>
    </xf>
    <xf numFmtId="1" fontId="6" fillId="0" borderId="6" xfId="128" applyNumberFormat="1" applyFont="1" applyBorder="1" applyAlignment="1" applyProtection="1">
      <alignment horizontal="left" vertical="center" wrapText="1"/>
      <protection hidden="1"/>
    </xf>
    <xf numFmtId="1" fontId="4" fillId="0" borderId="228" xfId="125" applyNumberFormat="1" applyFont="1" applyBorder="1" applyAlignment="1" applyProtection="1">
      <alignment horizontal="left" vertical="center" wrapText="1"/>
      <protection hidden="1"/>
    </xf>
    <xf numFmtId="1" fontId="4" fillId="0" borderId="182" xfId="125" applyNumberFormat="1" applyFont="1" applyBorder="1" applyAlignment="1" applyProtection="1">
      <alignment horizontal="left" vertical="center" wrapText="1"/>
      <protection hidden="1"/>
    </xf>
    <xf numFmtId="1" fontId="6" fillId="0" borderId="226" xfId="128" applyNumberFormat="1" applyFont="1" applyBorder="1" applyAlignment="1" applyProtection="1">
      <alignment horizontal="left" vertical="center" wrapText="1"/>
      <protection hidden="1"/>
    </xf>
    <xf numFmtId="1" fontId="6" fillId="0" borderId="179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26" xfId="0" applyNumberFormat="1" applyFont="1" applyBorder="1" applyAlignment="1">
      <alignment horizontal="left" vertical="center" wrapText="1"/>
    </xf>
    <xf numFmtId="1" fontId="6" fillId="0" borderId="55" xfId="0" applyNumberFormat="1" applyFont="1" applyBorder="1" applyAlignment="1">
      <alignment horizontal="left" vertical="center" wrapText="1"/>
    </xf>
    <xf numFmtId="1" fontId="6" fillId="0" borderId="94" xfId="0" applyNumberFormat="1" applyFont="1" applyBorder="1" applyAlignment="1">
      <alignment horizontal="left" vertical="center" wrapText="1"/>
    </xf>
    <xf numFmtId="1" fontId="6" fillId="0" borderId="181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wrapText="1"/>
    </xf>
    <xf numFmtId="1" fontId="6" fillId="0" borderId="14" xfId="0" applyNumberFormat="1" applyFont="1" applyBorder="1" applyAlignment="1">
      <alignment horizontal="left" wrapText="1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203" xfId="0" applyNumberFormat="1" applyFont="1" applyBorder="1" applyAlignment="1">
      <alignment horizontal="center" vertical="center"/>
    </xf>
    <xf numFmtId="1" fontId="6" fillId="0" borderId="72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16" xfId="0" applyNumberFormat="1" applyFont="1" applyBorder="1" applyAlignment="1">
      <alignment horizontal="center" vertical="center"/>
    </xf>
    <xf numFmtId="1" fontId="6" fillId="0" borderId="226" xfId="0" quotePrefix="1" applyNumberFormat="1" applyFont="1" applyBorder="1" applyAlignment="1">
      <alignment horizontal="center" vertical="center"/>
    </xf>
    <xf numFmtId="1" fontId="6" fillId="0" borderId="228" xfId="126" applyNumberFormat="1" applyFont="1" applyBorder="1" applyAlignment="1" applyProtection="1">
      <alignment horizontal="center" vertical="center"/>
      <protection hidden="1"/>
    </xf>
    <xf numFmtId="1" fontId="6" fillId="0" borderId="182" xfId="126" applyNumberFormat="1" applyFont="1" applyBorder="1" applyAlignment="1" applyProtection="1">
      <alignment horizontal="center" vertical="center"/>
      <protection hidden="1"/>
    </xf>
    <xf numFmtId="1" fontId="6" fillId="0" borderId="226" xfId="108" applyNumberFormat="1" applyFont="1" applyBorder="1" applyAlignment="1">
      <alignment horizontal="center" vertical="center" wrapText="1"/>
    </xf>
    <xf numFmtId="1" fontId="6" fillId="22" borderId="191" xfId="0" applyNumberFormat="1" applyFont="1" applyFill="1" applyBorder="1" applyAlignment="1">
      <alignment horizontal="center" vertical="center" wrapText="1"/>
    </xf>
    <xf numFmtId="1" fontId="6" fillId="22" borderId="181" xfId="0" applyNumberFormat="1" applyFont="1" applyFill="1" applyBorder="1" applyAlignment="1">
      <alignment horizontal="center" vertical="center" wrapText="1"/>
    </xf>
    <xf numFmtId="1" fontId="6" fillId="22" borderId="128" xfId="0" applyNumberFormat="1" applyFont="1" applyFill="1" applyBorder="1" applyAlignment="1">
      <alignment horizontal="center" vertical="center" wrapText="1"/>
    </xf>
    <xf numFmtId="1" fontId="6" fillId="22" borderId="16" xfId="0" applyNumberFormat="1" applyFont="1" applyFill="1" applyBorder="1" applyAlignment="1">
      <alignment horizontal="center" vertical="center" wrapText="1"/>
    </xf>
    <xf numFmtId="1" fontId="6" fillId="22" borderId="180" xfId="0" applyNumberFormat="1" applyFont="1" applyFill="1" applyBorder="1" applyAlignment="1">
      <alignment horizontal="center" vertical="center" wrapText="1"/>
    </xf>
    <xf numFmtId="1" fontId="6" fillId="22" borderId="69" xfId="0" applyNumberFormat="1" applyFont="1" applyFill="1" applyBorder="1" applyAlignment="1">
      <alignment horizontal="center" vertical="center" wrapText="1"/>
    </xf>
    <xf numFmtId="1" fontId="6" fillId="22" borderId="179" xfId="0" applyNumberFormat="1" applyFont="1" applyFill="1" applyBorder="1" applyAlignment="1">
      <alignment horizontal="center" vertical="center" wrapText="1"/>
    </xf>
    <xf numFmtId="1" fontId="6" fillId="22" borderId="200" xfId="0" applyNumberFormat="1" applyFont="1" applyFill="1" applyBorder="1" applyAlignment="1">
      <alignment horizontal="center" vertical="center" wrapText="1"/>
    </xf>
    <xf numFmtId="1" fontId="6" fillId="22" borderId="6" xfId="0" applyNumberFormat="1" applyFont="1" applyFill="1" applyBorder="1" applyAlignment="1">
      <alignment horizontal="center" vertical="center" wrapText="1"/>
    </xf>
    <xf numFmtId="1" fontId="6" fillId="22" borderId="132" xfId="0" applyNumberFormat="1" applyFont="1" applyFill="1" applyBorder="1" applyAlignment="1">
      <alignment horizontal="center" vertical="center" wrapText="1"/>
    </xf>
    <xf numFmtId="1" fontId="6" fillId="22" borderId="72" xfId="0" applyNumberFormat="1" applyFont="1" applyFill="1" applyBorder="1" applyAlignment="1">
      <alignment horizontal="center" vertical="center" wrapText="1"/>
    </xf>
    <xf numFmtId="1" fontId="6" fillId="22" borderId="211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183" xfId="0" applyNumberFormat="1" applyFont="1" applyFill="1" applyBorder="1" applyAlignment="1">
      <alignment horizontal="center" vertical="center" wrapText="1"/>
    </xf>
    <xf numFmtId="1" fontId="6" fillId="22" borderId="123" xfId="0" applyNumberFormat="1" applyFont="1" applyFill="1" applyBorder="1" applyAlignment="1">
      <alignment horizontal="center" vertical="center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42" xfId="0" applyFont="1" applyBorder="1" applyAlignment="1">
      <alignment horizontal="center" vertical="center"/>
    </xf>
    <xf numFmtId="0" fontId="30" fillId="0" borderId="182" xfId="0" applyFont="1" applyBorder="1" applyAlignment="1">
      <alignment horizontal="center" vertical="center"/>
    </xf>
    <xf numFmtId="0" fontId="30" fillId="0" borderId="225" xfId="0" applyFont="1" applyBorder="1" applyAlignment="1">
      <alignment horizontal="center" vertical="center"/>
    </xf>
    <xf numFmtId="0" fontId="29" fillId="0" borderId="5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left" vertical="center" wrapText="1"/>
    </xf>
    <xf numFmtId="0" fontId="29" fillId="0" borderId="51" xfId="0" applyFont="1" applyBorder="1" applyAlignment="1">
      <alignment horizontal="left" vertical="center" wrapText="1"/>
    </xf>
    <xf numFmtId="0" fontId="29" fillId="0" borderId="14" xfId="0" applyFont="1" applyBorder="1" applyAlignment="1">
      <alignment horizontal="left" vertical="center" wrapText="1"/>
    </xf>
    <xf numFmtId="0" fontId="29" fillId="0" borderId="55" xfId="0" applyFont="1" applyBorder="1" applyAlignment="1">
      <alignment horizontal="left" vertical="center" wrapText="1"/>
    </xf>
    <xf numFmtId="0" fontId="29" fillId="0" borderId="94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6" xfId="0" applyFont="1" applyBorder="1" applyAlignment="1">
      <alignment horizontal="left" vertical="center" wrapText="1"/>
    </xf>
    <xf numFmtId="0" fontId="29" fillId="0" borderId="181" xfId="0" applyFont="1" applyBorder="1" applyAlignment="1">
      <alignment horizontal="left" vertical="center" wrapText="1"/>
    </xf>
    <xf numFmtId="0" fontId="29" fillId="0" borderId="72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182" xfId="0" applyNumberFormat="1" applyFont="1" applyFill="1" applyBorder="1" applyAlignment="1">
      <alignment horizontal="left"/>
    </xf>
    <xf numFmtId="1" fontId="6" fillId="22" borderId="228" xfId="0" applyNumberFormat="1" applyFont="1" applyFill="1" applyBorder="1" applyAlignment="1">
      <alignment horizontal="center" vertical="center" wrapText="1"/>
    </xf>
    <xf numFmtId="1" fontId="6" fillId="22" borderId="182" xfId="0" applyNumberFormat="1" applyFont="1" applyFill="1" applyBorder="1" applyAlignment="1">
      <alignment horizontal="center" vertical="center" wrapText="1"/>
    </xf>
    <xf numFmtId="1" fontId="6" fillId="22" borderId="225" xfId="0" applyNumberFormat="1" applyFont="1" applyFill="1" applyBorder="1" applyAlignment="1">
      <alignment horizontal="center" vertical="center" wrapText="1"/>
    </xf>
    <xf numFmtId="1" fontId="10" fillId="22" borderId="180" xfId="0" applyNumberFormat="1" applyFont="1" applyFill="1" applyBorder="1" applyAlignment="1">
      <alignment horizontal="center" vertical="center" wrapText="1"/>
    </xf>
    <xf numFmtId="1" fontId="10" fillId="22" borderId="181" xfId="0" applyNumberFormat="1" applyFont="1" applyFill="1" applyBorder="1" applyAlignment="1">
      <alignment horizontal="center" vertical="center" wrapText="1"/>
    </xf>
    <xf numFmtId="1" fontId="10" fillId="22" borderId="69" xfId="0" applyNumberFormat="1" applyFont="1" applyFill="1" applyBorder="1" applyAlignment="1">
      <alignment horizontal="center" vertical="center" wrapText="1"/>
    </xf>
    <xf numFmtId="1" fontId="10" fillId="22" borderId="16" xfId="0" applyNumberFormat="1" applyFont="1" applyFill="1" applyBorder="1" applyAlignment="1">
      <alignment horizontal="center" vertical="center" wrapText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4" fillId="22" borderId="182" xfId="125" applyNumberFormat="1" applyFont="1" applyFill="1" applyBorder="1" applyAlignment="1">
      <alignment horizontal="left" vertical="center"/>
    </xf>
    <xf numFmtId="1" fontId="6" fillId="22" borderId="52" xfId="0" applyNumberFormat="1" applyFont="1" applyFill="1" applyBorder="1" applyAlignment="1">
      <alignment horizontal="left" wrapText="1"/>
    </xf>
    <xf numFmtId="1" fontId="6" fillId="22" borderId="26" xfId="0" applyNumberFormat="1" applyFont="1" applyFill="1" applyBorder="1" applyAlignment="1">
      <alignment horizontal="left" wrapText="1"/>
    </xf>
    <xf numFmtId="1" fontId="6" fillId="0" borderId="226" xfId="125" applyNumberFormat="1" applyFont="1" applyBorder="1" applyAlignment="1" applyProtection="1">
      <alignment horizontal="center" vertical="center" wrapText="1"/>
      <protection hidden="1"/>
    </xf>
    <xf numFmtId="1" fontId="6" fillId="0" borderId="228" xfId="125" applyNumberFormat="1" applyFont="1" applyBorder="1" applyAlignment="1" applyProtection="1">
      <alignment horizontal="left" vertical="center" wrapText="1"/>
      <protection hidden="1"/>
    </xf>
    <xf numFmtId="1" fontId="6" fillId="0" borderId="225" xfId="125" applyNumberFormat="1" applyFont="1" applyBorder="1" applyAlignment="1" applyProtection="1">
      <alignment horizontal="left" vertical="center" wrapText="1"/>
      <protection hidden="1"/>
    </xf>
    <xf numFmtId="1" fontId="10" fillId="0" borderId="180" xfId="0" applyNumberFormat="1" applyFont="1" applyBorder="1" applyAlignment="1">
      <alignment horizontal="center" vertical="center"/>
    </xf>
    <xf numFmtId="1" fontId="10" fillId="0" borderId="181" xfId="0" applyNumberFormat="1" applyFont="1" applyBorder="1" applyAlignment="1">
      <alignment horizontal="center" vertical="center"/>
    </xf>
    <xf numFmtId="1" fontId="10" fillId="0" borderId="69" xfId="0" applyNumberFormat="1" applyFont="1" applyBorder="1" applyAlignment="1">
      <alignment horizontal="center" vertical="center"/>
    </xf>
    <xf numFmtId="1" fontId="10" fillId="0" borderId="16" xfId="0" applyNumberFormat="1" applyFont="1" applyBorder="1" applyAlignment="1">
      <alignment horizontal="center" vertical="center"/>
    </xf>
    <xf numFmtId="1" fontId="6" fillId="0" borderId="227" xfId="125" applyNumberFormat="1" applyFont="1" applyBorder="1" applyAlignment="1" applyProtection="1">
      <alignment horizontal="center" vertical="center" wrapText="1"/>
      <protection hidden="1"/>
    </xf>
    <xf numFmtId="1" fontId="6" fillId="0" borderId="228" xfId="125" applyNumberFormat="1" applyFont="1" applyBorder="1" applyAlignment="1" applyProtection="1">
      <alignment horizontal="center" vertical="center" wrapText="1"/>
      <protection hidden="1"/>
    </xf>
    <xf numFmtId="1" fontId="6" fillId="0" borderId="182" xfId="125" applyNumberFormat="1" applyFont="1" applyBorder="1" applyAlignment="1" applyProtection="1">
      <alignment horizontal="center" vertical="center" wrapText="1"/>
      <protection hidden="1"/>
    </xf>
    <xf numFmtId="1" fontId="6" fillId="0" borderId="225" xfId="125" applyNumberFormat="1" applyFont="1" applyBorder="1" applyAlignment="1" applyProtection="1">
      <alignment horizontal="center" vertical="center" wrapText="1"/>
      <protection hidden="1"/>
    </xf>
    <xf numFmtId="1" fontId="6" fillId="22" borderId="224" xfId="0" applyNumberFormat="1" applyFont="1" applyFill="1" applyBorder="1" applyAlignment="1">
      <alignment horizontal="center" vertical="center" wrapText="1"/>
    </xf>
    <xf numFmtId="1" fontId="45" fillId="22" borderId="182" xfId="125" applyNumberFormat="1" applyFont="1" applyFill="1" applyBorder="1" applyAlignment="1">
      <alignment horizontal="left" vertical="center"/>
    </xf>
    <xf numFmtId="1" fontId="10" fillId="22" borderId="179" xfId="0" applyNumberFormat="1" applyFont="1" applyFill="1" applyBorder="1" applyAlignment="1">
      <alignment horizontal="center" vertical="center" wrapText="1"/>
    </xf>
    <xf numFmtId="1" fontId="10" fillId="22" borderId="6" xfId="0" applyNumberFormat="1" applyFont="1" applyFill="1" applyBorder="1" applyAlignment="1">
      <alignment horizontal="center" vertical="center" wrapText="1"/>
    </xf>
    <xf numFmtId="1" fontId="6" fillId="22" borderId="92" xfId="0" applyNumberFormat="1" applyFont="1" applyFill="1" applyBorder="1" applyAlignment="1">
      <alignment horizontal="center" vertical="center" wrapText="1"/>
    </xf>
    <xf numFmtId="1" fontId="6" fillId="0" borderId="224" xfId="125" applyNumberFormat="1" applyFont="1" applyBorder="1" applyAlignment="1" applyProtection="1">
      <alignment horizontal="center" vertical="center" wrapText="1"/>
      <protection hidden="1"/>
    </xf>
    <xf numFmtId="1" fontId="6" fillId="0" borderId="92" xfId="125" applyNumberFormat="1" applyFont="1" applyBorder="1" applyAlignment="1" applyProtection="1">
      <alignment horizontal="center" vertical="center" wrapText="1"/>
      <protection hidden="1"/>
    </xf>
    <xf numFmtId="1" fontId="6" fillId="22" borderId="188" xfId="0" applyNumberFormat="1" applyFont="1" applyFill="1" applyBorder="1" applyAlignment="1">
      <alignment horizontal="center" vertical="center" wrapText="1"/>
    </xf>
    <xf numFmtId="1" fontId="6" fillId="22" borderId="55" xfId="0" applyNumberFormat="1" applyFont="1" applyFill="1" applyBorder="1" applyAlignment="1">
      <alignment horizontal="left" wrapText="1"/>
    </xf>
    <xf numFmtId="1" fontId="6" fillId="22" borderId="94" xfId="0" applyNumberFormat="1" applyFont="1" applyFill="1" applyBorder="1" applyAlignment="1">
      <alignment horizontal="left" wrapText="1"/>
    </xf>
    <xf numFmtId="1" fontId="6" fillId="22" borderId="51" xfId="0" applyNumberFormat="1" applyFont="1" applyFill="1" applyBorder="1" applyAlignment="1">
      <alignment horizontal="left" wrapText="1"/>
    </xf>
    <xf numFmtId="1" fontId="6" fillId="22" borderId="14" xfId="0" applyNumberFormat="1" applyFont="1" applyFill="1" applyBorder="1" applyAlignment="1">
      <alignment horizontal="left" wrapText="1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22" borderId="0" xfId="0" applyNumberFormat="1" applyFont="1" applyFill="1" applyAlignment="1">
      <alignment horizontal="center" vertical="center" wrapText="1"/>
    </xf>
    <xf numFmtId="1" fontId="6" fillId="22" borderId="203" xfId="0" applyNumberFormat="1" applyFont="1" applyFill="1" applyBorder="1" applyAlignment="1">
      <alignment horizontal="center" vertical="center" wrapText="1"/>
    </xf>
    <xf numFmtId="1" fontId="6" fillId="22" borderId="125" xfId="0" applyNumberFormat="1" applyFont="1" applyFill="1" applyBorder="1" applyAlignment="1">
      <alignment horizontal="center" vertical="center" wrapText="1"/>
    </xf>
    <xf numFmtId="1" fontId="6" fillId="22" borderId="108" xfId="0" applyNumberFormat="1" applyFont="1" applyFill="1" applyBorder="1" applyAlignment="1">
      <alignment horizontal="center" vertical="center" wrapText="1"/>
    </xf>
    <xf numFmtId="1" fontId="28" fillId="22" borderId="51" xfId="0" applyNumberFormat="1" applyFont="1" applyFill="1" applyBorder="1" applyAlignment="1">
      <alignment horizontal="left" wrapText="1"/>
    </xf>
    <xf numFmtId="1" fontId="28" fillId="22" borderId="14" xfId="0" applyNumberFormat="1" applyFont="1" applyFill="1" applyBorder="1" applyAlignment="1">
      <alignment horizontal="left" wrapText="1"/>
    </xf>
    <xf numFmtId="1" fontId="28" fillId="22" borderId="52" xfId="0" applyNumberFormat="1" applyFont="1" applyFill="1" applyBorder="1" applyAlignment="1">
      <alignment horizontal="left" wrapText="1"/>
    </xf>
    <xf numFmtId="1" fontId="28" fillId="22" borderId="26" xfId="0" applyNumberFormat="1" applyFont="1" applyFill="1" applyBorder="1" applyAlignment="1">
      <alignment horizontal="left" wrapText="1"/>
    </xf>
    <xf numFmtId="1" fontId="28" fillId="22" borderId="55" xfId="0" applyNumberFormat="1" applyFont="1" applyFill="1" applyBorder="1" applyAlignment="1">
      <alignment horizontal="left"/>
    </xf>
    <xf numFmtId="1" fontId="28" fillId="22" borderId="94" xfId="0" applyNumberFormat="1" applyFont="1" applyFill="1" applyBorder="1" applyAlignment="1">
      <alignment horizontal="left"/>
    </xf>
    <xf numFmtId="1" fontId="10" fillId="22" borderId="203" xfId="0" applyNumberFormat="1" applyFont="1" applyFill="1" applyBorder="1" applyAlignment="1">
      <alignment horizontal="center" vertical="center" wrapText="1"/>
    </xf>
    <xf numFmtId="1" fontId="10" fillId="22" borderId="72" xfId="0" applyNumberFormat="1" applyFont="1" applyFill="1" applyBorder="1" applyAlignment="1">
      <alignment horizontal="center" vertical="center" wrapText="1"/>
    </xf>
    <xf numFmtId="1" fontId="10" fillId="22" borderId="226" xfId="0" applyNumberFormat="1" applyFont="1" applyFill="1" applyBorder="1" applyAlignment="1">
      <alignment horizontal="center" vertical="center" wrapText="1"/>
    </xf>
    <xf numFmtId="1" fontId="10" fillId="0" borderId="180" xfId="125" applyNumberFormat="1" applyFont="1" applyBorder="1" applyAlignment="1" applyProtection="1">
      <alignment horizontal="center" vertical="center" wrapText="1"/>
      <protection hidden="1"/>
    </xf>
    <xf numFmtId="1" fontId="10" fillId="0" borderId="181" xfId="125" applyNumberFormat="1" applyFont="1" applyBorder="1" applyAlignment="1" applyProtection="1">
      <alignment horizontal="center" vertical="center" wrapText="1"/>
      <protection hidden="1"/>
    </xf>
    <xf numFmtId="1" fontId="10" fillId="0" borderId="69" xfId="125" applyNumberFormat="1" applyFont="1" applyBorder="1" applyAlignment="1" applyProtection="1">
      <alignment horizontal="center" vertical="center" wrapText="1"/>
      <protection hidden="1"/>
    </xf>
    <xf numFmtId="1" fontId="10" fillId="0" borderId="16" xfId="125" applyNumberFormat="1" applyFont="1" applyBorder="1" applyAlignment="1" applyProtection="1">
      <alignment horizontal="center" vertical="center" wrapText="1"/>
      <protection hidden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182" xfId="126" applyNumberFormat="1" applyFont="1" applyFill="1" applyBorder="1" applyAlignment="1" applyProtection="1">
      <alignment horizontal="left"/>
      <protection hidden="1"/>
    </xf>
    <xf numFmtId="1" fontId="4" fillId="17" borderId="229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71" xfId="0" applyNumberFormat="1" applyFont="1" applyBorder="1" applyAlignment="1">
      <alignment horizontal="center" vertical="center" wrapText="1"/>
    </xf>
    <xf numFmtId="1" fontId="6" fillId="17" borderId="228" xfId="108" applyNumberFormat="1" applyFont="1" applyFill="1" applyBorder="1" applyAlignment="1">
      <alignment horizontal="center" vertical="center" wrapText="1"/>
    </xf>
    <xf numFmtId="1" fontId="6" fillId="17" borderId="182" xfId="108" applyNumberFormat="1" applyFont="1" applyFill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6" fillId="17" borderId="225" xfId="108" applyNumberFormat="1" applyFont="1" applyFill="1" applyBorder="1" applyAlignment="1">
      <alignment horizontal="center" vertical="center" wrapText="1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88" xfId="0" applyNumberFormat="1" applyFont="1" applyBorder="1" applyAlignment="1">
      <alignment horizontal="center" vertical="center" wrapText="1"/>
    </xf>
    <xf numFmtId="1" fontId="6" fillId="0" borderId="228" xfId="0" quotePrefix="1" applyNumberFormat="1" applyFont="1" applyBorder="1" applyAlignment="1">
      <alignment horizontal="center" vertical="center"/>
    </xf>
    <xf numFmtId="1" fontId="6" fillId="0" borderId="224" xfId="0" applyNumberFormat="1" applyFont="1" applyBorder="1" applyAlignment="1">
      <alignment horizontal="center" vertical="center"/>
    </xf>
    <xf numFmtId="1" fontId="6" fillId="17" borderId="180" xfId="108" applyNumberFormat="1" applyFont="1" applyFill="1" applyBorder="1" applyAlignment="1">
      <alignment horizontal="center" vertical="center" wrapText="1"/>
    </xf>
    <xf numFmtId="1" fontId="6" fillId="17" borderId="211" xfId="108" applyNumberFormat="1" applyFont="1" applyFill="1" applyBorder="1" applyAlignment="1">
      <alignment horizontal="center" vertical="center" wrapText="1"/>
    </xf>
    <xf numFmtId="1" fontId="6" fillId="17" borderId="181" xfId="108" applyNumberFormat="1" applyFont="1" applyFill="1" applyBorder="1" applyAlignment="1">
      <alignment horizontal="center" vertical="center" wrapText="1"/>
    </xf>
    <xf numFmtId="1" fontId="6" fillId="17" borderId="69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6" xfId="108" applyNumberFormat="1" applyFont="1" applyFill="1" applyBorder="1" applyAlignment="1">
      <alignment horizontal="center" vertical="center" wrapText="1"/>
    </xf>
    <xf numFmtId="1" fontId="10" fillId="17" borderId="226" xfId="108" applyNumberFormat="1" applyFont="1" applyFill="1" applyBorder="1" applyAlignment="1">
      <alignment horizontal="center" vertical="center" wrapText="1"/>
    </xf>
    <xf numFmtId="1" fontId="6" fillId="17" borderId="200" xfId="122" applyNumberFormat="1" applyFont="1" applyFill="1" applyBorder="1" applyAlignment="1">
      <alignment horizontal="left" vertical="center"/>
    </xf>
    <xf numFmtId="1" fontId="6" fillId="17" borderId="6" xfId="122" applyNumberFormat="1" applyFont="1" applyFill="1" applyBorder="1" applyAlignment="1">
      <alignment horizontal="left" vertical="center"/>
    </xf>
    <xf numFmtId="1" fontId="6" fillId="0" borderId="225" xfId="0" quotePrefix="1" applyNumberFormat="1" applyFont="1" applyBorder="1" applyAlignment="1">
      <alignment horizontal="center" vertical="center" wrapText="1"/>
    </xf>
    <xf numFmtId="1" fontId="6" fillId="17" borderId="179" xfId="122" applyNumberFormat="1" applyFont="1" applyFill="1" applyBorder="1" applyAlignment="1">
      <alignment horizontal="left" vertical="center"/>
    </xf>
    <xf numFmtId="1" fontId="10" fillId="17" borderId="211" xfId="108" applyNumberFormat="1" applyFont="1" applyFill="1" applyBorder="1" applyAlignment="1">
      <alignment horizontal="center" vertical="center" wrapText="1"/>
    </xf>
    <xf numFmtId="1" fontId="10" fillId="17" borderId="181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72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6" xfId="108" applyNumberFormat="1" applyFont="1" applyFill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4" fillId="0" borderId="211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211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197" xfId="0" applyFont="1" applyBorder="1" applyAlignment="1">
      <alignment horizontal="center" vertical="center"/>
    </xf>
    <xf numFmtId="0" fontId="6" fillId="0" borderId="224" xfId="0" applyFont="1" applyBorder="1" applyAlignment="1">
      <alignment horizontal="center" vertical="center"/>
    </xf>
    <xf numFmtId="0" fontId="10" fillId="0" borderId="226" xfId="0" applyFont="1" applyBorder="1" applyAlignment="1">
      <alignment horizontal="center" vertical="center" wrapText="1"/>
    </xf>
    <xf numFmtId="0" fontId="6" fillId="0" borderId="180" xfId="0" applyFont="1" applyBorder="1" applyAlignment="1">
      <alignment horizontal="center" vertical="center"/>
    </xf>
    <xf numFmtId="0" fontId="6" fillId="0" borderId="211" xfId="0" applyFont="1" applyBorder="1" applyAlignment="1">
      <alignment horizontal="center" vertical="center"/>
    </xf>
    <xf numFmtId="0" fontId="6" fillId="0" borderId="181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28" xfId="0" quotePrefix="1" applyFont="1" applyBorder="1" applyAlignment="1">
      <alignment horizontal="center"/>
    </xf>
    <xf numFmtId="0" fontId="6" fillId="0" borderId="182" xfId="0" applyFont="1" applyBorder="1" applyAlignment="1">
      <alignment horizontal="center"/>
    </xf>
    <xf numFmtId="0" fontId="6" fillId="0" borderId="224" xfId="0" applyFont="1" applyBorder="1" applyAlignment="1">
      <alignment horizontal="center"/>
    </xf>
    <xf numFmtId="0" fontId="6" fillId="0" borderId="72" xfId="0" applyFont="1" applyBorder="1" applyAlignment="1">
      <alignment horizontal="center" vertical="center"/>
    </xf>
    <xf numFmtId="0" fontId="19" fillId="0" borderId="228" xfId="0" applyFont="1" applyBorder="1" applyAlignment="1" applyProtection="1">
      <alignment horizontal="center" vertical="center"/>
      <protection hidden="1"/>
    </xf>
    <xf numFmtId="0" fontId="19" fillId="0" borderId="182" xfId="0" applyFont="1" applyBorder="1" applyAlignment="1" applyProtection="1">
      <alignment horizontal="center" vertical="center"/>
      <protection hidden="1"/>
    </xf>
    <xf numFmtId="0" fontId="19" fillId="0" borderId="197" xfId="0" applyFont="1" applyBorder="1" applyAlignment="1" applyProtection="1">
      <alignment horizontal="center" vertical="center"/>
      <protection hidden="1"/>
    </xf>
    <xf numFmtId="0" fontId="23" fillId="16" borderId="133" xfId="0" applyFont="1" applyFill="1" applyBorder="1" applyAlignment="1">
      <alignment horizontal="center" vertical="center" wrapText="1"/>
    </xf>
    <xf numFmtId="0" fontId="23" fillId="16" borderId="134" xfId="0" applyFont="1" applyFill="1" applyBorder="1" applyAlignment="1">
      <alignment horizontal="center" vertical="center" wrapText="1"/>
    </xf>
    <xf numFmtId="0" fontId="23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  <xf numFmtId="0" fontId="24" fillId="16" borderId="139" xfId="0" applyFont="1" applyFill="1" applyBorder="1" applyAlignment="1">
      <alignment horizontal="center" vertical="center" wrapText="1"/>
    </xf>
    <xf numFmtId="0" fontId="24" fillId="16" borderId="140" xfId="0" applyFont="1" applyFill="1" applyBorder="1" applyAlignment="1">
      <alignment horizontal="center" vertical="center" wrapText="1"/>
    </xf>
    <xf numFmtId="0" fontId="24" fillId="16" borderId="141" xfId="0" applyFont="1" applyFill="1" applyBorder="1" applyAlignment="1">
      <alignment horizontal="center" vertical="center" wrapText="1"/>
    </xf>
  </cellXfs>
  <cellStyles count="180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EM 15-2002" xfId="179" xr:uid="{05A46481-2973-40FE-A2A3-828F939652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9" style="21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644" t="s">
        <v>0</v>
      </c>
      <c r="B1" s="1645"/>
      <c r="C1" s="1646" t="s">
        <v>1</v>
      </c>
      <c r="D1" s="1646"/>
      <c r="E1" s="1646"/>
      <c r="F1" s="1646"/>
      <c r="G1" s="1646"/>
      <c r="H1" s="1646"/>
    </row>
    <row r="2" spans="1:33" ht="18" customHeight="1" x14ac:dyDescent="0.2">
      <c r="A2" s="1367" t="s">
        <v>2</v>
      </c>
      <c r="B2" s="1391"/>
      <c r="C2" s="7"/>
      <c r="D2" s="864"/>
      <c r="E2" s="864"/>
      <c r="F2" s="864"/>
      <c r="G2" s="865"/>
      <c r="H2" s="866"/>
      <c r="I2" s="3" t="str">
        <f>IF(OR(NOMBRE!C2="",NOMBRE!D2="",NOMBRE!E2="",NOMBRE!F2="",NOMBRE!G2=""),"Falta Cód. Com.","")</f>
        <v>Falta Cód. Com.</v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1</v>
      </c>
    </row>
    <row r="3" spans="1:33" ht="18" customHeight="1" x14ac:dyDescent="0.2">
      <c r="A3" s="1392" t="s">
        <v>3</v>
      </c>
      <c r="B3" s="1393"/>
      <c r="C3" s="7"/>
      <c r="D3" s="864"/>
      <c r="E3" s="864"/>
      <c r="F3" s="864"/>
      <c r="G3" s="865"/>
      <c r="H3" s="1394"/>
      <c r="I3" s="3" t="str">
        <f>IF(OR(NOMBRE!C3="",NOMBRE!D3="",NOMBRE!E3="",NOMBRE!F3="",NOMBRE!G3="",NOMBRE!H3=""),"Falta Cód. Est.","")</f>
        <v>Falta Cód. Est.</v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1</v>
      </c>
    </row>
    <row r="4" spans="1:33" ht="10.5" customHeight="1" x14ac:dyDescent="0.2">
      <c r="A4" s="987"/>
      <c r="B4" s="988"/>
      <c r="C4" s="8"/>
      <c r="D4" s="8"/>
      <c r="E4" s="8"/>
      <c r="F4" s="8"/>
      <c r="G4" s="8"/>
      <c r="H4" s="8"/>
      <c r="I4" s="3"/>
      <c r="J4" s="9"/>
      <c r="K4" s="10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11"/>
      <c r="AB4" s="11"/>
      <c r="AD4" s="5"/>
      <c r="AG4" s="6">
        <f>IF(I4&gt;"",1,0)</f>
        <v>0</v>
      </c>
    </row>
    <row r="5" spans="1:33" ht="10.5" customHeight="1" x14ac:dyDescent="0.2">
      <c r="A5" s="987"/>
      <c r="B5" s="988"/>
      <c r="C5" s="8"/>
      <c r="D5" s="8"/>
      <c r="E5" s="8"/>
      <c r="F5" s="8"/>
      <c r="G5" s="8"/>
      <c r="H5" s="8"/>
      <c r="I5" s="3"/>
      <c r="J5" s="9"/>
      <c r="K5" s="10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11"/>
      <c r="AB5" s="11"/>
      <c r="AD5" s="5"/>
      <c r="AG5" s="6">
        <f>IF(I5&gt;"",1,0)</f>
        <v>0</v>
      </c>
    </row>
    <row r="6" spans="1:33" ht="18" customHeight="1" x14ac:dyDescent="0.2">
      <c r="A6" s="1392" t="s">
        <v>4</v>
      </c>
      <c r="B6" s="1395"/>
      <c r="C6" s="1396"/>
      <c r="D6" s="865"/>
      <c r="E6" s="12"/>
      <c r="F6" s="12"/>
      <c r="G6" s="12"/>
      <c r="H6" s="12"/>
      <c r="I6" s="3" t="str">
        <f>IF(OR(NOMBRE!C6="",NOMBRE!D6=""),"Falta Cód. Mes.","")</f>
        <v>Falta Cód. Mes.</v>
      </c>
      <c r="J6" s="9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D6" s="5"/>
      <c r="AG6" s="6">
        <f>IF(I6&gt;"",1,0)</f>
        <v>1</v>
      </c>
    </row>
    <row r="7" spans="1:33" ht="18" customHeight="1" x14ac:dyDescent="0.2">
      <c r="A7" s="1392" t="s">
        <v>5</v>
      </c>
      <c r="B7" s="1397">
        <v>2025</v>
      </c>
      <c r="AG7" s="14">
        <f>SUM(AG2:AG6)</f>
        <v>3</v>
      </c>
    </row>
    <row r="8" spans="1:33" ht="24" customHeight="1" x14ac:dyDescent="0.15">
      <c r="A8" s="1398"/>
      <c r="B8" s="1399"/>
    </row>
    <row r="9" spans="1:33" ht="20.100000000000001" customHeight="1" x14ac:dyDescent="0.15">
      <c r="A9" s="1647" t="s">
        <v>1664</v>
      </c>
      <c r="B9" s="1648"/>
    </row>
    <row r="10" spans="1:33" ht="12" customHeight="1" x14ac:dyDescent="0.2">
      <c r="A10" s="15"/>
      <c r="B10" s="16"/>
    </row>
    <row r="11" spans="1:33" ht="29.25" customHeight="1" x14ac:dyDescent="0.2">
      <c r="A11" s="1400" t="s">
        <v>6</v>
      </c>
      <c r="B11" s="1401"/>
      <c r="L11" s="17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9" t="s">
        <v>7</v>
      </c>
      <c r="AB11" s="24" t="s">
        <v>8</v>
      </c>
      <c r="AC11" s="24" t="s">
        <v>9</v>
      </c>
    </row>
    <row r="12" spans="1:33" ht="27.75" customHeight="1" x14ac:dyDescent="0.2">
      <c r="A12" s="989" t="s">
        <v>10</v>
      </c>
      <c r="B12" s="1401"/>
      <c r="L12" s="17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9" t="s">
        <v>11</v>
      </c>
      <c r="AB12" s="24" t="s">
        <v>12</v>
      </c>
      <c r="AC12" s="24" t="s">
        <v>13</v>
      </c>
    </row>
    <row r="13" spans="1:33" ht="21" customHeight="1" x14ac:dyDescent="0.2">
      <c r="A13" s="20"/>
      <c r="B13" s="1402"/>
      <c r="L13" s="17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B13" s="24" t="s">
        <v>14</v>
      </c>
      <c r="AC13" s="24" t="s">
        <v>15</v>
      </c>
    </row>
    <row r="14" spans="1:33" ht="21" customHeight="1" x14ac:dyDescent="0.15">
      <c r="L14" s="17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B14" s="24" t="s">
        <v>16</v>
      </c>
    </row>
    <row r="15" spans="1:33" ht="21" customHeight="1" x14ac:dyDescent="0.15">
      <c r="A15" s="1649" t="s">
        <v>17</v>
      </c>
      <c r="B15" s="1650"/>
      <c r="L15" s="17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B15" s="24" t="s">
        <v>18</v>
      </c>
    </row>
    <row r="16" spans="1:33" ht="21" customHeight="1" x14ac:dyDescent="0.15">
      <c r="L16" s="17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B16" s="24" t="s">
        <v>19</v>
      </c>
    </row>
    <row r="17" spans="2:28" ht="21" customHeight="1" x14ac:dyDescent="0.15">
      <c r="B17" s="1641" t="s">
        <v>20</v>
      </c>
      <c r="L17" s="17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B17" s="24" t="s">
        <v>21</v>
      </c>
    </row>
    <row r="18" spans="2:28" ht="21" customHeight="1" x14ac:dyDescent="0.15">
      <c r="B18" s="1642"/>
      <c r="I18" s="22"/>
      <c r="J18" s="23"/>
      <c r="L18" s="17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B18" s="24" t="s">
        <v>22</v>
      </c>
    </row>
    <row r="19" spans="2:28" ht="21" customHeight="1" x14ac:dyDescent="0.15">
      <c r="B19" s="1643"/>
      <c r="I19" s="22"/>
      <c r="J19" s="23"/>
      <c r="L19" s="17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B19" s="24" t="s">
        <v>23</v>
      </c>
    </row>
    <row r="20" spans="2:28" ht="21" customHeight="1" x14ac:dyDescent="0.15">
      <c r="I20" s="22"/>
      <c r="J20" s="23"/>
      <c r="L20" s="17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B20" s="24" t="s">
        <v>24</v>
      </c>
    </row>
    <row r="21" spans="2:28" ht="21" customHeight="1" x14ac:dyDescent="0.15">
      <c r="I21" s="22"/>
      <c r="J21" s="23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B21" s="24" t="s">
        <v>25</v>
      </c>
    </row>
    <row r="22" spans="2:28" ht="21" customHeight="1" x14ac:dyDescent="0.15">
      <c r="I22" s="22"/>
      <c r="J22" s="23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B22" s="24" t="s">
        <v>26</v>
      </c>
    </row>
    <row r="23" spans="2:28" ht="17.25" customHeight="1" x14ac:dyDescent="0.15">
      <c r="I23" s="22"/>
      <c r="J23" s="23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B23" s="24" t="s">
        <v>27</v>
      </c>
    </row>
    <row r="24" spans="2:28" ht="18.75" customHeight="1" x14ac:dyDescent="0.15">
      <c r="I24" s="22"/>
      <c r="J24" s="23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B24" s="24" t="s">
        <v>28</v>
      </c>
    </row>
    <row r="25" spans="2:28" ht="18" customHeight="1" x14ac:dyDescent="0.15">
      <c r="I25" s="22"/>
      <c r="J25" s="23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B25" s="24" t="s">
        <v>29</v>
      </c>
    </row>
    <row r="26" spans="2:28" ht="19.5" customHeight="1" x14ac:dyDescent="0.15"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B26" s="24" t="s">
        <v>30</v>
      </c>
    </row>
    <row r="27" spans="2:28" ht="19.5" customHeight="1" x14ac:dyDescent="0.15"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B27" s="24" t="s">
        <v>31</v>
      </c>
    </row>
    <row r="28" spans="2:28" ht="21" customHeight="1" x14ac:dyDescent="0.15"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B28" s="24" t="s">
        <v>32</v>
      </c>
    </row>
    <row r="29" spans="2:28" ht="18" customHeight="1" x14ac:dyDescent="0.15"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B29" s="24" t="s">
        <v>33</v>
      </c>
    </row>
    <row r="30" spans="2:28" ht="18.75" customHeight="1" x14ac:dyDescent="0.15"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B30" s="24" t="s">
        <v>34</v>
      </c>
    </row>
    <row r="31" spans="2:28" ht="18" customHeight="1" x14ac:dyDescent="0.15"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B31" s="24" t="s">
        <v>35</v>
      </c>
    </row>
    <row r="32" spans="2:28" ht="15" customHeight="1" x14ac:dyDescent="0.15"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B32" s="24" t="s">
        <v>36</v>
      </c>
    </row>
    <row r="33" spans="13:28" ht="15" customHeight="1" x14ac:dyDescent="0.15"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B33" s="24" t="s">
        <v>37</v>
      </c>
    </row>
    <row r="34" spans="13:28" ht="15" customHeight="1" x14ac:dyDescent="0.15"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B34" s="24" t="s">
        <v>38</v>
      </c>
    </row>
    <row r="35" spans="13:28" ht="15" customHeight="1" x14ac:dyDescent="0.15">
      <c r="AB35" s="24" t="s">
        <v>39</v>
      </c>
    </row>
    <row r="36" spans="13:28" ht="15" customHeight="1" x14ac:dyDescent="0.15">
      <c r="AB36" s="24" t="s">
        <v>40</v>
      </c>
    </row>
    <row r="37" spans="13:28" ht="15" customHeight="1" x14ac:dyDescent="0.15">
      <c r="AB37" s="24" t="s">
        <v>41</v>
      </c>
    </row>
    <row r="38" spans="13:28" ht="15" customHeight="1" x14ac:dyDescent="0.15">
      <c r="AB38" s="24" t="s">
        <v>42</v>
      </c>
    </row>
    <row r="39" spans="13:28" ht="15" customHeight="1" x14ac:dyDescent="0.15">
      <c r="AB39" s="24" t="s">
        <v>43</v>
      </c>
    </row>
    <row r="40" spans="13:28" ht="15" customHeight="1" x14ac:dyDescent="0.15">
      <c r="AB40" s="24" t="s">
        <v>44</v>
      </c>
    </row>
  </sheetData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W173"/>
  <sheetViews>
    <sheetView showGridLines="0" zoomScaleNormal="100" workbookViewId="0"/>
  </sheetViews>
  <sheetFormatPr baseColWidth="10" defaultColWidth="11.42578125" defaultRowHeight="10.5" x14ac:dyDescent="0.15"/>
  <cols>
    <col min="1" max="1" width="15.42578125" style="108" customWidth="1"/>
    <col min="2" max="2" width="45.5703125" style="108" customWidth="1"/>
    <col min="3" max="3" width="25.7109375" style="108" customWidth="1"/>
    <col min="4" max="4" width="22.5703125" style="108" customWidth="1"/>
    <col min="5" max="5" width="18.28515625" style="108" customWidth="1"/>
    <col min="6" max="6" width="16" style="108" customWidth="1"/>
    <col min="7" max="7" width="15.42578125" style="108" customWidth="1"/>
    <col min="8" max="8" width="17.28515625" style="108" customWidth="1"/>
    <col min="9" max="9" width="15.140625" style="108" customWidth="1"/>
    <col min="10" max="10" width="12.7109375" style="108" customWidth="1"/>
    <col min="11" max="11" width="12" style="108" customWidth="1"/>
    <col min="12" max="13" width="11.85546875" style="108" customWidth="1"/>
    <col min="14" max="14" width="12.85546875" style="108" customWidth="1"/>
    <col min="15" max="15" width="12.5703125" style="108" customWidth="1"/>
    <col min="16" max="16" width="10.7109375" style="108" customWidth="1"/>
    <col min="17" max="17" width="11.42578125" style="108"/>
    <col min="18" max="18" width="11.28515625" style="108" customWidth="1"/>
    <col min="19" max="19" width="11.42578125" style="108"/>
    <col min="20" max="20" width="9.7109375" style="108" customWidth="1"/>
    <col min="21" max="21" width="12.5703125" style="108" customWidth="1"/>
    <col min="22" max="23" width="11.42578125" style="108"/>
    <col min="24" max="24" width="11.85546875" style="108" customWidth="1"/>
    <col min="25" max="25" width="11.85546875" style="172" customWidth="1"/>
    <col min="26" max="62" width="11.85546875" style="176" customWidth="1"/>
    <col min="63" max="64" width="11.85546875" style="172" customWidth="1"/>
    <col min="65" max="79" width="11.42578125" style="172" customWidth="1"/>
    <col min="80" max="93" width="11.42578125" style="108" hidden="1" customWidth="1"/>
    <col min="94" max="101" width="10.7109375" style="108" hidden="1" customWidth="1"/>
    <col min="102" max="116" width="11.42578125" style="108" customWidth="1"/>
    <col min="117" max="16384" width="11.42578125" style="108"/>
  </cols>
  <sheetData>
    <row r="1" spans="1:101" s="34" customFormat="1" ht="13.5" customHeight="1" x14ac:dyDescent="0.15">
      <c r="B1" s="33" t="s">
        <v>0</v>
      </c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  <c r="CA1" s="176"/>
    </row>
    <row r="2" spans="1:101" s="34" customFormat="1" ht="13.5" customHeight="1" x14ac:dyDescent="0.15">
      <c r="B2" s="33" t="str">
        <f>CONCATENATE("COMUNA: ",NOMBRE!$B$2,"   ","( ",NOMBRE!$C$2,NOMBRE!$D$2,NOMBRE!$E$2,NOMBRE!$F$2,NOMBRE!$G$2," )")</f>
        <v>COMUNA:    (  )</v>
      </c>
      <c r="C2" s="33"/>
      <c r="D2" s="33"/>
      <c r="E2" s="35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</row>
    <row r="3" spans="1:101" s="34" customFormat="1" ht="13.5" customHeight="1" x14ac:dyDescent="0.15">
      <c r="B3" s="33" t="str">
        <f>CONCATENATE("ESTABLECIMIENTO/ESTRATEGIA: ",NOMBRE!$B$3,"   ","( ",NOMBRE!$C$3,NOMBRE!$D$3,NOMBRE!$E$3,NOMBRE!$F$3,NOMBRE!$G$3,NOMBRE!$H$3," )")</f>
        <v>ESTABLECIMIENTO/ESTRATEGIA:    (  )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  <c r="CA3" s="176"/>
    </row>
    <row r="4" spans="1:101" s="34" customFormat="1" ht="13.5" customHeight="1" x14ac:dyDescent="0.15">
      <c r="B4" s="33" t="str">
        <f>CONCATENATE("MES: ",NOMBRE!$B$6,"   ","( ",NOMBRE!$C$6,NOMBRE!$D$6," )")</f>
        <v>MES:    (  )</v>
      </c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  <c r="CA4" s="176"/>
    </row>
    <row r="5" spans="1:101" s="34" customFormat="1" ht="13.5" customHeight="1" x14ac:dyDescent="0.15">
      <c r="B5" s="33" t="str">
        <f>CONCATENATE("AÑO: ",NOMBRE!$B$7)</f>
        <v>AÑO: 2025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</row>
    <row r="6" spans="1:101" ht="18" customHeight="1" x14ac:dyDescent="0.15">
      <c r="B6" s="1680" t="s">
        <v>45</v>
      </c>
      <c r="C6" s="1680"/>
      <c r="D6" s="1680"/>
      <c r="E6" s="1680"/>
      <c r="F6" s="1680"/>
      <c r="G6" s="1680"/>
      <c r="H6" s="1680"/>
      <c r="I6" s="1680"/>
      <c r="J6" s="1680"/>
      <c r="K6" s="1680"/>
      <c r="L6" s="1680"/>
      <c r="M6" s="1680"/>
      <c r="N6" s="1680"/>
      <c r="O6" s="1680"/>
      <c r="P6" s="1680"/>
      <c r="Q6" s="1680"/>
    </row>
    <row r="7" spans="1:101" ht="17.100000000000001" customHeight="1" x14ac:dyDescent="0.15">
      <c r="B7" s="1653" t="s">
        <v>46</v>
      </c>
      <c r="C7" s="1654"/>
      <c r="D7" s="1654"/>
      <c r="E7" s="1654"/>
      <c r="F7" s="1654"/>
      <c r="G7" s="1654"/>
      <c r="H7" s="1654"/>
      <c r="I7" s="36"/>
    </row>
    <row r="8" spans="1:101" ht="17.100000000000001" customHeight="1" x14ac:dyDescent="0.15">
      <c r="B8" s="1657" t="s">
        <v>47</v>
      </c>
      <c r="C8" s="1658"/>
      <c r="D8" s="1658"/>
      <c r="E8" s="1658"/>
      <c r="F8" s="1658"/>
      <c r="G8" s="1658"/>
      <c r="H8" s="1658"/>
      <c r="I8" s="1658"/>
      <c r="J8" s="1658"/>
      <c r="K8" s="1658"/>
      <c r="L8" s="1658"/>
      <c r="M8" s="1658"/>
      <c r="N8" s="1658"/>
      <c r="O8" s="219"/>
    </row>
    <row r="9" spans="1:101" ht="15" customHeight="1" x14ac:dyDescent="0.15">
      <c r="B9" s="1672" t="s">
        <v>48</v>
      </c>
      <c r="C9" s="1673"/>
      <c r="D9" s="1676" t="s">
        <v>49</v>
      </c>
      <c r="E9" s="1724" t="s">
        <v>50</v>
      </c>
      <c r="F9" s="1725"/>
      <c r="G9" s="1725"/>
      <c r="H9" s="1725"/>
      <c r="I9" s="1725"/>
      <c r="J9" s="1725"/>
      <c r="K9" s="1725"/>
      <c r="L9" s="1725"/>
      <c r="M9" s="1725"/>
      <c r="N9" s="1725"/>
      <c r="O9" s="1725"/>
      <c r="P9" s="1725"/>
      <c r="Q9" s="1726"/>
      <c r="R9" s="1678" t="s">
        <v>51</v>
      </c>
      <c r="S9" s="1700" t="s">
        <v>52</v>
      </c>
      <c r="T9" s="1702"/>
      <c r="U9" s="1705" t="s">
        <v>53</v>
      </c>
      <c r="V9" s="1700" t="s">
        <v>54</v>
      </c>
      <c r="W9" s="1701"/>
      <c r="X9" s="1702"/>
      <c r="Y9" s="1703" t="s">
        <v>55</v>
      </c>
      <c r="Z9" s="108"/>
      <c r="AA9" s="108"/>
      <c r="AB9" s="108"/>
      <c r="AC9" s="108"/>
      <c r="AD9" s="172"/>
      <c r="BK9" s="176"/>
      <c r="BL9" s="176"/>
      <c r="BM9" s="176"/>
      <c r="BN9" s="176"/>
      <c r="BO9" s="176"/>
      <c r="CB9" s="172"/>
      <c r="CC9" s="172"/>
      <c r="CD9" s="172"/>
      <c r="CE9" s="172"/>
      <c r="CF9" s="172"/>
    </row>
    <row r="10" spans="1:101" ht="33" customHeight="1" x14ac:dyDescent="0.15">
      <c r="B10" s="1674"/>
      <c r="C10" s="1675"/>
      <c r="D10" s="1677"/>
      <c r="E10" s="1403" t="s">
        <v>56</v>
      </c>
      <c r="F10" s="820" t="s">
        <v>57</v>
      </c>
      <c r="G10" s="820" t="s">
        <v>58</v>
      </c>
      <c r="H10" s="821" t="s">
        <v>59</v>
      </c>
      <c r="I10" s="821" t="s">
        <v>60</v>
      </c>
      <c r="J10" s="821" t="s">
        <v>61</v>
      </c>
      <c r="K10" s="821" t="s">
        <v>62</v>
      </c>
      <c r="L10" s="821" t="s">
        <v>63</v>
      </c>
      <c r="M10" s="821" t="s">
        <v>64</v>
      </c>
      <c r="N10" s="698" t="s">
        <v>65</v>
      </c>
      <c r="O10" s="821" t="s">
        <v>66</v>
      </c>
      <c r="P10" s="1404" t="s">
        <v>67</v>
      </c>
      <c r="Q10" s="822" t="s">
        <v>68</v>
      </c>
      <c r="R10" s="1679"/>
      <c r="S10" s="1308" t="s">
        <v>69</v>
      </c>
      <c r="T10" s="1306" t="s">
        <v>70</v>
      </c>
      <c r="U10" s="1706"/>
      <c r="V10" s="1405" t="s">
        <v>71</v>
      </c>
      <c r="W10" s="1309" t="s">
        <v>72</v>
      </c>
      <c r="X10" s="1310" t="s">
        <v>73</v>
      </c>
      <c r="Y10" s="1704"/>
      <c r="Z10" s="38"/>
      <c r="AA10" s="38"/>
      <c r="AB10" s="38"/>
      <c r="AC10" s="38"/>
      <c r="AD10" s="177"/>
      <c r="BK10" s="176"/>
      <c r="BL10" s="176"/>
      <c r="BM10" s="176"/>
      <c r="BN10" s="176"/>
      <c r="BO10" s="176"/>
      <c r="CB10" s="172"/>
      <c r="CC10" s="172"/>
      <c r="CD10" s="172"/>
      <c r="CE10" s="172"/>
      <c r="CF10" s="172"/>
    </row>
    <row r="11" spans="1:101" ht="15" customHeight="1" x14ac:dyDescent="0.2">
      <c r="A11" s="1576" t="s">
        <v>908</v>
      </c>
      <c r="B11" s="1663" t="s">
        <v>74</v>
      </c>
      <c r="C11" s="1664"/>
      <c r="D11" s="260" t="s">
        <v>1616</v>
      </c>
      <c r="E11" s="262" t="s">
        <v>1617</v>
      </c>
      <c r="F11" s="262" t="s">
        <v>1618</v>
      </c>
      <c r="G11" s="262" t="s">
        <v>1619</v>
      </c>
      <c r="H11" s="262" t="s">
        <v>1620</v>
      </c>
      <c r="I11" s="262" t="s">
        <v>1621</v>
      </c>
      <c r="J11" s="262" t="s">
        <v>1622</v>
      </c>
      <c r="K11" s="262" t="s">
        <v>1623</v>
      </c>
      <c r="L11" s="262" t="s">
        <v>1624</v>
      </c>
      <c r="M11" s="262" t="s">
        <v>1625</v>
      </c>
      <c r="N11" s="262" t="s">
        <v>1626</v>
      </c>
      <c r="O11" s="633" t="s">
        <v>1627</v>
      </c>
      <c r="P11" s="633" t="s">
        <v>1628</v>
      </c>
      <c r="Q11" s="823" t="s">
        <v>1629</v>
      </c>
      <c r="R11" s="295" t="s">
        <v>1630</v>
      </c>
      <c r="S11" s="261" t="s">
        <v>1631</v>
      </c>
      <c r="T11" s="265" t="s">
        <v>1632</v>
      </c>
      <c r="U11" s="265" t="s">
        <v>1633</v>
      </c>
      <c r="V11" s="262" t="s">
        <v>1634</v>
      </c>
      <c r="W11" s="930" t="s">
        <v>1635</v>
      </c>
      <c r="X11" s="309" t="s">
        <v>1636</v>
      </c>
      <c r="Y11" s="309" t="s">
        <v>1637</v>
      </c>
      <c r="Z11" s="1104" t="str">
        <f>$CB11&amp;CC11&amp;CD11&amp;CE11&amp;CF11&amp;CG11&amp;CH11&amp;CI11</f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1" s="108"/>
      <c r="AB11" s="108"/>
      <c r="AC11" s="108"/>
      <c r="AD11" s="172"/>
      <c r="BK11" s="176"/>
      <c r="BL11" s="176"/>
      <c r="BM11" s="176"/>
      <c r="BN11" s="176"/>
      <c r="BO11" s="176"/>
      <c r="CB11" s="1552" t="str">
        <f>IF(AND($D11&lt;&gt;0,R11=""),"* No olvide ingresar la variable "&amp;R$9&amp;""&amp;". Digite CERO si no tiene.",IF(R11&gt;$D11,"* El Número de Pueblos Originarios no puede superar el Total. ",""))</f>
        <v xml:space="preserve">* El Número de Pueblos Originarios no puede superar el Total. </v>
      </c>
      <c r="CC11" s="1552" t="str">
        <f>IF(AND($D11&gt;0,S11=""),"* No olvide ingresar la variable "&amp;S$9&amp;""&amp;" Menor de 20 años. Digite CERO si no tiene.",IF(S11&gt;$D11,"* El Número de Migrantes Menor de 20 años no puede superar el Total. ",""))</f>
        <v xml:space="preserve">* El Número de Migrantes Menor de 20 años no puede superar el Total. </v>
      </c>
      <c r="CD11" s="1552" t="str">
        <f>IF(AND($D11&gt;0,T11=""),"* No olvide ingresar la variable "&amp;S$9&amp;""&amp;" 20 años y más. Digite CERO si no tiene.",IF(T11&gt;$D11,"* El Número de Migrantes 20 años y más no puede superar el Total. ",""))</f>
        <v xml:space="preserve">* El Número de Migrantes 20 años y más no puede superar el Total. </v>
      </c>
      <c r="CE11" s="1552" t="str">
        <f>IF(AND($D11&lt;&gt;0,U11=""),"* No olvide ingresar la variable "&amp;U$9&amp;""&amp;". Digite CERO si no tiene.",IF(U11&gt;$D11,"* El Número de PV-VIH (personas viviendo con VIH) no puede superar el Total. ",""))</f>
        <v xml:space="preserve">* El Número de PV-VIH (personas viviendo con VIH) no puede superar el Total. </v>
      </c>
      <c r="CF11" s="1552" t="str">
        <f t="shared" ref="CF11:CF20" si="0">IF(AND($D11&lt;&gt;0,V11=""),"* No olvide ingresar la variable "&amp;V$10&amp;""&amp;". Digite CERO si no tiene.",IF(V11&gt;$D11,"* El Número de Trans masculino no puede superar el Total. ",""))</f>
        <v xml:space="preserve">* El Número de Trans masculino no puede superar el Total. </v>
      </c>
      <c r="CG11" s="1553"/>
      <c r="CH11" s="1552" t="str">
        <f t="shared" ref="CH11:CH24" si="1">IF(AND($D11&lt;&gt;0,X11=""),"* No olvide ingresar la variable "&amp;X$10&amp;""&amp;". Digite CERO si no tiene.",IF(X11&gt;$D11,"* El Número de No Binarie no puede superar el Total. ",""))</f>
        <v xml:space="preserve">* El Número de No Binarie no puede superar el Total. </v>
      </c>
      <c r="CI11" s="1552" t="str">
        <f>IF(AND($D11&lt;&gt;0,Y11=""),"* No olvide ingresar la variable "&amp;Y$9&amp;""&amp;". Digite CERO si no tiene.",IF(Y11&gt;$D11,"* El Número de Personas con discapacidad no puede superar el Total. ",""))</f>
        <v xml:space="preserve">* El Número de Personas con discapacidad no puede superar el Total. </v>
      </c>
      <c r="CP11" s="1047">
        <f>IF(AND($D11&lt;&gt;0,$R11=""),1,IF($R11&gt;$D11,1,0))</f>
        <v>1</v>
      </c>
      <c r="CQ11" s="1047">
        <f>IF(AND($D11&lt;&gt;0,$S11),1,IF($S11&gt;$D11,1,0))</f>
        <v>1</v>
      </c>
      <c r="CR11" s="1047">
        <f>IF(AND($D11&lt;&gt;0,$T11),1,IF($T11&gt;$D11,1,0))</f>
        <v>1</v>
      </c>
      <c r="CS11" s="1047">
        <f>IF(AND($D11&lt;&gt;0,$U11=""),1,IF($U11&gt;$D11,1,0))</f>
        <v>1</v>
      </c>
      <c r="CT11" s="1047">
        <f>IF(AND($D11&lt;&gt;0,$V11=""),1,IF($V11&gt;$D11,1,0))</f>
        <v>1</v>
      </c>
      <c r="CU11" s="1086"/>
      <c r="CV11" s="1047">
        <f t="shared" ref="CV11:CV24" si="2">IF(AND($D11&lt;&gt;0,X11=""),1,IF(X11&gt;$D11,1,0))</f>
        <v>1</v>
      </c>
      <c r="CW11" s="1047">
        <f t="shared" ref="CW11:CW24" si="3">IF(AND($D11&lt;&gt;0,Y11=""),1,IF(Y11&gt;$D11,1,0))</f>
        <v>1</v>
      </c>
    </row>
    <row r="12" spans="1:101" ht="15" customHeight="1" x14ac:dyDescent="0.2">
      <c r="A12" s="1576" t="s">
        <v>909</v>
      </c>
      <c r="B12" s="1311" t="s">
        <v>75</v>
      </c>
      <c r="C12" s="1312"/>
      <c r="D12" s="266" t="s">
        <v>1616</v>
      </c>
      <c r="E12" s="267" t="s">
        <v>1617</v>
      </c>
      <c r="F12" s="267" t="s">
        <v>1618</v>
      </c>
      <c r="G12" s="267" t="s">
        <v>1619</v>
      </c>
      <c r="H12" s="267" t="s">
        <v>1620</v>
      </c>
      <c r="I12" s="267" t="s">
        <v>1621</v>
      </c>
      <c r="J12" s="267" t="s">
        <v>1622</v>
      </c>
      <c r="K12" s="267" t="s">
        <v>1623</v>
      </c>
      <c r="L12" s="267" t="s">
        <v>1624</v>
      </c>
      <c r="M12" s="267" t="s">
        <v>1625</v>
      </c>
      <c r="N12" s="267" t="s">
        <v>1626</v>
      </c>
      <c r="O12" s="634" t="s">
        <v>1627</v>
      </c>
      <c r="P12" s="634" t="s">
        <v>1628</v>
      </c>
      <c r="Q12" s="271" t="s">
        <v>1629</v>
      </c>
      <c r="R12" s="1016" t="s">
        <v>1630</v>
      </c>
      <c r="S12" s="748" t="s">
        <v>1631</v>
      </c>
      <c r="T12" s="272" t="s">
        <v>1632</v>
      </c>
      <c r="U12" s="272" t="s">
        <v>1633</v>
      </c>
      <c r="V12" s="267" t="s">
        <v>1634</v>
      </c>
      <c r="W12" s="934" t="s">
        <v>1635</v>
      </c>
      <c r="X12" s="686" t="s">
        <v>1636</v>
      </c>
      <c r="Y12" s="686" t="s">
        <v>1637</v>
      </c>
      <c r="Z12" s="1104" t="str">
        <f t="shared" ref="Z12:Z31" si="4">$CB12&amp;CC12&amp;CD12&amp;CE12&amp;CF12&amp;CG12&amp;CH12&amp;CI12</f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2" s="108"/>
      <c r="AB12" s="108"/>
      <c r="AC12" s="108"/>
      <c r="AD12" s="172"/>
      <c r="BK12" s="176"/>
      <c r="BL12" s="176"/>
      <c r="BM12" s="176"/>
      <c r="BN12" s="176"/>
      <c r="BO12" s="176"/>
      <c r="CB12" s="1552" t="str">
        <f t="shared" ref="CB12:CB20" si="5">IF(AND($D12&lt;&gt;0,R12=""),"* No olvide ingresar la variable "&amp;R$9&amp;""&amp;". Digite CERO si no tiene.",IF(R12&gt;$D12,"* El Número de Pueblos Originarios no puede superar el Total. ",""))</f>
        <v xml:space="preserve">* El Número de Pueblos Originarios no puede superar el Total. </v>
      </c>
      <c r="CC12" s="1552" t="str">
        <f t="shared" ref="CC12:CC31" si="6">IF(AND($D12&gt;0,S12=""),"* No olvide ingresar la variable "&amp;S$9&amp;""&amp;" Menor de 20 años. Digite CERO si no tiene.",IF(S12&gt;$D12,"* El Número de Migrantes Menor de 20 años no puede superar el Total. ",""))</f>
        <v xml:space="preserve">* El Número de Migrantes Menor de 20 años no puede superar el Total. </v>
      </c>
      <c r="CD12" s="1552" t="str">
        <f t="shared" ref="CD12:CD24" si="7">IF(AND($D12&gt;0,T12=""),"* No olvide ingresar la variable "&amp;S$9&amp;""&amp;" 20 años y más. Digite CERO si no tiene.",IF(T12&gt;$D12,"* El Número de Migrantes 20 años y más no puede superar el Total. ",""))</f>
        <v xml:space="preserve">* El Número de Migrantes 20 años y más no puede superar el Total. </v>
      </c>
      <c r="CE12" s="1552" t="str">
        <f t="shared" ref="CE12:CE20" si="8">IF(AND($D12&lt;&gt;0,U12=""),"* No olvide ingresar la variable "&amp;U$9&amp;""&amp;". Digite CERO si no tiene.",IF(U12&gt;$D12,"* El Número de PV-VIH (personas viviendo con VIH) no puede superar el Total. ",""))</f>
        <v xml:space="preserve">* El Número de PV-VIH (personas viviendo con VIH) no puede superar el Total. </v>
      </c>
      <c r="CF12" s="1552" t="str">
        <f t="shared" si="0"/>
        <v xml:space="preserve">* El Número de Trans masculino no puede superar el Total. </v>
      </c>
      <c r="CG12" s="1553"/>
      <c r="CH12" s="1552" t="str">
        <f t="shared" si="1"/>
        <v xml:space="preserve">* El Número de No Binarie no puede superar el Total. </v>
      </c>
      <c r="CI12" s="1552" t="str">
        <f t="shared" ref="CI12:CI30" si="9">IF(AND($D12&lt;&gt;0,Y12=""),"* No olvide ingresar la variable "&amp;Y$9&amp;""&amp;". Digite CERO si no tiene.",IF(Y12&gt;$D12,"* El Número de Personas con discapacidad no puede superar el Total. ",""))</f>
        <v xml:space="preserve">* El Número de Personas con discapacidad no puede superar el Total. </v>
      </c>
      <c r="CP12" s="1047">
        <f t="shared" ref="CP12:CP30" si="10">IF(AND($D12&lt;&gt;0,$R12=""),1,IF($R12&gt;$D12,1,0))</f>
        <v>1</v>
      </c>
      <c r="CQ12" s="1047">
        <f t="shared" ref="CQ12:CQ30" si="11">IF(AND($D12&lt;&gt;0,$S12),1,IF($S12&gt;$D12,1,0))</f>
        <v>1</v>
      </c>
      <c r="CR12" s="1047">
        <f t="shared" ref="CR12:CR30" si="12">IF(AND($D12&lt;&gt;0,$T12),1,IF($T12&gt;$D12,1,0))</f>
        <v>1</v>
      </c>
      <c r="CS12" s="1047">
        <f t="shared" ref="CS12:CS30" si="13">IF(AND($D12&lt;&gt;0,$U12=""),1,IF($U12&gt;$D12,1,0))</f>
        <v>1</v>
      </c>
      <c r="CT12" s="1047">
        <f t="shared" ref="CT12:CT30" si="14">IF(AND($D12&lt;&gt;0,$V12=""),1,IF($V12&gt;$D12,1,0))</f>
        <v>1</v>
      </c>
      <c r="CU12" s="1086"/>
      <c r="CV12" s="1047">
        <f t="shared" si="2"/>
        <v>1</v>
      </c>
      <c r="CW12" s="1047">
        <f t="shared" si="3"/>
        <v>1</v>
      </c>
    </row>
    <row r="13" spans="1:101" ht="15" customHeight="1" x14ac:dyDescent="0.2">
      <c r="A13" s="1576" t="s">
        <v>910</v>
      </c>
      <c r="B13" s="1727" t="s">
        <v>76</v>
      </c>
      <c r="C13" s="39" t="s">
        <v>77</v>
      </c>
      <c r="D13" s="273" t="s">
        <v>1616</v>
      </c>
      <c r="E13" s="274" t="s">
        <v>1617</v>
      </c>
      <c r="F13" s="274" t="s">
        <v>1618</v>
      </c>
      <c r="G13" s="274" t="s">
        <v>1619</v>
      </c>
      <c r="H13" s="274" t="s">
        <v>1620</v>
      </c>
      <c r="I13" s="274" t="s">
        <v>1621</v>
      </c>
      <c r="J13" s="274" t="s">
        <v>1622</v>
      </c>
      <c r="K13" s="274" t="s">
        <v>1623</v>
      </c>
      <c r="L13" s="274" t="s">
        <v>1624</v>
      </c>
      <c r="M13" s="274" t="s">
        <v>1625</v>
      </c>
      <c r="N13" s="274" t="s">
        <v>1626</v>
      </c>
      <c r="O13" s="635" t="s">
        <v>1627</v>
      </c>
      <c r="P13" s="635" t="s">
        <v>1628</v>
      </c>
      <c r="Q13" s="824" t="s">
        <v>1629</v>
      </c>
      <c r="R13" s="1017" t="s">
        <v>1630</v>
      </c>
      <c r="S13" s="288" t="s">
        <v>1631</v>
      </c>
      <c r="T13" s="276" t="s">
        <v>1632</v>
      </c>
      <c r="U13" s="276" t="s">
        <v>1633</v>
      </c>
      <c r="V13" s="274" t="s">
        <v>1634</v>
      </c>
      <c r="W13" s="1555" t="s">
        <v>1635</v>
      </c>
      <c r="X13" s="687" t="s">
        <v>1636</v>
      </c>
      <c r="Y13" s="687" t="s">
        <v>1637</v>
      </c>
      <c r="Z13" s="1104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3" s="108"/>
      <c r="AB13" s="108"/>
      <c r="AC13" s="108"/>
      <c r="AD13" s="172"/>
      <c r="BK13" s="176"/>
      <c r="BL13" s="176"/>
      <c r="BM13" s="176"/>
      <c r="BN13" s="176"/>
      <c r="BO13" s="176"/>
      <c r="CB13" s="1552" t="str">
        <f t="shared" si="5"/>
        <v xml:space="preserve">* El Número de Pueblos Originarios no puede superar el Total. </v>
      </c>
      <c r="CC13" s="1552" t="str">
        <f t="shared" si="6"/>
        <v xml:space="preserve">* El Número de Migrantes Menor de 20 años no puede superar el Total. </v>
      </c>
      <c r="CD13" s="1552" t="str">
        <f t="shared" si="7"/>
        <v xml:space="preserve">* El Número de Migrantes 20 años y más no puede superar el Total. </v>
      </c>
      <c r="CE13" s="1552" t="str">
        <f t="shared" si="8"/>
        <v xml:space="preserve">* El Número de PV-VIH (personas viviendo con VIH) no puede superar el Total. </v>
      </c>
      <c r="CF13" s="1552" t="str">
        <f t="shared" si="0"/>
        <v xml:space="preserve">* El Número de Trans masculino no puede superar el Total. </v>
      </c>
      <c r="CG13" s="1553"/>
      <c r="CH13" s="1552" t="str">
        <f t="shared" si="1"/>
        <v xml:space="preserve">* El Número de No Binarie no puede superar el Total. </v>
      </c>
      <c r="CI13" s="1552" t="str">
        <f t="shared" si="9"/>
        <v xml:space="preserve">* El Número de Personas con discapacidad no puede superar el Total. </v>
      </c>
      <c r="CP13" s="1047">
        <f t="shared" si="10"/>
        <v>1</v>
      </c>
      <c r="CQ13" s="1047">
        <f t="shared" si="11"/>
        <v>1</v>
      </c>
      <c r="CR13" s="1047">
        <f t="shared" si="12"/>
        <v>1</v>
      </c>
      <c r="CS13" s="1047">
        <f t="shared" si="13"/>
        <v>1</v>
      </c>
      <c r="CT13" s="1047">
        <f t="shared" si="14"/>
        <v>1</v>
      </c>
      <c r="CU13" s="1086"/>
      <c r="CV13" s="1047">
        <f t="shared" si="2"/>
        <v>1</v>
      </c>
      <c r="CW13" s="1047">
        <f t="shared" si="3"/>
        <v>1</v>
      </c>
    </row>
    <row r="14" spans="1:101" ht="15" customHeight="1" x14ac:dyDescent="0.2">
      <c r="A14" s="1576" t="s">
        <v>911</v>
      </c>
      <c r="B14" s="1740"/>
      <c r="C14" s="40" t="s">
        <v>78</v>
      </c>
      <c r="D14" s="273" t="s">
        <v>1616</v>
      </c>
      <c r="E14" s="277" t="s">
        <v>1617</v>
      </c>
      <c r="F14" s="277" t="s">
        <v>1618</v>
      </c>
      <c r="G14" s="277" t="s">
        <v>1619</v>
      </c>
      <c r="H14" s="277" t="s">
        <v>1620</v>
      </c>
      <c r="I14" s="277" t="s">
        <v>1621</v>
      </c>
      <c r="J14" s="277" t="s">
        <v>1622</v>
      </c>
      <c r="K14" s="277" t="s">
        <v>1623</v>
      </c>
      <c r="L14" s="277" t="s">
        <v>1624</v>
      </c>
      <c r="M14" s="277" t="s">
        <v>1625</v>
      </c>
      <c r="N14" s="277" t="s">
        <v>1626</v>
      </c>
      <c r="O14" s="636" t="s">
        <v>1627</v>
      </c>
      <c r="P14" s="636" t="s">
        <v>1628</v>
      </c>
      <c r="Q14" s="825" t="s">
        <v>1629</v>
      </c>
      <c r="R14" s="1017" t="s">
        <v>1630</v>
      </c>
      <c r="S14" s="310" t="s">
        <v>1631</v>
      </c>
      <c r="T14" s="280" t="s">
        <v>1632</v>
      </c>
      <c r="U14" s="280" t="s">
        <v>1633</v>
      </c>
      <c r="V14" s="274" t="s">
        <v>1634</v>
      </c>
      <c r="W14" s="932" t="s">
        <v>1635</v>
      </c>
      <c r="X14" s="311" t="s">
        <v>1636</v>
      </c>
      <c r="Y14" s="311" t="s">
        <v>1637</v>
      </c>
      <c r="Z14" s="1104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4" s="108"/>
      <c r="AB14" s="108"/>
      <c r="AC14" s="108"/>
      <c r="AD14" s="172"/>
      <c r="BK14" s="176"/>
      <c r="BL14" s="176"/>
      <c r="BM14" s="176"/>
      <c r="BN14" s="176"/>
      <c r="BO14" s="176"/>
      <c r="CB14" s="1552" t="str">
        <f t="shared" si="5"/>
        <v xml:space="preserve">* El Número de Pueblos Originarios no puede superar el Total. </v>
      </c>
      <c r="CC14" s="1552" t="str">
        <f t="shared" si="6"/>
        <v xml:space="preserve">* El Número de Migrantes Menor de 20 años no puede superar el Total. </v>
      </c>
      <c r="CD14" s="1552" t="str">
        <f t="shared" si="7"/>
        <v xml:space="preserve">* El Número de Migrantes 20 años y más no puede superar el Total. </v>
      </c>
      <c r="CE14" s="1552" t="str">
        <f t="shared" si="8"/>
        <v xml:space="preserve">* El Número de PV-VIH (personas viviendo con VIH) no puede superar el Total. </v>
      </c>
      <c r="CF14" s="1552" t="str">
        <f t="shared" si="0"/>
        <v xml:space="preserve">* El Número de Trans masculino no puede superar el Total. </v>
      </c>
      <c r="CG14" s="1553"/>
      <c r="CH14" s="1552" t="str">
        <f t="shared" si="1"/>
        <v xml:space="preserve">* El Número de No Binarie no puede superar el Total. </v>
      </c>
      <c r="CI14" s="1552" t="str">
        <f t="shared" si="9"/>
        <v xml:space="preserve">* El Número de Personas con discapacidad no puede superar el Total. </v>
      </c>
      <c r="CP14" s="1047">
        <f t="shared" si="10"/>
        <v>1</v>
      </c>
      <c r="CQ14" s="1047">
        <f t="shared" si="11"/>
        <v>1</v>
      </c>
      <c r="CR14" s="1047">
        <f t="shared" si="12"/>
        <v>1</v>
      </c>
      <c r="CS14" s="1047">
        <f t="shared" si="13"/>
        <v>1</v>
      </c>
      <c r="CT14" s="1047">
        <f t="shared" si="14"/>
        <v>1</v>
      </c>
      <c r="CU14" s="1086"/>
      <c r="CV14" s="1047">
        <f t="shared" si="2"/>
        <v>1</v>
      </c>
      <c r="CW14" s="1047">
        <f t="shared" si="3"/>
        <v>1</v>
      </c>
    </row>
    <row r="15" spans="1:101" ht="15" customHeight="1" x14ac:dyDescent="0.2">
      <c r="A15" s="1576" t="s">
        <v>912</v>
      </c>
      <c r="B15" s="1740"/>
      <c r="C15" s="40" t="s">
        <v>79</v>
      </c>
      <c r="D15" s="273" t="s">
        <v>1616</v>
      </c>
      <c r="E15" s="277" t="s">
        <v>1617</v>
      </c>
      <c r="F15" s="277" t="s">
        <v>1618</v>
      </c>
      <c r="G15" s="277" t="s">
        <v>1619</v>
      </c>
      <c r="H15" s="277" t="s">
        <v>1620</v>
      </c>
      <c r="I15" s="277" t="s">
        <v>1621</v>
      </c>
      <c r="J15" s="277" t="s">
        <v>1622</v>
      </c>
      <c r="K15" s="277" t="s">
        <v>1623</v>
      </c>
      <c r="L15" s="277" t="s">
        <v>1624</v>
      </c>
      <c r="M15" s="277" t="s">
        <v>1625</v>
      </c>
      <c r="N15" s="277" t="s">
        <v>1626</v>
      </c>
      <c r="O15" s="636" t="s">
        <v>1627</v>
      </c>
      <c r="P15" s="636" t="s">
        <v>1628</v>
      </c>
      <c r="Q15" s="825" t="s">
        <v>1629</v>
      </c>
      <c r="R15" s="1017" t="s">
        <v>1630</v>
      </c>
      <c r="S15" s="310" t="s">
        <v>1631</v>
      </c>
      <c r="T15" s="280" t="s">
        <v>1632</v>
      </c>
      <c r="U15" s="280" t="s">
        <v>1633</v>
      </c>
      <c r="V15" s="274" t="s">
        <v>1634</v>
      </c>
      <c r="W15" s="932" t="s">
        <v>1635</v>
      </c>
      <c r="X15" s="311" t="s">
        <v>1636</v>
      </c>
      <c r="Y15" s="311" t="s">
        <v>1637</v>
      </c>
      <c r="Z15" s="1104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5" s="108"/>
      <c r="AB15" s="108"/>
      <c r="AC15" s="108"/>
      <c r="AD15" s="172"/>
      <c r="BK15" s="176"/>
      <c r="BL15" s="176"/>
      <c r="BM15" s="176"/>
      <c r="BN15" s="176"/>
      <c r="BO15" s="176"/>
      <c r="CB15" s="1552" t="str">
        <f t="shared" si="5"/>
        <v xml:space="preserve">* El Número de Pueblos Originarios no puede superar el Total. </v>
      </c>
      <c r="CC15" s="1552" t="str">
        <f t="shared" si="6"/>
        <v xml:space="preserve">* El Número de Migrantes Menor de 20 años no puede superar el Total. </v>
      </c>
      <c r="CD15" s="1552" t="str">
        <f t="shared" si="7"/>
        <v xml:space="preserve">* El Número de Migrantes 20 años y más no puede superar el Total. </v>
      </c>
      <c r="CE15" s="1552" t="str">
        <f t="shared" si="8"/>
        <v xml:space="preserve">* El Número de PV-VIH (personas viviendo con VIH) no puede superar el Total. </v>
      </c>
      <c r="CF15" s="1552" t="str">
        <f t="shared" si="0"/>
        <v xml:space="preserve">* El Número de Trans masculino no puede superar el Total. </v>
      </c>
      <c r="CG15" s="1553"/>
      <c r="CH15" s="1552" t="str">
        <f t="shared" si="1"/>
        <v xml:space="preserve">* El Número de No Binarie no puede superar el Total. </v>
      </c>
      <c r="CI15" s="1552" t="str">
        <f t="shared" si="9"/>
        <v xml:space="preserve">* El Número de Personas con discapacidad no puede superar el Total. </v>
      </c>
      <c r="CP15" s="1047">
        <f t="shared" si="10"/>
        <v>1</v>
      </c>
      <c r="CQ15" s="1047">
        <f t="shared" si="11"/>
        <v>1</v>
      </c>
      <c r="CR15" s="1047">
        <f t="shared" si="12"/>
        <v>1</v>
      </c>
      <c r="CS15" s="1047">
        <f t="shared" si="13"/>
        <v>1</v>
      </c>
      <c r="CT15" s="1047">
        <f t="shared" si="14"/>
        <v>1</v>
      </c>
      <c r="CU15" s="1086"/>
      <c r="CV15" s="1047">
        <f t="shared" si="2"/>
        <v>1</v>
      </c>
      <c r="CW15" s="1047">
        <f t="shared" si="3"/>
        <v>1</v>
      </c>
    </row>
    <row r="16" spans="1:101" ht="15" customHeight="1" x14ac:dyDescent="0.2">
      <c r="A16" s="1576" t="s">
        <v>913</v>
      </c>
      <c r="B16" s="1740"/>
      <c r="C16" s="40" t="s">
        <v>80</v>
      </c>
      <c r="D16" s="273" t="s">
        <v>1616</v>
      </c>
      <c r="E16" s="281" t="s">
        <v>1617</v>
      </c>
      <c r="F16" s="281" t="s">
        <v>1618</v>
      </c>
      <c r="G16" s="281" t="s">
        <v>1619</v>
      </c>
      <c r="H16" s="281" t="s">
        <v>1620</v>
      </c>
      <c r="I16" s="281" t="s">
        <v>1621</v>
      </c>
      <c r="J16" s="281" t="s">
        <v>1622</v>
      </c>
      <c r="K16" s="281" t="s">
        <v>1623</v>
      </c>
      <c r="L16" s="281" t="s">
        <v>1624</v>
      </c>
      <c r="M16" s="281" t="s">
        <v>1625</v>
      </c>
      <c r="N16" s="281" t="s">
        <v>1626</v>
      </c>
      <c r="O16" s="637" t="s">
        <v>1627</v>
      </c>
      <c r="P16" s="637" t="s">
        <v>1628</v>
      </c>
      <c r="Q16" s="826" t="s">
        <v>1629</v>
      </c>
      <c r="R16" s="1017" t="s">
        <v>1630</v>
      </c>
      <c r="S16" s="373" t="s">
        <v>1631</v>
      </c>
      <c r="T16" s="283" t="s">
        <v>1632</v>
      </c>
      <c r="U16" s="283" t="s">
        <v>1633</v>
      </c>
      <c r="V16" s="274" t="s">
        <v>1634</v>
      </c>
      <c r="W16" s="1556" t="s">
        <v>1635</v>
      </c>
      <c r="X16" s="374" t="s">
        <v>1636</v>
      </c>
      <c r="Y16" s="374" t="s">
        <v>1637</v>
      </c>
      <c r="Z16" s="1104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6" s="108"/>
      <c r="AB16" s="108"/>
      <c r="AC16" s="108"/>
      <c r="AD16" s="172"/>
      <c r="BK16" s="176"/>
      <c r="BL16" s="176"/>
      <c r="BM16" s="176"/>
      <c r="BN16" s="176"/>
      <c r="BO16" s="176"/>
      <c r="CB16" s="1552" t="str">
        <f t="shared" si="5"/>
        <v xml:space="preserve">* El Número de Pueblos Originarios no puede superar el Total. </v>
      </c>
      <c r="CC16" s="1552" t="str">
        <f t="shared" si="6"/>
        <v xml:space="preserve">* El Número de Migrantes Menor de 20 años no puede superar el Total. </v>
      </c>
      <c r="CD16" s="1552" t="str">
        <f t="shared" si="7"/>
        <v xml:space="preserve">* El Número de Migrantes 20 años y más no puede superar el Total. </v>
      </c>
      <c r="CE16" s="1552" t="str">
        <f t="shared" si="8"/>
        <v xml:space="preserve">* El Número de PV-VIH (personas viviendo con VIH) no puede superar el Total. </v>
      </c>
      <c r="CF16" s="1552" t="str">
        <f t="shared" si="0"/>
        <v xml:space="preserve">* El Número de Trans masculino no puede superar el Total. </v>
      </c>
      <c r="CG16" s="1553"/>
      <c r="CH16" s="1552" t="str">
        <f t="shared" si="1"/>
        <v xml:space="preserve">* El Número de No Binarie no puede superar el Total. </v>
      </c>
      <c r="CI16" s="1552" t="str">
        <f t="shared" si="9"/>
        <v xml:space="preserve">* El Número de Personas con discapacidad no puede superar el Total. </v>
      </c>
      <c r="CP16" s="1047">
        <f t="shared" si="10"/>
        <v>1</v>
      </c>
      <c r="CQ16" s="1047">
        <f t="shared" si="11"/>
        <v>1</v>
      </c>
      <c r="CR16" s="1047">
        <f t="shared" si="12"/>
        <v>1</v>
      </c>
      <c r="CS16" s="1047">
        <f t="shared" si="13"/>
        <v>1</v>
      </c>
      <c r="CT16" s="1047">
        <f t="shared" si="14"/>
        <v>1</v>
      </c>
      <c r="CU16" s="1086"/>
      <c r="CV16" s="1047">
        <f t="shared" si="2"/>
        <v>1</v>
      </c>
      <c r="CW16" s="1047">
        <f t="shared" si="3"/>
        <v>1</v>
      </c>
    </row>
    <row r="17" spans="1:101" ht="21" customHeight="1" x14ac:dyDescent="0.2">
      <c r="A17" s="1576" t="s">
        <v>914</v>
      </c>
      <c r="B17" s="1740"/>
      <c r="C17" s="40" t="s">
        <v>81</v>
      </c>
      <c r="D17" s="273" t="s">
        <v>1616</v>
      </c>
      <c r="E17" s="277" t="s">
        <v>1617</v>
      </c>
      <c r="F17" s="277" t="s">
        <v>1618</v>
      </c>
      <c r="G17" s="277" t="s">
        <v>1619</v>
      </c>
      <c r="H17" s="277" t="s">
        <v>1620</v>
      </c>
      <c r="I17" s="277" t="s">
        <v>1621</v>
      </c>
      <c r="J17" s="277" t="s">
        <v>1622</v>
      </c>
      <c r="K17" s="277" t="s">
        <v>1623</v>
      </c>
      <c r="L17" s="277" t="s">
        <v>1624</v>
      </c>
      <c r="M17" s="277" t="s">
        <v>1625</v>
      </c>
      <c r="N17" s="277" t="s">
        <v>1626</v>
      </c>
      <c r="O17" s="636" t="s">
        <v>1627</v>
      </c>
      <c r="P17" s="636" t="s">
        <v>1628</v>
      </c>
      <c r="Q17" s="825" t="s">
        <v>1629</v>
      </c>
      <c r="R17" s="297" t="s">
        <v>1630</v>
      </c>
      <c r="S17" s="310" t="s">
        <v>1631</v>
      </c>
      <c r="T17" s="280" t="s">
        <v>1632</v>
      </c>
      <c r="U17" s="280" t="s">
        <v>1633</v>
      </c>
      <c r="V17" s="277" t="s">
        <v>1634</v>
      </c>
      <c r="W17" s="932" t="s">
        <v>1635</v>
      </c>
      <c r="X17" s="311" t="s">
        <v>1636</v>
      </c>
      <c r="Y17" s="311" t="s">
        <v>1637</v>
      </c>
      <c r="Z17" s="1104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7" s="108"/>
      <c r="AB17" s="108"/>
      <c r="AC17" s="108"/>
      <c r="AD17" s="172"/>
      <c r="BK17" s="176"/>
      <c r="BL17" s="176"/>
      <c r="BM17" s="176"/>
      <c r="BN17" s="176"/>
      <c r="BO17" s="176"/>
      <c r="CB17" s="1552" t="str">
        <f t="shared" si="5"/>
        <v xml:space="preserve">* El Número de Pueblos Originarios no puede superar el Total. </v>
      </c>
      <c r="CC17" s="1552" t="str">
        <f t="shared" si="6"/>
        <v xml:space="preserve">* El Número de Migrantes Menor de 20 años no puede superar el Total. </v>
      </c>
      <c r="CD17" s="1552" t="str">
        <f t="shared" si="7"/>
        <v xml:space="preserve">* El Número de Migrantes 20 años y más no puede superar el Total. </v>
      </c>
      <c r="CE17" s="1552" t="str">
        <f t="shared" si="8"/>
        <v xml:space="preserve">* El Número de PV-VIH (personas viviendo con VIH) no puede superar el Total. </v>
      </c>
      <c r="CF17" s="1552" t="str">
        <f t="shared" si="0"/>
        <v xml:space="preserve">* El Número de Trans masculino no puede superar el Total. </v>
      </c>
      <c r="CG17" s="1553"/>
      <c r="CH17" s="1552" t="str">
        <f t="shared" si="1"/>
        <v xml:space="preserve">* El Número de No Binarie no puede superar el Total. </v>
      </c>
      <c r="CI17" s="1552" t="str">
        <f t="shared" si="9"/>
        <v xml:space="preserve">* El Número de Personas con discapacidad no puede superar el Total. </v>
      </c>
      <c r="CP17" s="1047">
        <f t="shared" si="10"/>
        <v>1</v>
      </c>
      <c r="CQ17" s="1047">
        <f t="shared" si="11"/>
        <v>1</v>
      </c>
      <c r="CR17" s="1047">
        <f t="shared" si="12"/>
        <v>1</v>
      </c>
      <c r="CS17" s="1047">
        <f t="shared" si="13"/>
        <v>1</v>
      </c>
      <c r="CT17" s="1047">
        <f t="shared" si="14"/>
        <v>1</v>
      </c>
      <c r="CU17" s="1086"/>
      <c r="CV17" s="1047">
        <f t="shared" si="2"/>
        <v>1</v>
      </c>
      <c r="CW17" s="1047">
        <f t="shared" si="3"/>
        <v>1</v>
      </c>
    </row>
    <row r="18" spans="1:101" ht="21" customHeight="1" x14ac:dyDescent="0.2">
      <c r="A18" s="1576" t="s">
        <v>915</v>
      </c>
      <c r="B18" s="1740"/>
      <c r="C18" s="40" t="s">
        <v>82</v>
      </c>
      <c r="D18" s="301" t="s">
        <v>1616</v>
      </c>
      <c r="E18" s="277" t="s">
        <v>1617</v>
      </c>
      <c r="F18" s="277" t="s">
        <v>1618</v>
      </c>
      <c r="G18" s="277" t="s">
        <v>1619</v>
      </c>
      <c r="H18" s="277" t="s">
        <v>1620</v>
      </c>
      <c r="I18" s="277" t="s">
        <v>1621</v>
      </c>
      <c r="J18" s="277" t="s">
        <v>1622</v>
      </c>
      <c r="K18" s="277" t="s">
        <v>1623</v>
      </c>
      <c r="L18" s="277" t="s">
        <v>1624</v>
      </c>
      <c r="M18" s="277" t="s">
        <v>1625</v>
      </c>
      <c r="N18" s="277" t="s">
        <v>1626</v>
      </c>
      <c r="O18" s="636" t="s">
        <v>1627</v>
      </c>
      <c r="P18" s="636" t="s">
        <v>1628</v>
      </c>
      <c r="Q18" s="825" t="s">
        <v>1629</v>
      </c>
      <c r="R18" s="297" t="s">
        <v>1630</v>
      </c>
      <c r="S18" s="310" t="s">
        <v>1631</v>
      </c>
      <c r="T18" s="280" t="s">
        <v>1632</v>
      </c>
      <c r="U18" s="280" t="s">
        <v>1633</v>
      </c>
      <c r="V18" s="277" t="s">
        <v>1634</v>
      </c>
      <c r="W18" s="932" t="s">
        <v>1635</v>
      </c>
      <c r="X18" s="311" t="s">
        <v>1636</v>
      </c>
      <c r="Y18" s="311" t="s">
        <v>1637</v>
      </c>
      <c r="Z18" s="1104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8" s="108"/>
      <c r="AB18" s="108"/>
      <c r="AC18" s="108"/>
      <c r="AD18" s="172"/>
      <c r="BK18" s="176"/>
      <c r="BL18" s="176"/>
      <c r="BM18" s="176"/>
      <c r="BN18" s="176"/>
      <c r="BO18" s="176"/>
      <c r="CB18" s="1552" t="str">
        <f t="shared" si="5"/>
        <v xml:space="preserve">* El Número de Pueblos Originarios no puede superar el Total. </v>
      </c>
      <c r="CC18" s="1552" t="str">
        <f t="shared" si="6"/>
        <v xml:space="preserve">* El Número de Migrantes Menor de 20 años no puede superar el Total. </v>
      </c>
      <c r="CD18" s="1552" t="str">
        <f t="shared" si="7"/>
        <v xml:space="preserve">* El Número de Migrantes 20 años y más no puede superar el Total. </v>
      </c>
      <c r="CE18" s="1552" t="str">
        <f t="shared" si="8"/>
        <v xml:space="preserve">* El Número de PV-VIH (personas viviendo con VIH) no puede superar el Total. </v>
      </c>
      <c r="CF18" s="1552" t="str">
        <f t="shared" si="0"/>
        <v xml:space="preserve">* El Número de Trans masculino no puede superar el Total. </v>
      </c>
      <c r="CG18" s="1553"/>
      <c r="CH18" s="1552" t="str">
        <f t="shared" si="1"/>
        <v xml:space="preserve">* El Número de No Binarie no puede superar el Total. </v>
      </c>
      <c r="CI18" s="1552" t="str">
        <f t="shared" si="9"/>
        <v xml:space="preserve">* El Número de Personas con discapacidad no puede superar el Total. </v>
      </c>
      <c r="CP18" s="1047">
        <f t="shared" si="10"/>
        <v>1</v>
      </c>
      <c r="CQ18" s="1047">
        <f t="shared" si="11"/>
        <v>1</v>
      </c>
      <c r="CR18" s="1047">
        <f t="shared" si="12"/>
        <v>1</v>
      </c>
      <c r="CS18" s="1047">
        <f t="shared" si="13"/>
        <v>1</v>
      </c>
      <c r="CT18" s="1047">
        <f t="shared" si="14"/>
        <v>1</v>
      </c>
      <c r="CU18" s="1086"/>
      <c r="CV18" s="1047">
        <f t="shared" si="2"/>
        <v>1</v>
      </c>
      <c r="CW18" s="1047">
        <f t="shared" si="3"/>
        <v>1</v>
      </c>
    </row>
    <row r="19" spans="1:101" ht="15" customHeight="1" x14ac:dyDescent="0.2">
      <c r="A19" s="1576" t="s">
        <v>916</v>
      </c>
      <c r="B19" s="1728"/>
      <c r="C19" s="833" t="s">
        <v>83</v>
      </c>
      <c r="D19" s="273" t="s">
        <v>1616</v>
      </c>
      <c r="E19" s="285" t="s">
        <v>1617</v>
      </c>
      <c r="F19" s="285" t="s">
        <v>1618</v>
      </c>
      <c r="G19" s="285" t="s">
        <v>1619</v>
      </c>
      <c r="H19" s="285" t="s">
        <v>1620</v>
      </c>
      <c r="I19" s="285" t="s">
        <v>1621</v>
      </c>
      <c r="J19" s="285" t="s">
        <v>1622</v>
      </c>
      <c r="K19" s="285" t="s">
        <v>1623</v>
      </c>
      <c r="L19" s="285" t="s">
        <v>1624</v>
      </c>
      <c r="M19" s="285" t="s">
        <v>1625</v>
      </c>
      <c r="N19" s="285" t="s">
        <v>1626</v>
      </c>
      <c r="O19" s="638" t="s">
        <v>1627</v>
      </c>
      <c r="P19" s="638" t="s">
        <v>1628</v>
      </c>
      <c r="Q19" s="827" t="s">
        <v>1629</v>
      </c>
      <c r="R19" s="1018" t="s">
        <v>1630</v>
      </c>
      <c r="S19" s="749" t="s">
        <v>1631</v>
      </c>
      <c r="T19" s="287" t="s">
        <v>1632</v>
      </c>
      <c r="U19" s="287" t="s">
        <v>1633</v>
      </c>
      <c r="V19" s="285" t="s">
        <v>1634</v>
      </c>
      <c r="W19" s="1005" t="s">
        <v>1635</v>
      </c>
      <c r="X19" s="688" t="s">
        <v>1636</v>
      </c>
      <c r="Y19" s="688" t="s">
        <v>1637</v>
      </c>
      <c r="Z19" s="1104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9" s="108"/>
      <c r="AB19" s="108"/>
      <c r="AC19" s="108"/>
      <c r="AD19" s="172"/>
      <c r="BK19" s="176"/>
      <c r="BL19" s="176"/>
      <c r="BM19" s="176"/>
      <c r="BN19" s="176"/>
      <c r="BO19" s="176"/>
      <c r="CB19" s="1552" t="str">
        <f t="shared" si="5"/>
        <v xml:space="preserve">* El Número de Pueblos Originarios no puede superar el Total. </v>
      </c>
      <c r="CC19" s="1552" t="str">
        <f t="shared" si="6"/>
        <v xml:space="preserve">* El Número de Migrantes Menor de 20 años no puede superar el Total. </v>
      </c>
      <c r="CD19" s="1552" t="str">
        <f t="shared" si="7"/>
        <v xml:space="preserve">* El Número de Migrantes 20 años y más no puede superar el Total. </v>
      </c>
      <c r="CE19" s="1552" t="str">
        <f t="shared" si="8"/>
        <v xml:space="preserve">* El Número de PV-VIH (personas viviendo con VIH) no puede superar el Total. </v>
      </c>
      <c r="CF19" s="1552" t="str">
        <f t="shared" si="0"/>
        <v xml:space="preserve">* El Número de Trans masculino no puede superar el Total. </v>
      </c>
      <c r="CG19" s="1553"/>
      <c r="CH19" s="1552" t="str">
        <f t="shared" si="1"/>
        <v xml:space="preserve">* El Número de No Binarie no puede superar el Total. </v>
      </c>
      <c r="CI19" s="1552" t="str">
        <f t="shared" si="9"/>
        <v xml:space="preserve">* El Número de Personas con discapacidad no puede superar el Total. </v>
      </c>
      <c r="CP19" s="1047">
        <f t="shared" si="10"/>
        <v>1</v>
      </c>
      <c r="CQ19" s="1047">
        <f t="shared" si="11"/>
        <v>1</v>
      </c>
      <c r="CR19" s="1047">
        <f t="shared" si="12"/>
        <v>1</v>
      </c>
      <c r="CS19" s="1047">
        <f t="shared" si="13"/>
        <v>1</v>
      </c>
      <c r="CT19" s="1047">
        <f t="shared" si="14"/>
        <v>1</v>
      </c>
      <c r="CU19" s="1086"/>
      <c r="CV19" s="1047">
        <f t="shared" si="2"/>
        <v>1</v>
      </c>
      <c r="CW19" s="1047">
        <f t="shared" si="3"/>
        <v>1</v>
      </c>
    </row>
    <row r="20" spans="1:101" ht="15" customHeight="1" x14ac:dyDescent="0.2">
      <c r="A20" s="1576" t="s">
        <v>917</v>
      </c>
      <c r="B20" s="1707" t="s">
        <v>84</v>
      </c>
      <c r="C20" s="1313" t="s">
        <v>85</v>
      </c>
      <c r="D20" s="260" t="s">
        <v>1616</v>
      </c>
      <c r="E20" s="262" t="s">
        <v>1617</v>
      </c>
      <c r="F20" s="262" t="s">
        <v>1618</v>
      </c>
      <c r="G20" s="262" t="s">
        <v>1619</v>
      </c>
      <c r="H20" s="262" t="s">
        <v>1620</v>
      </c>
      <c r="I20" s="262" t="s">
        <v>1621</v>
      </c>
      <c r="J20" s="262" t="s">
        <v>1622</v>
      </c>
      <c r="K20" s="262" t="s">
        <v>1623</v>
      </c>
      <c r="L20" s="262" t="s">
        <v>1624</v>
      </c>
      <c r="M20" s="262" t="s">
        <v>1625</v>
      </c>
      <c r="N20" s="262" t="s">
        <v>1626</v>
      </c>
      <c r="O20" s="635" t="s">
        <v>1627</v>
      </c>
      <c r="P20" s="635" t="s">
        <v>1628</v>
      </c>
      <c r="Q20" s="824" t="s">
        <v>1629</v>
      </c>
      <c r="R20" s="295" t="s">
        <v>1630</v>
      </c>
      <c r="S20" s="261" t="s">
        <v>1631</v>
      </c>
      <c r="T20" s="265" t="s">
        <v>1632</v>
      </c>
      <c r="U20" s="265" t="s">
        <v>1633</v>
      </c>
      <c r="V20" s="262" t="s">
        <v>1634</v>
      </c>
      <c r="W20" s="930" t="s">
        <v>1635</v>
      </c>
      <c r="X20" s="309" t="s">
        <v>1636</v>
      </c>
      <c r="Y20" s="309" t="s">
        <v>1637</v>
      </c>
      <c r="Z20" s="1104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20" s="108"/>
      <c r="AB20" s="108"/>
      <c r="AC20" s="108"/>
      <c r="AD20" s="172"/>
      <c r="BK20" s="176"/>
      <c r="BL20" s="176"/>
      <c r="BM20" s="176"/>
      <c r="BN20" s="176"/>
      <c r="BO20" s="176"/>
      <c r="CB20" s="1552" t="str">
        <f t="shared" si="5"/>
        <v xml:space="preserve">* El Número de Pueblos Originarios no puede superar el Total. </v>
      </c>
      <c r="CC20" s="1552" t="str">
        <f t="shared" si="6"/>
        <v xml:space="preserve">* El Número de Migrantes Menor de 20 años no puede superar el Total. </v>
      </c>
      <c r="CD20" s="1552" t="str">
        <f t="shared" si="7"/>
        <v xml:space="preserve">* El Número de Migrantes 20 años y más no puede superar el Total. </v>
      </c>
      <c r="CE20" s="1552" t="str">
        <f t="shared" si="8"/>
        <v xml:space="preserve">* El Número de PV-VIH (personas viviendo con VIH) no puede superar el Total. </v>
      </c>
      <c r="CF20" s="1552" t="str">
        <f t="shared" si="0"/>
        <v xml:space="preserve">* El Número de Trans masculino no puede superar el Total. </v>
      </c>
      <c r="CG20" s="1553"/>
      <c r="CH20" s="1552" t="str">
        <f t="shared" si="1"/>
        <v xml:space="preserve">* El Número de No Binarie no puede superar el Total. </v>
      </c>
      <c r="CI20" s="1552" t="str">
        <f t="shared" si="9"/>
        <v xml:space="preserve">* El Número de Personas con discapacidad no puede superar el Total. </v>
      </c>
      <c r="CP20" s="1047">
        <f t="shared" si="10"/>
        <v>1</v>
      </c>
      <c r="CQ20" s="1047">
        <f t="shared" si="11"/>
        <v>1</v>
      </c>
      <c r="CR20" s="1047">
        <f t="shared" si="12"/>
        <v>1</v>
      </c>
      <c r="CS20" s="1047">
        <f t="shared" si="13"/>
        <v>1</v>
      </c>
      <c r="CT20" s="1047">
        <f t="shared" si="14"/>
        <v>1</v>
      </c>
      <c r="CU20" s="1086"/>
      <c r="CV20" s="1047">
        <f t="shared" si="2"/>
        <v>1</v>
      </c>
      <c r="CW20" s="1047">
        <f t="shared" si="3"/>
        <v>1</v>
      </c>
    </row>
    <row r="21" spans="1:101" ht="15" customHeight="1" x14ac:dyDescent="0.2">
      <c r="A21" s="1576" t="s">
        <v>918</v>
      </c>
      <c r="B21" s="1708"/>
      <c r="C21" s="1314" t="s">
        <v>86</v>
      </c>
      <c r="D21" s="266" t="s">
        <v>1616</v>
      </c>
      <c r="E21" s="267" t="s">
        <v>1617</v>
      </c>
      <c r="F21" s="267" t="s">
        <v>1618</v>
      </c>
      <c r="G21" s="267" t="s">
        <v>1619</v>
      </c>
      <c r="H21" s="267" t="s">
        <v>1620</v>
      </c>
      <c r="I21" s="267" t="s">
        <v>1621</v>
      </c>
      <c r="J21" s="267" t="s">
        <v>1622</v>
      </c>
      <c r="K21" s="267" t="s">
        <v>1623</v>
      </c>
      <c r="L21" s="267" t="s">
        <v>1624</v>
      </c>
      <c r="M21" s="267" t="s">
        <v>1625</v>
      </c>
      <c r="N21" s="267" t="s">
        <v>1626</v>
      </c>
      <c r="O21" s="638" t="s">
        <v>1627</v>
      </c>
      <c r="P21" s="638" t="s">
        <v>1628</v>
      </c>
      <c r="Q21" s="827" t="s">
        <v>1629</v>
      </c>
      <c r="R21" s="1016" t="s">
        <v>1630</v>
      </c>
      <c r="S21" s="748" t="s">
        <v>1631</v>
      </c>
      <c r="T21" s="272" t="s">
        <v>1632</v>
      </c>
      <c r="U21" s="272" t="s">
        <v>1633</v>
      </c>
      <c r="V21" s="934" t="s">
        <v>1634</v>
      </c>
      <c r="W21" s="267" t="s">
        <v>1635</v>
      </c>
      <c r="X21" s="686" t="s">
        <v>1636</v>
      </c>
      <c r="Y21" s="686" t="s">
        <v>1637</v>
      </c>
      <c r="Z21" s="1104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Femenino no puede superar el Total. * El Número de No Binarie no puede superar el Total. * El Número de Personas con discapacidad no puede superar el Total. </v>
      </c>
      <c r="AA21" s="108"/>
      <c r="AB21" s="108"/>
      <c r="AC21" s="108"/>
      <c r="AD21" s="172"/>
      <c r="BK21" s="176"/>
      <c r="BL21" s="176"/>
      <c r="BM21" s="176"/>
      <c r="BN21" s="176"/>
      <c r="BO21" s="176"/>
      <c r="CB21" s="1552" t="str">
        <f t="shared" ref="CB21:CB24" si="15">IF(AND($D21&lt;&gt;0,R21=""),"* No olvide ingresar la variable "&amp;R$9&amp;""&amp;". Digite CERO si no tiene.",IF(R21&gt;$D21,"* El Número de Pueblos Originarios no puede superar el Total. ",""))</f>
        <v xml:space="preserve">* El Número de Pueblos Originarios no puede superar el Total. </v>
      </c>
      <c r="CC21" s="1552" t="str">
        <f t="shared" si="6"/>
        <v xml:space="preserve">* El Número de Migrantes Menor de 20 años no puede superar el Total. </v>
      </c>
      <c r="CD21" s="1552" t="str">
        <f t="shared" si="7"/>
        <v xml:space="preserve">* El Número de Migrantes 20 años y más no puede superar el Total. </v>
      </c>
      <c r="CE21" s="1552" t="str">
        <f t="shared" ref="CE21:CE24" si="16">IF(AND($D21&lt;&gt;0,U21=""),"* No olvide ingresar la variable "&amp;U$9&amp;""&amp;". Digite CERO si no tiene.",IF(U21&gt;$D21,"* El Número de PV-VIH (personas viviendo con VIH) no puede superar el Total. ",""))</f>
        <v xml:space="preserve">* El Número de PV-VIH (personas viviendo con VIH) no puede superar el Total. </v>
      </c>
      <c r="CF21" s="1553"/>
      <c r="CG21" s="1552" t="str">
        <f>IF(AND($D21&lt;&gt;0,W21=""),"* No olvide ingresar la variable "&amp;W$10&amp;""&amp;". Digite CERO si no tiene.",IF(W21&gt;$D21,"* El Número de Trans Femenino no puede superar el Total. ",""))</f>
        <v xml:space="preserve">* El Número de Trans Femenino no puede superar el Total. </v>
      </c>
      <c r="CH21" s="1552" t="str">
        <f t="shared" si="1"/>
        <v xml:space="preserve">* El Número de No Binarie no puede superar el Total. </v>
      </c>
      <c r="CI21" s="1552" t="str">
        <f t="shared" si="9"/>
        <v xml:space="preserve">* El Número de Personas con discapacidad no puede superar el Total. </v>
      </c>
      <c r="CP21" s="1047">
        <f t="shared" si="10"/>
        <v>1</v>
      </c>
      <c r="CQ21" s="1047">
        <f t="shared" si="11"/>
        <v>1</v>
      </c>
      <c r="CR21" s="1047">
        <f t="shared" si="12"/>
        <v>1</v>
      </c>
      <c r="CS21" s="1047">
        <f>IF(AND($D21&lt;&gt;0,$U21=""),1,IF($U21&gt;$D21,1,0))</f>
        <v>1</v>
      </c>
      <c r="CT21" s="1086"/>
      <c r="CU21" s="1047">
        <f>IF(AND($D21&lt;&gt;0,W21=""),1,IF(W21&gt;$D21,1,0))</f>
        <v>1</v>
      </c>
      <c r="CV21" s="1047">
        <f t="shared" si="2"/>
        <v>1</v>
      </c>
      <c r="CW21" s="1047">
        <f t="shared" si="3"/>
        <v>1</v>
      </c>
    </row>
    <row r="22" spans="1:101" ht="15" customHeight="1" x14ac:dyDescent="0.2">
      <c r="A22" s="1576" t="s">
        <v>919</v>
      </c>
      <c r="B22" s="1733" t="s">
        <v>87</v>
      </c>
      <c r="C22" s="1315" t="s">
        <v>85</v>
      </c>
      <c r="D22" s="273" t="s">
        <v>1616</v>
      </c>
      <c r="E22" s="274" t="s">
        <v>1617</v>
      </c>
      <c r="F22" s="274" t="s">
        <v>1618</v>
      </c>
      <c r="G22" s="274" t="s">
        <v>1619</v>
      </c>
      <c r="H22" s="274" t="s">
        <v>1620</v>
      </c>
      <c r="I22" s="274" t="s">
        <v>1621</v>
      </c>
      <c r="J22" s="274" t="s">
        <v>1622</v>
      </c>
      <c r="K22" s="274" t="s">
        <v>1623</v>
      </c>
      <c r="L22" s="274" t="s">
        <v>1624</v>
      </c>
      <c r="M22" s="274" t="s">
        <v>1625</v>
      </c>
      <c r="N22" s="274" t="s">
        <v>1626</v>
      </c>
      <c r="O22" s="635" t="s">
        <v>1627</v>
      </c>
      <c r="P22" s="635" t="s">
        <v>1628</v>
      </c>
      <c r="Q22" s="824" t="s">
        <v>1629</v>
      </c>
      <c r="R22" s="1017" t="s">
        <v>1630</v>
      </c>
      <c r="S22" s="288" t="s">
        <v>1631</v>
      </c>
      <c r="T22" s="276" t="s">
        <v>1632</v>
      </c>
      <c r="U22" s="276" t="s">
        <v>1633</v>
      </c>
      <c r="V22" s="274" t="s">
        <v>1634</v>
      </c>
      <c r="W22" s="1555" t="s">
        <v>1635</v>
      </c>
      <c r="X22" s="687" t="s">
        <v>1636</v>
      </c>
      <c r="Y22" s="687" t="s">
        <v>1637</v>
      </c>
      <c r="Z22" s="1104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22" s="108"/>
      <c r="AB22" s="108"/>
      <c r="AC22" s="108"/>
      <c r="AD22" s="172"/>
      <c r="BK22" s="176"/>
      <c r="BL22" s="176"/>
      <c r="BM22" s="176"/>
      <c r="BN22" s="176"/>
      <c r="BO22" s="176"/>
      <c r="CB22" s="1552" t="str">
        <f t="shared" si="15"/>
        <v xml:space="preserve">* El Número de Pueblos Originarios no puede superar el Total. </v>
      </c>
      <c r="CC22" s="1552" t="str">
        <f t="shared" si="6"/>
        <v xml:space="preserve">* El Número de Migrantes Menor de 20 años no puede superar el Total. </v>
      </c>
      <c r="CD22" s="1552" t="str">
        <f t="shared" si="7"/>
        <v xml:space="preserve">* El Número de Migrantes 20 años y más no puede superar el Total. </v>
      </c>
      <c r="CE22" s="1552" t="str">
        <f t="shared" si="16"/>
        <v xml:space="preserve">* El Número de PV-VIH (personas viviendo con VIH) no puede superar el Total. </v>
      </c>
      <c r="CF22" s="1552" t="str">
        <f>IF(AND($D22&lt;&gt;0,V22=""),"* No olvide ingresar la variable "&amp;V$10&amp;""&amp;". Digite CERO si no tiene.",IF(V22&gt;$D22,"* El Número de Trans masculino no puede superar el Total. ",""))</f>
        <v xml:space="preserve">* El Número de Trans masculino no puede superar el Total. </v>
      </c>
      <c r="CG22" s="1553"/>
      <c r="CH22" s="1552" t="str">
        <f t="shared" si="1"/>
        <v xml:space="preserve">* El Número de No Binarie no puede superar el Total. </v>
      </c>
      <c r="CI22" s="1552" t="str">
        <f t="shared" si="9"/>
        <v xml:space="preserve">* El Número de Personas con discapacidad no puede superar el Total. </v>
      </c>
      <c r="CP22" s="1047">
        <f t="shared" si="10"/>
        <v>1</v>
      </c>
      <c r="CQ22" s="1047">
        <f t="shared" si="11"/>
        <v>1</v>
      </c>
      <c r="CR22" s="1047">
        <f t="shared" si="12"/>
        <v>1</v>
      </c>
      <c r="CS22" s="1047">
        <f t="shared" si="13"/>
        <v>1</v>
      </c>
      <c r="CT22" s="1047">
        <f t="shared" si="14"/>
        <v>1</v>
      </c>
      <c r="CU22" s="1086"/>
      <c r="CV22" s="1047">
        <f t="shared" si="2"/>
        <v>1</v>
      </c>
      <c r="CW22" s="1047">
        <f t="shared" si="3"/>
        <v>1</v>
      </c>
    </row>
    <row r="23" spans="1:101" ht="15" customHeight="1" x14ac:dyDescent="0.2">
      <c r="A23" s="1576" t="s">
        <v>920</v>
      </c>
      <c r="B23" s="1734"/>
      <c r="C23" s="1316" t="s">
        <v>86</v>
      </c>
      <c r="D23" s="372" t="s">
        <v>1616</v>
      </c>
      <c r="E23" s="268" t="s">
        <v>1617</v>
      </c>
      <c r="F23" s="268" t="s">
        <v>1618</v>
      </c>
      <c r="G23" s="268" t="s">
        <v>1619</v>
      </c>
      <c r="H23" s="268" t="s">
        <v>1620</v>
      </c>
      <c r="I23" s="268" t="s">
        <v>1621</v>
      </c>
      <c r="J23" s="268" t="s">
        <v>1622</v>
      </c>
      <c r="K23" s="268" t="s">
        <v>1623</v>
      </c>
      <c r="L23" s="268" t="s">
        <v>1624</v>
      </c>
      <c r="M23" s="268" t="s">
        <v>1625</v>
      </c>
      <c r="N23" s="268" t="s">
        <v>1626</v>
      </c>
      <c r="O23" s="638" t="s">
        <v>1627</v>
      </c>
      <c r="P23" s="638" t="s">
        <v>1628</v>
      </c>
      <c r="Q23" s="827" t="s">
        <v>1629</v>
      </c>
      <c r="R23" s="1019" t="s">
        <v>1630</v>
      </c>
      <c r="S23" s="290" t="s">
        <v>1631</v>
      </c>
      <c r="T23" s="284" t="s">
        <v>1632</v>
      </c>
      <c r="U23" s="284" t="s">
        <v>1633</v>
      </c>
      <c r="V23" s="1557" t="s">
        <v>1634</v>
      </c>
      <c r="W23" s="268" t="s">
        <v>1635</v>
      </c>
      <c r="X23" s="312" t="s">
        <v>1636</v>
      </c>
      <c r="Y23" s="312" t="s">
        <v>1637</v>
      </c>
      <c r="Z23" s="1104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femenino no puede superar el Total. * El Número de No Binarie no puede superar el Total. * El Número de Personas con discapacidad no puede superar el Total. </v>
      </c>
      <c r="AA23" s="108"/>
      <c r="AB23" s="108"/>
      <c r="AC23" s="108"/>
      <c r="AD23" s="172"/>
      <c r="BK23" s="176"/>
      <c r="BL23" s="176"/>
      <c r="BM23" s="176"/>
      <c r="BN23" s="176"/>
      <c r="BO23" s="176"/>
      <c r="CB23" s="1552" t="str">
        <f t="shared" si="15"/>
        <v xml:space="preserve">* El Número de Pueblos Originarios no puede superar el Total. </v>
      </c>
      <c r="CC23" s="1552" t="str">
        <f t="shared" si="6"/>
        <v xml:space="preserve">* El Número de Migrantes Menor de 20 años no puede superar el Total. </v>
      </c>
      <c r="CD23" s="1552" t="str">
        <f t="shared" si="7"/>
        <v xml:space="preserve">* El Número de Migrantes 20 años y más no puede superar el Total. </v>
      </c>
      <c r="CE23" s="1552" t="str">
        <f t="shared" si="16"/>
        <v xml:space="preserve">* El Número de PV-VIH (personas viviendo con VIH) no puede superar el Total. </v>
      </c>
      <c r="CF23" s="1553"/>
      <c r="CG23" s="1552" t="str">
        <f>IF(AND($D23&lt;&gt;0,W23=""),"* No olvide ingresar la variable "&amp;W$10&amp;""&amp;". Digite CERO si no tiene.",IF(W23&gt;$D23,"* El Número de Trans femenino no puede superar el Total. ",""))</f>
        <v xml:space="preserve">* El Número de Trans femenino no puede superar el Total. </v>
      </c>
      <c r="CH23" s="1552" t="str">
        <f t="shared" si="1"/>
        <v xml:space="preserve">* El Número de No Binarie no puede superar el Total. </v>
      </c>
      <c r="CI23" s="1552" t="str">
        <f t="shared" si="9"/>
        <v xml:space="preserve">* El Número de Personas con discapacidad no puede superar el Total. </v>
      </c>
      <c r="CP23" s="1047">
        <f t="shared" si="10"/>
        <v>1</v>
      </c>
      <c r="CQ23" s="1047">
        <f t="shared" si="11"/>
        <v>1</v>
      </c>
      <c r="CR23" s="1047">
        <f t="shared" si="12"/>
        <v>1</v>
      </c>
      <c r="CS23" s="1047">
        <f t="shared" si="13"/>
        <v>1</v>
      </c>
      <c r="CT23" s="1086"/>
      <c r="CU23" s="1047">
        <f>IF(AND($D23&lt;&gt;0,W23=""),1,IF(W23&gt;$D23,1,0))</f>
        <v>1</v>
      </c>
      <c r="CV23" s="1047">
        <f t="shared" si="2"/>
        <v>1</v>
      </c>
      <c r="CW23" s="1047">
        <f t="shared" si="3"/>
        <v>1</v>
      </c>
    </row>
    <row r="24" spans="1:101" ht="15" customHeight="1" x14ac:dyDescent="0.2">
      <c r="A24" s="1577" t="s">
        <v>921</v>
      </c>
      <c r="B24" s="1729" t="s">
        <v>88</v>
      </c>
      <c r="C24" s="1730"/>
      <c r="D24" s="1368" t="s">
        <v>1616</v>
      </c>
      <c r="E24" s="285" t="s">
        <v>1617</v>
      </c>
      <c r="F24" s="285" t="s">
        <v>1618</v>
      </c>
      <c r="G24" s="285" t="s">
        <v>1619</v>
      </c>
      <c r="H24" s="285" t="s">
        <v>1620</v>
      </c>
      <c r="I24" s="285" t="s">
        <v>1621</v>
      </c>
      <c r="J24" s="285" t="s">
        <v>1622</v>
      </c>
      <c r="K24" s="285" t="s">
        <v>1623</v>
      </c>
      <c r="L24" s="285" t="s">
        <v>1624</v>
      </c>
      <c r="M24" s="285" t="s">
        <v>1625</v>
      </c>
      <c r="N24" s="285" t="s">
        <v>1626</v>
      </c>
      <c r="O24" s="1004" t="s">
        <v>1627</v>
      </c>
      <c r="P24" s="1005" t="s">
        <v>1628</v>
      </c>
      <c r="Q24" s="1006" t="s">
        <v>1629</v>
      </c>
      <c r="R24" s="1018" t="s">
        <v>1630</v>
      </c>
      <c r="S24" s="749" t="s">
        <v>1631</v>
      </c>
      <c r="T24" s="287" t="s">
        <v>1632</v>
      </c>
      <c r="U24" s="287" t="s">
        <v>1633</v>
      </c>
      <c r="V24" s="285" t="s">
        <v>1634</v>
      </c>
      <c r="W24" s="285" t="s">
        <v>1635</v>
      </c>
      <c r="X24" s="287" t="s">
        <v>1636</v>
      </c>
      <c r="Y24" s="287" t="s">
        <v>1637</v>
      </c>
      <c r="Z24" s="1104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Trans femenino no puede superar el Total. * El Número de No Binarie no puede superar el Total. * El Número de Personas con discapacidad no puede superar el Total. </v>
      </c>
      <c r="AA24" s="108"/>
      <c r="AB24" s="108"/>
      <c r="AC24" s="108"/>
      <c r="AD24" s="172"/>
      <c r="BK24" s="176"/>
      <c r="BL24" s="176"/>
      <c r="BM24" s="176"/>
      <c r="BN24" s="176"/>
      <c r="BO24" s="176"/>
      <c r="CB24" s="1552" t="str">
        <f t="shared" si="15"/>
        <v xml:space="preserve">* El Número de Pueblos Originarios no puede superar el Total. </v>
      </c>
      <c r="CC24" s="1552" t="str">
        <f t="shared" si="6"/>
        <v xml:space="preserve">* El Número de Migrantes Menor de 20 años no puede superar el Total. </v>
      </c>
      <c r="CD24" s="1552" t="str">
        <f t="shared" si="7"/>
        <v xml:space="preserve">* El Número de Migrantes 20 años y más no puede superar el Total. </v>
      </c>
      <c r="CE24" s="1552" t="str">
        <f t="shared" si="16"/>
        <v xml:space="preserve">* El Número de PV-VIH (personas viviendo con VIH) no puede superar el Total. </v>
      </c>
      <c r="CF24" s="1552" t="str">
        <f>IF(AND($D24&lt;&gt;0,V24=""),"* No olvide ingresar la variable "&amp;V$10&amp;""&amp;". Digite CERO si no tiene.",IF(V24&gt;$D24,"* El Número de Trans masculino no puede superar el Total. ",""))</f>
        <v xml:space="preserve">* El Número de Trans masculino no puede superar el Total. </v>
      </c>
      <c r="CG24" s="1552" t="str">
        <f>IF(AND($D24&lt;&gt;0,W24=""),"* No olvide ingresar la variable "&amp;W$10&amp;""&amp;". Digite CERO si no tiene.",IF(W24&gt;$D24,"* El Número de Trans femenino no puede superar el Total. ",""))</f>
        <v xml:space="preserve">* El Número de Trans femenino no puede superar el Total. </v>
      </c>
      <c r="CH24" s="1552" t="str">
        <f t="shared" si="1"/>
        <v xml:space="preserve">* El Número de No Binarie no puede superar el Total. </v>
      </c>
      <c r="CI24" s="1552" t="str">
        <f t="shared" si="9"/>
        <v xml:space="preserve">* El Número de Personas con discapacidad no puede superar el Total. </v>
      </c>
      <c r="CP24" s="1047">
        <f t="shared" si="10"/>
        <v>1</v>
      </c>
      <c r="CQ24" s="1047">
        <f t="shared" si="11"/>
        <v>1</v>
      </c>
      <c r="CR24" s="1047">
        <f t="shared" si="12"/>
        <v>1</v>
      </c>
      <c r="CS24" s="1047">
        <f t="shared" si="13"/>
        <v>1</v>
      </c>
      <c r="CT24" s="1047">
        <f t="shared" si="14"/>
        <v>1</v>
      </c>
      <c r="CU24" s="1047">
        <f>IF(AND($D24&lt;&gt;0,W24=""),1,IF(W24&gt;$D24,1,0))</f>
        <v>1</v>
      </c>
      <c r="CV24" s="1047">
        <f t="shared" si="2"/>
        <v>1</v>
      </c>
      <c r="CW24" s="1047">
        <f t="shared" si="3"/>
        <v>1</v>
      </c>
    </row>
    <row r="25" spans="1:101" ht="15" customHeight="1" thickBot="1" x14ac:dyDescent="0.2">
      <c r="A25" s="1578"/>
      <c r="B25" s="1718" t="s">
        <v>89</v>
      </c>
      <c r="C25" s="1719"/>
      <c r="D25" s="1406">
        <f>SUM(E25:Q25)</f>
        <v>0</v>
      </c>
      <c r="E25" s="1407">
        <f>SUM(E11:E24)</f>
        <v>0</v>
      </c>
      <c r="F25" s="1408">
        <f t="shared" ref="F25:N25" si="17">SUM(F11:F24)</f>
        <v>0</v>
      </c>
      <c r="G25" s="1408">
        <f t="shared" si="17"/>
        <v>0</v>
      </c>
      <c r="H25" s="1408">
        <f t="shared" si="17"/>
        <v>0</v>
      </c>
      <c r="I25" s="1408">
        <f t="shared" si="17"/>
        <v>0</v>
      </c>
      <c r="J25" s="1408">
        <f t="shared" si="17"/>
        <v>0</v>
      </c>
      <c r="K25" s="1408">
        <f t="shared" si="17"/>
        <v>0</v>
      </c>
      <c r="L25" s="1408">
        <f t="shared" si="17"/>
        <v>0</v>
      </c>
      <c r="M25" s="1408">
        <f t="shared" si="17"/>
        <v>0</v>
      </c>
      <c r="N25" s="1408">
        <f t="shared" si="17"/>
        <v>0</v>
      </c>
      <c r="O25" s="829"/>
      <c r="P25" s="830"/>
      <c r="Q25" s="831"/>
      <c r="R25" s="1020">
        <f t="shared" ref="R25" si="18">SUM(R11:R24)</f>
        <v>0</v>
      </c>
      <c r="S25" s="1025">
        <f t="shared" ref="S25:T25" si="19">SUM(S11:S24)</f>
        <v>0</v>
      </c>
      <c r="T25" s="816">
        <f t="shared" si="19"/>
        <v>0</v>
      </c>
      <c r="U25" s="816">
        <f t="shared" ref="U25" si="20">SUM(U11:U24)</f>
        <v>0</v>
      </c>
      <c r="V25" s="815">
        <f t="shared" ref="V25" si="21">SUM(V11:V24)</f>
        <v>0</v>
      </c>
      <c r="W25" s="815">
        <f t="shared" ref="W25" si="22">SUM(W11:W24)</f>
        <v>0</v>
      </c>
      <c r="X25" s="816">
        <f>SUM(X11:X24)</f>
        <v>0</v>
      </c>
      <c r="Y25" s="816">
        <f t="shared" ref="Y25" si="23">SUM(Y11:Y24)</f>
        <v>0</v>
      </c>
      <c r="Z25" s="1104"/>
      <c r="AA25" s="108"/>
      <c r="AB25" s="108"/>
      <c r="AC25" s="108"/>
      <c r="AD25" s="172"/>
      <c r="BK25" s="176"/>
      <c r="BL25" s="176"/>
      <c r="BM25" s="176"/>
      <c r="BN25" s="176"/>
      <c r="BO25" s="176"/>
      <c r="CB25" s="1554"/>
      <c r="CC25" s="1554"/>
      <c r="CD25" s="1554"/>
      <c r="CE25" s="1554"/>
      <c r="CF25" s="1554"/>
      <c r="CG25" s="1104"/>
      <c r="CH25" s="1104"/>
      <c r="CI25" s="1104"/>
    </row>
    <row r="26" spans="1:101" ht="15" customHeight="1" thickTop="1" x14ac:dyDescent="0.2">
      <c r="A26" s="1576" t="s">
        <v>922</v>
      </c>
      <c r="B26" s="1722" t="s">
        <v>90</v>
      </c>
      <c r="C26" s="1723"/>
      <c r="D26" s="291" t="s">
        <v>1616</v>
      </c>
      <c r="E26" s="828" t="s">
        <v>1617</v>
      </c>
      <c r="F26" s="292" t="s">
        <v>1618</v>
      </c>
      <c r="G26" s="292" t="s">
        <v>1619</v>
      </c>
      <c r="H26" s="292" t="s">
        <v>1620</v>
      </c>
      <c r="I26" s="292" t="s">
        <v>1621</v>
      </c>
      <c r="J26" s="292" t="s">
        <v>1622</v>
      </c>
      <c r="K26" s="292" t="s">
        <v>1623</v>
      </c>
      <c r="L26" s="292" t="s">
        <v>1624</v>
      </c>
      <c r="M26" s="293" t="s">
        <v>1625</v>
      </c>
      <c r="N26" s="293" t="s">
        <v>1626</v>
      </c>
      <c r="O26" s="634" t="s">
        <v>1627</v>
      </c>
      <c r="P26" s="634" t="s">
        <v>1628</v>
      </c>
      <c r="Q26" s="271" t="s">
        <v>1629</v>
      </c>
      <c r="R26" s="1016" t="s">
        <v>1630</v>
      </c>
      <c r="S26" s="748" t="s">
        <v>1631</v>
      </c>
      <c r="T26" s="272" t="s">
        <v>1632</v>
      </c>
      <c r="U26" s="272" t="s">
        <v>1633</v>
      </c>
      <c r="V26" s="267" t="s">
        <v>1634</v>
      </c>
      <c r="W26" s="934" t="s">
        <v>1635</v>
      </c>
      <c r="X26" s="686" t="s">
        <v>1636</v>
      </c>
      <c r="Y26" s="686" t="s">
        <v>1637</v>
      </c>
      <c r="Z26" s="1104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26" s="108"/>
      <c r="AB26" s="108"/>
      <c r="AC26" s="108"/>
      <c r="AD26" s="172"/>
      <c r="BK26" s="176"/>
      <c r="BL26" s="176"/>
      <c r="BM26" s="176"/>
      <c r="BN26" s="176"/>
      <c r="BO26" s="176"/>
      <c r="CB26" s="1552" t="str">
        <f>IF(AND($D26&lt;&gt;0,R26=""),"* No olvide ingresar la variable "&amp;R$9&amp;""&amp;". Digite CERO si no tiene.",IF(R26&gt;$D26,"* El Número de Pueblos Originarios no puede superar el Total. ",""))</f>
        <v xml:space="preserve">* El Número de Pueblos Originarios no puede superar el Total. </v>
      </c>
      <c r="CC26" s="1552" t="str">
        <f>IF(AND($D26&gt;0,S26=""),"* No olvide ingresar la variable "&amp;S$9&amp;""&amp;" Menor de 20 años. Digite CERO si no tiene.",IF(S26&gt;$D26,"* El Número de Migrantes Menor de 20 años no puede superar el Total. ",""))</f>
        <v xml:space="preserve">* El Número de Migrantes Menor de 20 años no puede superar el Total. </v>
      </c>
      <c r="CD26" s="1552" t="str">
        <f>IF(AND($D26&gt;0,T26=""),"* No olvide ingresar la variable "&amp;S$9&amp;""&amp;" 20 años y más. Digite CERO si no tiene.",IF(T26&gt;$D26,"* El Número de Migrantes 20 años y más no puede superar el Total. ",""))</f>
        <v xml:space="preserve">* El Número de Migrantes 20 años y más no puede superar el Total. </v>
      </c>
      <c r="CE26" s="1552" t="str">
        <f>IF(AND($D26&lt;&gt;0,U26=""),"* No olvide ingresar la variable "&amp;U$9&amp;""&amp;". Digite CERO si no tiene.",IF(U26&gt;$D26,"* El Número de PV-VIH (personas viviendo con VIH) no puede superar el Total. ",""))</f>
        <v xml:space="preserve">* El Número de PV-VIH (personas viviendo con VIH) no puede superar el Total. </v>
      </c>
      <c r="CF26" s="1552" t="str">
        <f>IF(AND($D26&lt;&gt;0,V26=""),"* No olvide ingresar la variable "&amp;V$10&amp;""&amp;". Digite CERO si no tiene.",IF(V26&gt;$D26,"* El Número de Trans masculino no puede superar el Total. ",""))</f>
        <v xml:space="preserve">* El Número de Trans masculino no puede superar el Total. </v>
      </c>
      <c r="CG26" s="1553"/>
      <c r="CH26" s="1552" t="str">
        <f t="shared" ref="CH26:CH31" si="24">IF(AND($D26&lt;&gt;0,X26=""),"* No olvide ingresar la variable "&amp;X$10&amp;""&amp;". Digite CERO si no tiene.",IF(X26&gt;$D26,"* El Número de No Binarie no puede superar el Total. ",""))</f>
        <v xml:space="preserve">* El Número de No Binarie no puede superar el Total. </v>
      </c>
      <c r="CI26" s="1552" t="str">
        <f t="shared" si="9"/>
        <v xml:space="preserve">* El Número de Personas con discapacidad no puede superar el Total. </v>
      </c>
      <c r="CP26" s="1047">
        <f t="shared" si="10"/>
        <v>1</v>
      </c>
      <c r="CQ26" s="1047">
        <f t="shared" si="11"/>
        <v>1</v>
      </c>
      <c r="CR26" s="1047">
        <f t="shared" si="12"/>
        <v>1</v>
      </c>
      <c r="CS26" s="1047">
        <f t="shared" si="13"/>
        <v>1</v>
      </c>
      <c r="CT26" s="1047">
        <f t="shared" si="14"/>
        <v>1</v>
      </c>
      <c r="CU26" s="1086"/>
      <c r="CV26" s="1047">
        <f t="shared" ref="CV26:CW30" si="25">IF(AND($D26&lt;&gt;0,X26=""),1,IF(X26&gt;$D26,1,0))</f>
        <v>1</v>
      </c>
      <c r="CW26" s="1047">
        <f t="shared" si="25"/>
        <v>1</v>
      </c>
    </row>
    <row r="27" spans="1:101" ht="15" customHeight="1" x14ac:dyDescent="0.2">
      <c r="A27" s="1576" t="s">
        <v>923</v>
      </c>
      <c r="B27" s="1740" t="s">
        <v>91</v>
      </c>
      <c r="C27" s="834" t="s">
        <v>92</v>
      </c>
      <c r="D27" s="273" t="s">
        <v>1616</v>
      </c>
      <c r="E27" s="288" t="s">
        <v>1617</v>
      </c>
      <c r="F27" s="275" t="s">
        <v>1618</v>
      </c>
      <c r="G27" s="275" t="s">
        <v>1619</v>
      </c>
      <c r="H27" s="275" t="s">
        <v>1620</v>
      </c>
      <c r="I27" s="275" t="s">
        <v>1621</v>
      </c>
      <c r="J27" s="275" t="s">
        <v>1622</v>
      </c>
      <c r="K27" s="275" t="s">
        <v>1623</v>
      </c>
      <c r="L27" s="275" t="s">
        <v>1624</v>
      </c>
      <c r="M27" s="275" t="s">
        <v>1625</v>
      </c>
      <c r="N27" s="275" t="s">
        <v>1626</v>
      </c>
      <c r="O27" s="635" t="s">
        <v>1627</v>
      </c>
      <c r="P27" s="635" t="s">
        <v>1628</v>
      </c>
      <c r="Q27" s="824" t="s">
        <v>1629</v>
      </c>
      <c r="R27" s="1021" t="s">
        <v>1630</v>
      </c>
      <c r="S27" s="1026" t="s">
        <v>1631</v>
      </c>
      <c r="T27" s="1027" t="s">
        <v>1632</v>
      </c>
      <c r="U27" s="809" t="s">
        <v>1633</v>
      </c>
      <c r="V27" s="817" t="s">
        <v>1634</v>
      </c>
      <c r="W27" s="1558" t="s">
        <v>1635</v>
      </c>
      <c r="X27" s="809" t="s">
        <v>1636</v>
      </c>
      <c r="Y27" s="809" t="s">
        <v>1637</v>
      </c>
      <c r="Z27" s="1104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27" s="108"/>
      <c r="AB27" s="108"/>
      <c r="AC27" s="108"/>
      <c r="AD27" s="172"/>
      <c r="BK27" s="176"/>
      <c r="BL27" s="176"/>
      <c r="BM27" s="176"/>
      <c r="BN27" s="176"/>
      <c r="BO27" s="176"/>
      <c r="CB27" s="1552" t="str">
        <f t="shared" ref="CB27:CB29" si="26">IF(AND($D27&lt;&gt;0,R27=""),"* No olvide ingresar la variable "&amp;R$9&amp;""&amp;". Digite CERO si no tiene.",IF(R27&gt;$D27,"* El Número de Pueblos Originarios no puede superar el Total. ",""))</f>
        <v xml:space="preserve">* El Número de Pueblos Originarios no puede superar el Total. </v>
      </c>
      <c r="CC27" s="1552" t="str">
        <f t="shared" si="6"/>
        <v xml:space="preserve">* El Número de Migrantes Menor de 20 años no puede superar el Total. </v>
      </c>
      <c r="CD27" s="1552" t="str">
        <f t="shared" ref="CD27:CD31" si="27">IF(AND($D27&gt;0,T27=""),"* No olvide ingresar la variable "&amp;S$9&amp;""&amp;" 20 años y más. Digite CERO si no tiene.",IF(T27&gt;$D27,"* El Número de Migrantes 20 años y más no puede superar el Total. ",""))</f>
        <v xml:space="preserve">* El Número de Migrantes 20 años y más no puede superar el Total. </v>
      </c>
      <c r="CE27" s="1552" t="str">
        <f t="shared" ref="CE27:CE30" si="28">IF(AND($D27&lt;&gt;0,U27=""),"* No olvide ingresar la variable "&amp;U$9&amp;""&amp;". Digite CERO si no tiene.",IF(U27&gt;$D27,"* El Número de PV-VIH (personas viviendo con VIH) no puede superar el Total. ",""))</f>
        <v xml:space="preserve">* El Número de PV-VIH (personas viviendo con VIH) no puede superar el Total. </v>
      </c>
      <c r="CF27" s="1552" t="str">
        <f t="shared" ref="CF27:CF30" si="29">IF(AND($D27&lt;&gt;0,V27=""),"* No olvide ingresar la variable "&amp;V$10&amp;""&amp;". Digite CERO si no tiene.",IF(V27&gt;$D27,"* El Número de Trans masculino no puede superar el Total. ",""))</f>
        <v xml:space="preserve">* El Número de Trans masculino no puede superar el Total. </v>
      </c>
      <c r="CG27" s="1553"/>
      <c r="CH27" s="1552" t="str">
        <f t="shared" si="24"/>
        <v xml:space="preserve">* El Número de No Binarie no puede superar el Total. </v>
      </c>
      <c r="CI27" s="1552" t="str">
        <f t="shared" si="9"/>
        <v xml:space="preserve">* El Número de Personas con discapacidad no puede superar el Total. </v>
      </c>
      <c r="CP27" s="1047">
        <f t="shared" si="10"/>
        <v>1</v>
      </c>
      <c r="CQ27" s="1047">
        <f t="shared" si="11"/>
        <v>1</v>
      </c>
      <c r="CR27" s="1047">
        <f t="shared" si="12"/>
        <v>1</v>
      </c>
      <c r="CS27" s="1047">
        <f t="shared" si="13"/>
        <v>1</v>
      </c>
      <c r="CT27" s="1047">
        <f>IF(AND($D27&lt;&gt;0,$V27=""),1,IF($V27&gt;$D27,1,0))</f>
        <v>1</v>
      </c>
      <c r="CU27" s="1086"/>
      <c r="CV27" s="1047">
        <f t="shared" si="25"/>
        <v>1</v>
      </c>
      <c r="CW27" s="1047">
        <f t="shared" si="25"/>
        <v>1</v>
      </c>
    </row>
    <row r="28" spans="1:101" ht="15" customHeight="1" x14ac:dyDescent="0.2">
      <c r="A28" s="1576" t="s">
        <v>924</v>
      </c>
      <c r="B28" s="1728"/>
      <c r="C28" s="835" t="s">
        <v>93</v>
      </c>
      <c r="D28" s="266" t="s">
        <v>1616</v>
      </c>
      <c r="E28" s="748" t="s">
        <v>1617</v>
      </c>
      <c r="F28" s="270" t="s">
        <v>1618</v>
      </c>
      <c r="G28" s="270" t="s">
        <v>1619</v>
      </c>
      <c r="H28" s="270" t="s">
        <v>1620</v>
      </c>
      <c r="I28" s="270" t="s">
        <v>1621</v>
      </c>
      <c r="J28" s="270" t="s">
        <v>1622</v>
      </c>
      <c r="K28" s="270" t="s">
        <v>1623</v>
      </c>
      <c r="L28" s="270" t="s">
        <v>1624</v>
      </c>
      <c r="M28" s="270" t="s">
        <v>1625</v>
      </c>
      <c r="N28" s="270" t="s">
        <v>1626</v>
      </c>
      <c r="O28" s="634" t="s">
        <v>1627</v>
      </c>
      <c r="P28" s="634" t="s">
        <v>1628</v>
      </c>
      <c r="Q28" s="271" t="s">
        <v>1629</v>
      </c>
      <c r="R28" s="1022" t="s">
        <v>1630</v>
      </c>
      <c r="S28" s="1009" t="s">
        <v>1631</v>
      </c>
      <c r="T28" s="1028" t="s">
        <v>1632</v>
      </c>
      <c r="U28" s="812" t="s">
        <v>1633</v>
      </c>
      <c r="V28" s="818" t="s">
        <v>1634</v>
      </c>
      <c r="W28" s="1559" t="s">
        <v>1635</v>
      </c>
      <c r="X28" s="812" t="s">
        <v>1636</v>
      </c>
      <c r="Y28" s="812" t="s">
        <v>1637</v>
      </c>
      <c r="Z28" s="1104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28" s="108"/>
      <c r="AB28" s="108"/>
      <c r="AC28" s="108"/>
      <c r="AD28" s="172"/>
      <c r="BK28" s="176"/>
      <c r="BL28" s="176"/>
      <c r="BM28" s="176"/>
      <c r="BN28" s="176"/>
      <c r="BO28" s="176"/>
      <c r="CB28" s="1552" t="str">
        <f t="shared" si="26"/>
        <v xml:space="preserve">* El Número de Pueblos Originarios no puede superar el Total. </v>
      </c>
      <c r="CC28" s="1552" t="str">
        <f t="shared" si="6"/>
        <v xml:space="preserve">* El Número de Migrantes Menor de 20 años no puede superar el Total. </v>
      </c>
      <c r="CD28" s="1552" t="str">
        <f t="shared" si="27"/>
        <v xml:space="preserve">* El Número de Migrantes 20 años y más no puede superar el Total. </v>
      </c>
      <c r="CE28" s="1552" t="str">
        <f t="shared" si="28"/>
        <v xml:space="preserve">* El Número de PV-VIH (personas viviendo con VIH) no puede superar el Total. </v>
      </c>
      <c r="CF28" s="1552" t="str">
        <f t="shared" si="29"/>
        <v xml:space="preserve">* El Número de Trans masculino no puede superar el Total. </v>
      </c>
      <c r="CG28" s="1553"/>
      <c r="CH28" s="1552" t="str">
        <f t="shared" si="24"/>
        <v xml:space="preserve">* El Número de No Binarie no puede superar el Total. </v>
      </c>
      <c r="CI28" s="1552" t="str">
        <f t="shared" si="9"/>
        <v xml:space="preserve">* El Número de Personas con discapacidad no puede superar el Total. </v>
      </c>
      <c r="CP28" s="1047">
        <f t="shared" si="10"/>
        <v>1</v>
      </c>
      <c r="CQ28" s="1047">
        <f t="shared" si="11"/>
        <v>1</v>
      </c>
      <c r="CR28" s="1047">
        <f t="shared" si="12"/>
        <v>1</v>
      </c>
      <c r="CS28" s="1047">
        <f t="shared" si="13"/>
        <v>1</v>
      </c>
      <c r="CT28" s="1047">
        <f t="shared" si="14"/>
        <v>1</v>
      </c>
      <c r="CU28" s="1086"/>
      <c r="CV28" s="1047">
        <f t="shared" si="25"/>
        <v>1</v>
      </c>
      <c r="CW28" s="1047">
        <f t="shared" si="25"/>
        <v>1</v>
      </c>
    </row>
    <row r="29" spans="1:101" ht="15" customHeight="1" x14ac:dyDescent="0.2">
      <c r="A29" s="1576" t="s">
        <v>925</v>
      </c>
      <c r="B29" s="1727" t="s">
        <v>94</v>
      </c>
      <c r="C29" s="836" t="s">
        <v>92</v>
      </c>
      <c r="D29" s="260" t="s">
        <v>1616</v>
      </c>
      <c r="E29" s="261" t="s">
        <v>1617</v>
      </c>
      <c r="F29" s="263" t="s">
        <v>1618</v>
      </c>
      <c r="G29" s="263" t="s">
        <v>1619</v>
      </c>
      <c r="H29" s="263" t="s">
        <v>1620</v>
      </c>
      <c r="I29" s="263" t="s">
        <v>1621</v>
      </c>
      <c r="J29" s="263" t="s">
        <v>1622</v>
      </c>
      <c r="K29" s="263" t="s">
        <v>1623</v>
      </c>
      <c r="L29" s="263" t="s">
        <v>1624</v>
      </c>
      <c r="M29" s="263" t="s">
        <v>1625</v>
      </c>
      <c r="N29" s="263" t="s">
        <v>1626</v>
      </c>
      <c r="O29" s="633" t="s">
        <v>1627</v>
      </c>
      <c r="P29" s="633" t="s">
        <v>1628</v>
      </c>
      <c r="Q29" s="823" t="s">
        <v>1629</v>
      </c>
      <c r="R29" s="1023" t="s">
        <v>1630</v>
      </c>
      <c r="S29" s="1029" t="s">
        <v>1631</v>
      </c>
      <c r="T29" s="1030" t="s">
        <v>1632</v>
      </c>
      <c r="U29" s="813" t="s">
        <v>1633</v>
      </c>
      <c r="V29" s="819" t="s">
        <v>1634</v>
      </c>
      <c r="W29" s="1560" t="s">
        <v>1635</v>
      </c>
      <c r="X29" s="813" t="s">
        <v>1636</v>
      </c>
      <c r="Y29" s="813" t="s">
        <v>1637</v>
      </c>
      <c r="Z29" s="1104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29" s="108"/>
      <c r="AB29" s="108"/>
      <c r="AC29" s="108"/>
      <c r="AD29" s="172"/>
      <c r="BK29" s="176"/>
      <c r="BL29" s="176"/>
      <c r="BM29" s="176"/>
      <c r="BN29" s="176"/>
      <c r="BO29" s="176"/>
      <c r="CB29" s="1552" t="str">
        <f t="shared" si="26"/>
        <v xml:space="preserve">* El Número de Pueblos Originarios no puede superar el Total. </v>
      </c>
      <c r="CC29" s="1552" t="str">
        <f t="shared" si="6"/>
        <v xml:space="preserve">* El Número de Migrantes Menor de 20 años no puede superar el Total. </v>
      </c>
      <c r="CD29" s="1552" t="str">
        <f t="shared" si="27"/>
        <v xml:space="preserve">* El Número de Migrantes 20 años y más no puede superar el Total. </v>
      </c>
      <c r="CE29" s="1552" t="str">
        <f t="shared" si="28"/>
        <v xml:space="preserve">* El Número de PV-VIH (personas viviendo con VIH) no puede superar el Total. </v>
      </c>
      <c r="CF29" s="1552" t="str">
        <f t="shared" si="29"/>
        <v xml:space="preserve">* El Número de Trans masculino no puede superar el Total. </v>
      </c>
      <c r="CG29" s="1553"/>
      <c r="CH29" s="1552" t="str">
        <f t="shared" si="24"/>
        <v xml:space="preserve">* El Número de No Binarie no puede superar el Total. </v>
      </c>
      <c r="CI29" s="1552" t="str">
        <f t="shared" si="9"/>
        <v xml:space="preserve">* El Número de Personas con discapacidad no puede superar el Total. </v>
      </c>
      <c r="CP29" s="1047">
        <f t="shared" si="10"/>
        <v>1</v>
      </c>
      <c r="CQ29" s="1047">
        <f t="shared" si="11"/>
        <v>1</v>
      </c>
      <c r="CR29" s="1047">
        <f t="shared" si="12"/>
        <v>1</v>
      </c>
      <c r="CS29" s="1047">
        <f t="shared" si="13"/>
        <v>1</v>
      </c>
      <c r="CT29" s="1047">
        <f t="shared" si="14"/>
        <v>1</v>
      </c>
      <c r="CU29" s="1086"/>
      <c r="CV29" s="1047">
        <f t="shared" si="25"/>
        <v>1</v>
      </c>
      <c r="CW29" s="1047">
        <f t="shared" si="25"/>
        <v>1</v>
      </c>
    </row>
    <row r="30" spans="1:101" ht="15" customHeight="1" x14ac:dyDescent="0.2">
      <c r="A30" s="1576" t="s">
        <v>926</v>
      </c>
      <c r="B30" s="1728"/>
      <c r="C30" s="835" t="s">
        <v>93</v>
      </c>
      <c r="D30" s="266" t="s">
        <v>1616</v>
      </c>
      <c r="E30" s="748" t="s">
        <v>1617</v>
      </c>
      <c r="F30" s="270" t="s">
        <v>1618</v>
      </c>
      <c r="G30" s="270" t="s">
        <v>1619</v>
      </c>
      <c r="H30" s="270" t="s">
        <v>1620</v>
      </c>
      <c r="I30" s="270" t="s">
        <v>1621</v>
      </c>
      <c r="J30" s="270" t="s">
        <v>1622</v>
      </c>
      <c r="K30" s="270" t="s">
        <v>1623</v>
      </c>
      <c r="L30" s="270" t="s">
        <v>1624</v>
      </c>
      <c r="M30" s="270" t="s">
        <v>1625</v>
      </c>
      <c r="N30" s="270" t="s">
        <v>1626</v>
      </c>
      <c r="O30" s="634" t="s">
        <v>1627</v>
      </c>
      <c r="P30" s="634" t="s">
        <v>1628</v>
      </c>
      <c r="Q30" s="271" t="s">
        <v>1629</v>
      </c>
      <c r="R30" s="1022" t="s">
        <v>1630</v>
      </c>
      <c r="S30" s="1009" t="s">
        <v>1631</v>
      </c>
      <c r="T30" s="1028" t="s">
        <v>1632</v>
      </c>
      <c r="U30" s="812" t="s">
        <v>1633</v>
      </c>
      <c r="V30" s="818" t="s">
        <v>1634</v>
      </c>
      <c r="W30" s="1559" t="s">
        <v>1635</v>
      </c>
      <c r="X30" s="812" t="s">
        <v>1636</v>
      </c>
      <c r="Y30" s="812" t="s">
        <v>1637</v>
      </c>
      <c r="Z30" s="1104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30" s="108"/>
      <c r="AB30" s="108"/>
      <c r="AC30" s="108"/>
      <c r="AD30" s="172"/>
      <c r="BK30" s="176"/>
      <c r="BL30" s="176"/>
      <c r="BM30" s="176"/>
      <c r="BN30" s="176"/>
      <c r="BO30" s="176"/>
      <c r="CB30" s="1552" t="str">
        <f>IF(AND($D30&lt;&gt;0,R30=""),"* No olvide ingresar la variable "&amp;R$9&amp;""&amp;". Digite CERO si no tiene.",IF(R30&gt;$D30,"* El Número de Pueblos Originarios no puede superar el Total. ",""))</f>
        <v xml:space="preserve">* El Número de Pueblos Originarios no puede superar el Total. </v>
      </c>
      <c r="CC30" s="1552" t="str">
        <f t="shared" si="6"/>
        <v xml:space="preserve">* El Número de Migrantes Menor de 20 años no puede superar el Total. </v>
      </c>
      <c r="CD30" s="1552" t="str">
        <f t="shared" si="27"/>
        <v xml:space="preserve">* El Número de Migrantes 20 años y más no puede superar el Total. </v>
      </c>
      <c r="CE30" s="1552" t="str">
        <f t="shared" si="28"/>
        <v xml:space="preserve">* El Número de PV-VIH (personas viviendo con VIH) no puede superar el Total. </v>
      </c>
      <c r="CF30" s="1552" t="str">
        <f t="shared" si="29"/>
        <v xml:space="preserve">* El Número de Trans masculino no puede superar el Total. </v>
      </c>
      <c r="CG30" s="1553"/>
      <c r="CH30" s="1552" t="str">
        <f t="shared" si="24"/>
        <v xml:space="preserve">* El Número de No Binarie no puede superar el Total. </v>
      </c>
      <c r="CI30" s="1552" t="str">
        <f t="shared" si="9"/>
        <v xml:space="preserve">* El Número de Personas con discapacidad no puede superar el Total. </v>
      </c>
      <c r="CP30" s="1047">
        <f t="shared" si="10"/>
        <v>1</v>
      </c>
      <c r="CQ30" s="1047">
        <f t="shared" si="11"/>
        <v>1</v>
      </c>
      <c r="CR30" s="1047">
        <f t="shared" si="12"/>
        <v>1</v>
      </c>
      <c r="CS30" s="1047">
        <f t="shared" si="13"/>
        <v>1</v>
      </c>
      <c r="CT30" s="1047">
        <f t="shared" si="14"/>
        <v>1</v>
      </c>
      <c r="CU30" s="1086"/>
      <c r="CV30" s="1047">
        <f t="shared" si="25"/>
        <v>1</v>
      </c>
      <c r="CW30" s="1047">
        <f t="shared" si="25"/>
        <v>1</v>
      </c>
    </row>
    <row r="31" spans="1:101" ht="15" customHeight="1" x14ac:dyDescent="0.2">
      <c r="A31" s="1576" t="s">
        <v>927</v>
      </c>
      <c r="B31" s="1720" t="s">
        <v>95</v>
      </c>
      <c r="C31" s="1721"/>
      <c r="D31" s="1409" t="s">
        <v>1616</v>
      </c>
      <c r="E31" s="1410" t="s">
        <v>1617</v>
      </c>
      <c r="F31" s="810" t="s">
        <v>1618</v>
      </c>
      <c r="G31" s="810" t="s">
        <v>1619</v>
      </c>
      <c r="H31" s="810" t="s">
        <v>1620</v>
      </c>
      <c r="I31" s="810" t="s">
        <v>1621</v>
      </c>
      <c r="J31" s="810" t="s">
        <v>1622</v>
      </c>
      <c r="K31" s="810" t="s">
        <v>1623</v>
      </c>
      <c r="L31" s="810" t="s">
        <v>1624</v>
      </c>
      <c r="M31" s="810" t="s">
        <v>1625</v>
      </c>
      <c r="N31" s="810" t="s">
        <v>1626</v>
      </c>
      <c r="O31" s="811" t="s">
        <v>1627</v>
      </c>
      <c r="P31" s="811" t="s">
        <v>1628</v>
      </c>
      <c r="Q31" s="1411" t="s">
        <v>1629</v>
      </c>
      <c r="R31" s="1024" t="s">
        <v>1630</v>
      </c>
      <c r="S31" s="1410" t="s">
        <v>1631</v>
      </c>
      <c r="T31" s="1412" t="s">
        <v>1632</v>
      </c>
      <c r="U31" s="1412" t="s">
        <v>1633</v>
      </c>
      <c r="V31" s="1413" t="s">
        <v>1634</v>
      </c>
      <c r="W31" s="1561" t="s">
        <v>1635</v>
      </c>
      <c r="X31" s="814" t="s">
        <v>1636</v>
      </c>
      <c r="Y31" s="814" t="s">
        <v>1637</v>
      </c>
      <c r="Z31" s="1104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31" s="108"/>
      <c r="AB31" s="108"/>
      <c r="AC31" s="108"/>
      <c r="AD31" s="172"/>
      <c r="BK31" s="176"/>
      <c r="BL31" s="176"/>
      <c r="BM31" s="176"/>
      <c r="BN31" s="176"/>
      <c r="BO31" s="176"/>
      <c r="CB31" s="1552" t="str">
        <f>IF(AND($D31&lt;&gt;0,R31=""),"* No olvide ingresar la variable "&amp;R$9&amp;""&amp;". Digite CERO si no tiene.",IF(R31&gt;$D31,"* El Número de Pueblos Originarios no puede superar el Total. ",""))</f>
        <v xml:space="preserve">* El Número de Pueblos Originarios no puede superar el Total. </v>
      </c>
      <c r="CC31" s="1552" t="str">
        <f t="shared" si="6"/>
        <v xml:space="preserve">* El Número de Migrantes Menor de 20 años no puede superar el Total. </v>
      </c>
      <c r="CD31" s="1552" t="str">
        <f t="shared" si="27"/>
        <v xml:space="preserve">* El Número de Migrantes 20 años y más no puede superar el Total. </v>
      </c>
      <c r="CE31" s="1552" t="str">
        <f t="shared" ref="CE31" si="30">IF(AND($D31&lt;&gt;0,U31=""),"* No olvide ingresar la variable "&amp;U$9&amp;""&amp;". Digite CERO si no tiene.",IF(U31&gt;$D31,"* El Número de PV-VIH (personas viviendo con VIH) no puede superar el Total. ",""))</f>
        <v xml:space="preserve">* El Número de PV-VIH (personas viviendo con VIH) no puede superar el Total. </v>
      </c>
      <c r="CF31" s="1552" t="str">
        <f t="shared" ref="CF31" si="31">IF(AND($D31&lt;&gt;0,V31=""),"* No olvide ingresar la variable "&amp;V$10&amp;""&amp;". Digite CERO si no tiene.",IF(V31&gt;$D31,"* El Número de Trans masculino no puede superar el Total. ",""))</f>
        <v xml:space="preserve">* El Número de Trans masculino no puede superar el Total. </v>
      </c>
      <c r="CG31" s="1553"/>
      <c r="CH31" s="1552" t="str">
        <f t="shared" si="24"/>
        <v xml:space="preserve">* El Número de No Binarie no puede superar el Total. </v>
      </c>
      <c r="CI31" s="1552" t="str">
        <f t="shared" ref="CI31" si="32">IF(AND($D31&lt;&gt;0,Y31=""),"* No olvide ingresar la variable "&amp;Y$9&amp;""&amp;". Digite CERO si no tiene.",IF(Y31&gt;$D31,"* El Número de Personas con discapacidad no puede superar el Total. ",""))</f>
        <v xml:space="preserve">* El Número de Personas con discapacidad no puede superar el Total. </v>
      </c>
    </row>
    <row r="32" spans="1:101" ht="17.100000000000001" customHeight="1" x14ac:dyDescent="0.15">
      <c r="B32" s="1659" t="s">
        <v>96</v>
      </c>
      <c r="C32" s="1660"/>
      <c r="D32" s="1660"/>
      <c r="E32" s="1660"/>
      <c r="F32" s="1660"/>
      <c r="G32" s="1660"/>
      <c r="H32" s="1660"/>
      <c r="I32" s="1660"/>
      <c r="J32" s="1660"/>
      <c r="K32" s="1660"/>
      <c r="L32" s="1660"/>
      <c r="M32" s="1660"/>
      <c r="N32" s="1660"/>
      <c r="O32" s="1223"/>
      <c r="P32" s="1223"/>
      <c r="Q32" s="1223"/>
      <c r="R32" s="1223"/>
      <c r="S32" s="1223"/>
      <c r="T32" s="1223"/>
      <c r="Z32" s="108"/>
    </row>
    <row r="33" spans="1:101" ht="15" customHeight="1" x14ac:dyDescent="0.15">
      <c r="B33" s="1672" t="s">
        <v>48</v>
      </c>
      <c r="C33" s="1673"/>
      <c r="D33" s="1741" t="s">
        <v>49</v>
      </c>
      <c r="E33" s="1724" t="s">
        <v>50</v>
      </c>
      <c r="F33" s="1725"/>
      <c r="G33" s="1725"/>
      <c r="H33" s="1725"/>
      <c r="I33" s="1725"/>
      <c r="J33" s="1725"/>
      <c r="K33" s="1725"/>
      <c r="L33" s="1725"/>
      <c r="M33" s="1725"/>
      <c r="N33" s="1725"/>
      <c r="O33" s="1725"/>
      <c r="P33" s="1725"/>
      <c r="Q33" s="1726"/>
      <c r="R33" s="1678" t="s">
        <v>51</v>
      </c>
      <c r="S33" s="1700" t="s">
        <v>52</v>
      </c>
      <c r="T33" s="1702"/>
      <c r="U33" s="1705" t="s">
        <v>53</v>
      </c>
      <c r="V33" s="1700" t="s">
        <v>54</v>
      </c>
      <c r="W33" s="1701"/>
      <c r="X33" s="1702"/>
      <c r="Y33" s="1707" t="s">
        <v>55</v>
      </c>
      <c r="Z33" s="108"/>
      <c r="BK33" s="176"/>
    </row>
    <row r="34" spans="1:101" ht="24" customHeight="1" x14ac:dyDescent="0.15">
      <c r="B34" s="1674"/>
      <c r="C34" s="1675"/>
      <c r="D34" s="1742"/>
      <c r="E34" s="1403" t="s">
        <v>56</v>
      </c>
      <c r="F34" s="820" t="s">
        <v>57</v>
      </c>
      <c r="G34" s="820" t="s">
        <v>58</v>
      </c>
      <c r="H34" s="821" t="s">
        <v>59</v>
      </c>
      <c r="I34" s="821" t="s">
        <v>60</v>
      </c>
      <c r="J34" s="821" t="s">
        <v>61</v>
      </c>
      <c r="K34" s="821" t="s">
        <v>62</v>
      </c>
      <c r="L34" s="821" t="s">
        <v>63</v>
      </c>
      <c r="M34" s="821" t="s">
        <v>64</v>
      </c>
      <c r="N34" s="1007" t="s">
        <v>65</v>
      </c>
      <c r="O34" s="821" t="s">
        <v>66</v>
      </c>
      <c r="P34" s="821" t="s">
        <v>67</v>
      </c>
      <c r="Q34" s="125" t="s">
        <v>68</v>
      </c>
      <c r="R34" s="1679"/>
      <c r="S34" s="1308" t="s">
        <v>69</v>
      </c>
      <c r="T34" s="1306" t="s">
        <v>70</v>
      </c>
      <c r="U34" s="1706"/>
      <c r="V34" s="1405" t="s">
        <v>71</v>
      </c>
      <c r="W34" s="1309" t="s">
        <v>72</v>
      </c>
      <c r="X34" s="1319" t="s">
        <v>73</v>
      </c>
      <c r="Y34" s="1708"/>
      <c r="Z34" s="108"/>
      <c r="BK34" s="176"/>
    </row>
    <row r="35" spans="1:101" ht="15" customHeight="1" x14ac:dyDescent="0.2">
      <c r="A35" s="1576" t="s">
        <v>928</v>
      </c>
      <c r="B35" s="1668" t="s">
        <v>97</v>
      </c>
      <c r="C35" s="39" t="s">
        <v>85</v>
      </c>
      <c r="D35" s="260" t="s">
        <v>1616</v>
      </c>
      <c r="E35" s="261" t="s">
        <v>1617</v>
      </c>
      <c r="F35" s="263" t="s">
        <v>1618</v>
      </c>
      <c r="G35" s="263" t="s">
        <v>1619</v>
      </c>
      <c r="H35" s="263" t="s">
        <v>1620</v>
      </c>
      <c r="I35" s="263" t="s">
        <v>1621</v>
      </c>
      <c r="J35" s="263" t="s">
        <v>1622</v>
      </c>
      <c r="K35" s="263" t="s">
        <v>1623</v>
      </c>
      <c r="L35" s="263" t="s">
        <v>1624</v>
      </c>
      <c r="M35" s="263" t="s">
        <v>1625</v>
      </c>
      <c r="N35" s="263" t="s">
        <v>1626</v>
      </c>
      <c r="O35" s="263" t="s">
        <v>1627</v>
      </c>
      <c r="P35" s="263" t="s">
        <v>1628</v>
      </c>
      <c r="Q35" s="578" t="s">
        <v>1629</v>
      </c>
      <c r="R35" s="295" t="s">
        <v>1630</v>
      </c>
      <c r="S35" s="261" t="s">
        <v>1631</v>
      </c>
      <c r="T35" s="309" t="s">
        <v>1632</v>
      </c>
      <c r="U35" s="265" t="s">
        <v>1633</v>
      </c>
      <c r="V35" s="261" t="s">
        <v>1634</v>
      </c>
      <c r="W35" s="633" t="s">
        <v>1635</v>
      </c>
      <c r="X35" s="309" t="s">
        <v>1636</v>
      </c>
      <c r="Y35" s="299" t="s">
        <v>1637</v>
      </c>
      <c r="Z35" s="108" t="e">
        <f>$CB35&amp;CC35&amp;CD35&amp;CE35&amp;CF35&amp;CG35&amp;CH35&amp;CI35</f>
        <v>#VALUE!</v>
      </c>
      <c r="BK35" s="176"/>
      <c r="CB35" s="191" t="str">
        <f>IF(AND($D35&lt;&gt;0,R35=""),"* No olvide ingresar la variable "&amp;R$33&amp;""&amp;". Digite CERO si no tiene.",IF(R35&gt;$D35,"* El Número de Pueblos Originarios no puede superar el Total. ",""))</f>
        <v xml:space="preserve">* El Número de Pueblos Originarios no puede superar el Total. </v>
      </c>
      <c r="CC35" s="191" t="e">
        <f>IF(AND($E35+$F35&gt;0,S35=""),"* No olvide ingresar la variable "&amp;S$33&amp;""&amp;" Menor de 20 años. Digite CERO si no tiene.",IF(S35&gt;$E35+F35,"* El Número de Migrantes Menor de 20 años. no puede superar la suma de los rangos de edad menor de 15 años +15 a 19 años. ",""))</f>
        <v>#VALUE!</v>
      </c>
      <c r="CD35" s="191" t="e">
        <f>IF(AND($G35+H35+I35+J35+K35+L35+M35+N35+O35+P35+Q35&lt;&gt;0,T35=""),"* No olvide ingresar la variable "&amp;S$33&amp;""&amp;" 20 años y más. Digite CERO si no tiene.",IF(T35&gt;$G35+H35+I35+J35+K35+L35+M35+N35+O35+P35+Q35,"* El Número de Migrantes 20 años y más. no puede superar La suma de los rangos de 20 años y más. ",""))</f>
        <v>#VALUE!</v>
      </c>
      <c r="CE35" s="191" t="str">
        <f t="shared" ref="CE35:CE40" si="33">IF(AND($D35&lt;&gt;0,U35=""),"* No olvide ingresar la variable "&amp;U$33&amp;""&amp;". Digite CERO si no tiene.",IF(U35&gt;$D35,"* El Número de PV-VIH (personas viviendo con VIH) no puede superar el Total. ",""))</f>
        <v xml:space="preserve">* El Número de PV-VIH (personas viviendo con VIH) no puede superar el Total. </v>
      </c>
      <c r="CF35" s="191" t="str">
        <f>IF(AND($D35&lt;&gt;0,V35=""),"* No olvide ingresar la variable "&amp;V$34&amp;""&amp;". Digite CERO si no tiene.",IF(V35&gt;$D35,"* El Número de Trans masculino no puede superar el Total. ",""))</f>
        <v xml:space="preserve">* El Número de Trans masculino no puede superar el Total. </v>
      </c>
      <c r="CG35" s="1086"/>
      <c r="CH35" s="191" t="str">
        <f t="shared" ref="CH35:CH40" si="34">IF(AND($D35&lt;&gt;0,X35=""),"* No olvide ingresar la variable "&amp;X$10&amp;""&amp;". Digite CERO si no tiene.",IF(X35&gt;$D35,"* El Número de No Binarie no puede superar el Total. ",""))</f>
        <v xml:space="preserve">* El Número de No Binarie no puede superar el Total. </v>
      </c>
      <c r="CI35" s="191" t="str">
        <f t="shared" ref="CI35:CI40" si="35">IF(AND($D35&lt;&gt;0,Y35=""),"* No olvide ingresar la variable "&amp;Y$33&amp;""&amp;". Digite CERO si no tiene.",IF(Y35&gt;$D35,"* El Número de Personas con discapacidad no puede superar el Total. ",""))</f>
        <v xml:space="preserve">* El Número de Personas con discapacidad no puede superar el Total. </v>
      </c>
      <c r="CP35" s="1047">
        <f>IF(AND($D35&lt;&gt;0,$R35=""),1,IF($R35&gt;$D35,1,0))</f>
        <v>1</v>
      </c>
      <c r="CQ35" s="1047">
        <f>IF(AND($D35&lt;&gt;0,$S35=""),1,IF($S35&gt;$D35,1,0))</f>
        <v>1</v>
      </c>
      <c r="CR35" s="1047">
        <f>IF(AND($D35&lt;&gt;0,$T35=""),1,IF($T35&gt;$D35,1,0))</f>
        <v>1</v>
      </c>
      <c r="CS35" s="1047">
        <f>IF(AND($D35&lt;&gt;0,$U35=""),1,IF($U35&gt;$D35,1,0))</f>
        <v>1</v>
      </c>
      <c r="CT35" s="1047">
        <f>IF(AND($D35&lt;&gt;0,$V35=""),1,IF($V35&gt;$D35,1,0))</f>
        <v>1</v>
      </c>
      <c r="CU35" s="1086"/>
      <c r="CV35" s="1047">
        <f t="shared" ref="CV35:CW40" si="36">IF(AND($D35&lt;&gt;0,X35=""),1,IF(X35&gt;$D35,1,0))</f>
        <v>1</v>
      </c>
      <c r="CW35" s="1047">
        <f t="shared" si="36"/>
        <v>1</v>
      </c>
    </row>
    <row r="36" spans="1:101" ht="15" customHeight="1" x14ac:dyDescent="0.2">
      <c r="A36" s="1576" t="s">
        <v>929</v>
      </c>
      <c r="B36" s="1669"/>
      <c r="C36" s="604" t="s">
        <v>86</v>
      </c>
      <c r="D36" s="1368" t="s">
        <v>1616</v>
      </c>
      <c r="E36" s="749" t="s">
        <v>1617</v>
      </c>
      <c r="F36" s="286" t="s">
        <v>1618</v>
      </c>
      <c r="G36" s="286" t="s">
        <v>1619</v>
      </c>
      <c r="H36" s="286" t="s">
        <v>1620</v>
      </c>
      <c r="I36" s="286" t="s">
        <v>1621</v>
      </c>
      <c r="J36" s="286" t="s">
        <v>1622</v>
      </c>
      <c r="K36" s="286" t="s">
        <v>1623</v>
      </c>
      <c r="L36" s="286" t="s">
        <v>1624</v>
      </c>
      <c r="M36" s="286" t="s">
        <v>1625</v>
      </c>
      <c r="N36" s="286" t="s">
        <v>1626</v>
      </c>
      <c r="O36" s="286" t="s">
        <v>1627</v>
      </c>
      <c r="P36" s="286" t="s">
        <v>1628</v>
      </c>
      <c r="Q36" s="579" t="s">
        <v>1629</v>
      </c>
      <c r="R36" s="1018" t="s">
        <v>1630</v>
      </c>
      <c r="S36" s="749" t="s">
        <v>1631</v>
      </c>
      <c r="T36" s="688" t="s">
        <v>1632</v>
      </c>
      <c r="U36" s="287" t="s">
        <v>1633</v>
      </c>
      <c r="V36" s="1562" t="s">
        <v>1634</v>
      </c>
      <c r="W36" s="286" t="s">
        <v>1635</v>
      </c>
      <c r="X36" s="688" t="s">
        <v>1636</v>
      </c>
      <c r="Y36" s="1369" t="s">
        <v>1637</v>
      </c>
      <c r="Z36" s="108" t="str">
        <f>$CB36&amp;CC36&amp;CE36&amp;CF36&amp;CG36&amp;CH36&amp;CI36</f>
        <v xml:space="preserve">* El Número de Pueblos Originarios no puede superar el Total. * El Número de Migrantes Menor de 20 años. no puede superar el Total. * El Número de PV-VIH (personas viviendo con VIH) no puede superar el Total. * El Número de Trans femenino no puede superar el Total. * El Número de No Binarie no puede superar el Total. * El Número de Personas con discapacidad no puede superar el Total. </v>
      </c>
      <c r="BK36" s="176"/>
      <c r="CB36" s="191" t="str">
        <f t="shared" ref="CB36:CB40" si="37">IF(AND($D36&lt;&gt;0,R36=""),"* No olvide ingresar la variable "&amp;R$33&amp;""&amp;". Digite CERO si no tiene.",IF(R36&gt;$D36,"* El Número de Pueblos Originarios no puede superar el Total. ",""))</f>
        <v xml:space="preserve">* El Número de Pueblos Originarios no puede superar el Total. </v>
      </c>
      <c r="CC36" s="191" t="str">
        <f t="shared" ref="CC36:CC40" si="38">IF(AND($D36&lt;&gt;0,S36=""),"* No olvide ingresar la variable "&amp;S$33&amp;""&amp;" Menor de 20 años. Digite CERO si no tiene.",IF(S36&gt;$D36,"* El Número de Migrantes Menor de 20 años. no puede superar el Total. ",""))</f>
        <v xml:space="preserve">* El Número de Migrantes Menor de 20 años. no puede superar el Total. </v>
      </c>
      <c r="CD36" s="191" t="str">
        <f t="shared" ref="CD36:CD40" si="39">IF(AND($D36&lt;&gt;0,T36=""),"* No olvide ingresar la variable "&amp;S$33&amp;""&amp;" 20 años y más. Digite CERO si no tiene.",IF(T36&gt;$D36,"* El Número de Migrantes 20 años y más. no puede superar el Total. ",""))</f>
        <v xml:space="preserve">* El Número de Migrantes 20 años y más. no puede superar el Total. </v>
      </c>
      <c r="CE36" s="191" t="str">
        <f t="shared" si="33"/>
        <v xml:space="preserve">* El Número de PV-VIH (personas viviendo con VIH) no puede superar el Total. </v>
      </c>
      <c r="CF36" s="1086"/>
      <c r="CG36" s="191" t="str">
        <f>IF(AND($D36&lt;&gt;0,W36=""),"* No olvide ingresar la variable "&amp;W$34&amp;""&amp;". Digite CERO si no tiene.",IF(W36&gt;$D36,"* El Número de Trans femenino no puede superar el Total. ",""))</f>
        <v xml:space="preserve">* El Número de Trans femenino no puede superar el Total. </v>
      </c>
      <c r="CH36" s="191" t="str">
        <f t="shared" si="34"/>
        <v xml:space="preserve">* El Número de No Binarie no puede superar el Total. </v>
      </c>
      <c r="CI36" s="191" t="str">
        <f t="shared" si="35"/>
        <v xml:space="preserve">* El Número de Personas con discapacidad no puede superar el Total. </v>
      </c>
      <c r="CP36" s="1047">
        <f t="shared" ref="CP36:CP40" si="40">IF(AND($D36&lt;&gt;0,$R36=""),1,IF($R36&gt;$D36,1,0))</f>
        <v>1</v>
      </c>
      <c r="CQ36" s="1047">
        <f t="shared" ref="CQ36:CQ40" si="41">IF(AND($D36&lt;&gt;0,$S36=""),1,IF($S36&gt;$D36,1,0))</f>
        <v>1</v>
      </c>
      <c r="CR36" s="1047">
        <f t="shared" ref="CR36:CR40" si="42">IF(AND($D36&lt;&gt;0,$T36=""),1,IF($T36&gt;$D36,1,0))</f>
        <v>1</v>
      </c>
      <c r="CS36" s="1047">
        <f t="shared" ref="CS36:CS40" si="43">IF(AND($D36&lt;&gt;0,$U36=""),1,IF($U36&gt;$D36,1,0))</f>
        <v>1</v>
      </c>
      <c r="CT36" s="1086"/>
      <c r="CU36" s="1047">
        <f>IF(AND($D36&lt;&gt;0,W36=""),1,IF(W36&gt;$D36,1,0))</f>
        <v>1</v>
      </c>
      <c r="CV36" s="1047">
        <f t="shared" si="36"/>
        <v>1</v>
      </c>
      <c r="CW36" s="1047">
        <f t="shared" si="36"/>
        <v>1</v>
      </c>
    </row>
    <row r="37" spans="1:101" ht="15" customHeight="1" x14ac:dyDescent="0.2">
      <c r="A37" s="1576" t="s">
        <v>930</v>
      </c>
      <c r="B37" s="1668" t="s">
        <v>98</v>
      </c>
      <c r="C37" s="39" t="s">
        <v>85</v>
      </c>
      <c r="D37" s="260" t="s">
        <v>1616</v>
      </c>
      <c r="E37" s="261" t="s">
        <v>1617</v>
      </c>
      <c r="F37" s="263" t="s">
        <v>1618</v>
      </c>
      <c r="G37" s="263" t="s">
        <v>1619</v>
      </c>
      <c r="H37" s="263" t="s">
        <v>1620</v>
      </c>
      <c r="I37" s="263" t="s">
        <v>1621</v>
      </c>
      <c r="J37" s="263" t="s">
        <v>1622</v>
      </c>
      <c r="K37" s="263" t="s">
        <v>1623</v>
      </c>
      <c r="L37" s="263" t="s">
        <v>1624</v>
      </c>
      <c r="M37" s="263" t="s">
        <v>1625</v>
      </c>
      <c r="N37" s="263" t="s">
        <v>1626</v>
      </c>
      <c r="O37" s="263" t="s">
        <v>1627</v>
      </c>
      <c r="P37" s="263" t="s">
        <v>1628</v>
      </c>
      <c r="Q37" s="578" t="s">
        <v>1629</v>
      </c>
      <c r="R37" s="295" t="s">
        <v>1630</v>
      </c>
      <c r="S37" s="261" t="s">
        <v>1631</v>
      </c>
      <c r="T37" s="309" t="s">
        <v>1632</v>
      </c>
      <c r="U37" s="265" t="s">
        <v>1633</v>
      </c>
      <c r="V37" s="261" t="s">
        <v>1634</v>
      </c>
      <c r="W37" s="633" t="s">
        <v>1635</v>
      </c>
      <c r="X37" s="309" t="s">
        <v>1636</v>
      </c>
      <c r="Y37" s="299" t="s">
        <v>1637</v>
      </c>
      <c r="Z37" s="108" t="str">
        <f>$CB37&amp;CC37&amp;CE37&amp;CF37&amp;CG37&amp;CH37&amp;CI37</f>
        <v xml:space="preserve">* El Número de Pueblos Originarios no puede superar el Total. * El Número de Migrantes Menor de 20 años.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BK37" s="176"/>
      <c r="CB37" s="191" t="str">
        <f t="shared" si="37"/>
        <v xml:space="preserve">* El Número de Pueblos Originarios no puede superar el Total. </v>
      </c>
      <c r="CC37" s="191" t="str">
        <f t="shared" si="38"/>
        <v xml:space="preserve">* El Número de Migrantes Menor de 20 años. no puede superar el Total. </v>
      </c>
      <c r="CD37" s="191" t="str">
        <f t="shared" si="39"/>
        <v xml:space="preserve">* El Número de Migrantes 20 años y más. no puede superar el Total. </v>
      </c>
      <c r="CE37" s="191" t="str">
        <f t="shared" si="33"/>
        <v xml:space="preserve">* El Número de PV-VIH (personas viviendo con VIH) no puede superar el Total. </v>
      </c>
      <c r="CF37" s="191" t="str">
        <f>IF(AND($D37&lt;&gt;0,V37=""),"* No olvide ingresar la variable "&amp;V$34&amp;""&amp;". Digite CERO si no tiene.",IF(V37&gt;$D37,"* El Número de Trans masculino no puede superar el Total. ",""))</f>
        <v xml:space="preserve">* El Número de Trans masculino no puede superar el Total. </v>
      </c>
      <c r="CG37" s="1086"/>
      <c r="CH37" s="191" t="str">
        <f t="shared" si="34"/>
        <v xml:space="preserve">* El Número de No Binarie no puede superar el Total. </v>
      </c>
      <c r="CI37" s="191" t="str">
        <f t="shared" si="35"/>
        <v xml:space="preserve">* El Número de Personas con discapacidad no puede superar el Total. </v>
      </c>
      <c r="CP37" s="1047">
        <f t="shared" si="40"/>
        <v>1</v>
      </c>
      <c r="CQ37" s="1047">
        <f t="shared" si="41"/>
        <v>1</v>
      </c>
      <c r="CR37" s="1047">
        <f t="shared" si="42"/>
        <v>1</v>
      </c>
      <c r="CS37" s="1047">
        <f t="shared" si="43"/>
        <v>1</v>
      </c>
      <c r="CT37" s="1047">
        <f t="shared" ref="CT37:CT40" si="44">IF(AND($D37&lt;&gt;0,$V37=""),1,IF($V37&gt;$D37,1,0))</f>
        <v>1</v>
      </c>
      <c r="CU37" s="1086"/>
      <c r="CV37" s="1047">
        <f t="shared" si="36"/>
        <v>1</v>
      </c>
      <c r="CW37" s="1047">
        <f t="shared" si="36"/>
        <v>1</v>
      </c>
    </row>
    <row r="38" spans="1:101" ht="15" customHeight="1" x14ac:dyDescent="0.2">
      <c r="A38" s="1576" t="s">
        <v>931</v>
      </c>
      <c r="B38" s="1669"/>
      <c r="C38" s="605" t="s">
        <v>86</v>
      </c>
      <c r="D38" s="266" t="s">
        <v>1616</v>
      </c>
      <c r="E38" s="748" t="s">
        <v>1617</v>
      </c>
      <c r="F38" s="270" t="s">
        <v>1618</v>
      </c>
      <c r="G38" s="270" t="s">
        <v>1619</v>
      </c>
      <c r="H38" s="270" t="s">
        <v>1620</v>
      </c>
      <c r="I38" s="270" t="s">
        <v>1621</v>
      </c>
      <c r="J38" s="270" t="s">
        <v>1622</v>
      </c>
      <c r="K38" s="270" t="s">
        <v>1623</v>
      </c>
      <c r="L38" s="270" t="s">
        <v>1624</v>
      </c>
      <c r="M38" s="270" t="s">
        <v>1625</v>
      </c>
      <c r="N38" s="270" t="s">
        <v>1626</v>
      </c>
      <c r="O38" s="270" t="s">
        <v>1627</v>
      </c>
      <c r="P38" s="270" t="s">
        <v>1628</v>
      </c>
      <c r="Q38" s="580" t="s">
        <v>1629</v>
      </c>
      <c r="R38" s="1016" t="s">
        <v>1630</v>
      </c>
      <c r="S38" s="748" t="s">
        <v>1631</v>
      </c>
      <c r="T38" s="686" t="s">
        <v>1632</v>
      </c>
      <c r="U38" s="272" t="s">
        <v>1633</v>
      </c>
      <c r="V38" s="996" t="s">
        <v>1634</v>
      </c>
      <c r="W38" s="270" t="s">
        <v>1635</v>
      </c>
      <c r="X38" s="686" t="s">
        <v>1636</v>
      </c>
      <c r="Y38" s="1010" t="s">
        <v>1637</v>
      </c>
      <c r="Z38" s="108" t="str">
        <f>$CB38&amp;CC38&amp;CE38&amp;CF38&amp;CG38&amp;CH38&amp;CI38</f>
        <v xml:space="preserve">* El Número de Pueblos Originarios no puede superar el Total. * El Número de Migrantes Menor de 20 años. no puede superar el Total. * El Número de PV-VIH (personas viviendo con VIH) no puede superar el Total. * El Número de Trans femenino no puede superar el Total. * El Número de No Binarie no puede superar el Total. * El Número de Personas con discapacidad no puede superar el Total. </v>
      </c>
      <c r="BK38" s="176"/>
      <c r="CB38" s="191" t="str">
        <f t="shared" si="37"/>
        <v xml:space="preserve">* El Número de Pueblos Originarios no puede superar el Total. </v>
      </c>
      <c r="CC38" s="191" t="str">
        <f t="shared" si="38"/>
        <v xml:space="preserve">* El Número de Migrantes Menor de 20 años. no puede superar el Total. </v>
      </c>
      <c r="CD38" s="191" t="str">
        <f t="shared" si="39"/>
        <v xml:space="preserve">* El Número de Migrantes 20 años y más. no puede superar el Total. </v>
      </c>
      <c r="CE38" s="191" t="str">
        <f t="shared" si="33"/>
        <v xml:space="preserve">* El Número de PV-VIH (personas viviendo con VIH) no puede superar el Total. </v>
      </c>
      <c r="CF38" s="1086"/>
      <c r="CG38" s="191" t="str">
        <f>IF(AND($D38&lt;&gt;0,W38=""),"* No olvide ingresar la variable "&amp;W$34&amp;""&amp;". Digite CERO si no tiene.",IF(W38&gt;$D38,"* El Número de Trans femenino no puede superar el Total. ",""))</f>
        <v xml:space="preserve">* El Número de Trans femenino no puede superar el Total. </v>
      </c>
      <c r="CH38" s="191" t="str">
        <f t="shared" si="34"/>
        <v xml:space="preserve">* El Número de No Binarie no puede superar el Total. </v>
      </c>
      <c r="CI38" s="191" t="str">
        <f t="shared" si="35"/>
        <v xml:space="preserve">* El Número de Personas con discapacidad no puede superar el Total. </v>
      </c>
      <c r="CP38" s="1047">
        <f t="shared" si="40"/>
        <v>1</v>
      </c>
      <c r="CQ38" s="1047">
        <f t="shared" si="41"/>
        <v>1</v>
      </c>
      <c r="CR38" s="1047">
        <f t="shared" si="42"/>
        <v>1</v>
      </c>
      <c r="CS38" s="1047">
        <f t="shared" si="43"/>
        <v>1</v>
      </c>
      <c r="CT38" s="1086"/>
      <c r="CU38" s="1047">
        <f>IF(AND($D38&lt;&gt;0,W38=""),1,IF(W38&gt;$D38,1,0))</f>
        <v>1</v>
      </c>
      <c r="CV38" s="1047">
        <f t="shared" si="36"/>
        <v>1</v>
      </c>
      <c r="CW38" s="1047">
        <f t="shared" si="36"/>
        <v>1</v>
      </c>
    </row>
    <row r="39" spans="1:101" ht="15" customHeight="1" x14ac:dyDescent="0.2">
      <c r="A39" s="1579" t="s">
        <v>932</v>
      </c>
      <c r="B39" s="1738" t="s">
        <v>99</v>
      </c>
      <c r="C39" s="1739"/>
      <c r="D39" s="266" t="s">
        <v>1616</v>
      </c>
      <c r="E39" s="748" t="s">
        <v>1617</v>
      </c>
      <c r="F39" s="270" t="s">
        <v>1618</v>
      </c>
      <c r="G39" s="270" t="s">
        <v>1619</v>
      </c>
      <c r="H39" s="270" t="s">
        <v>1620</v>
      </c>
      <c r="I39" s="270" t="s">
        <v>1621</v>
      </c>
      <c r="J39" s="270" t="s">
        <v>1622</v>
      </c>
      <c r="K39" s="270" t="s">
        <v>1623</v>
      </c>
      <c r="L39" s="270" t="s">
        <v>1624</v>
      </c>
      <c r="M39" s="270" t="s">
        <v>1625</v>
      </c>
      <c r="N39" s="270" t="s">
        <v>1626</v>
      </c>
      <c r="O39" s="270" t="s">
        <v>1627</v>
      </c>
      <c r="P39" s="270" t="s">
        <v>1628</v>
      </c>
      <c r="Q39" s="580" t="s">
        <v>1629</v>
      </c>
      <c r="R39" s="1016" t="s">
        <v>1630</v>
      </c>
      <c r="S39" s="748" t="s">
        <v>1631</v>
      </c>
      <c r="T39" s="686" t="s">
        <v>1632</v>
      </c>
      <c r="U39" s="272" t="s">
        <v>1633</v>
      </c>
      <c r="V39" s="748" t="s">
        <v>1634</v>
      </c>
      <c r="W39" s="634" t="s">
        <v>1635</v>
      </c>
      <c r="X39" s="686" t="s">
        <v>1636</v>
      </c>
      <c r="Y39" s="1010" t="s">
        <v>1637</v>
      </c>
      <c r="Z39" s="108" t="str">
        <f>$CB39&amp;CC39&amp;CE39&amp;CF39&amp;CG39&amp;CH39&amp;CI39</f>
        <v xml:space="preserve">* El Número de Pueblos Originarios no puede superar el Total. * El Número de Migrantes Menor de 20 años.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BK39" s="176"/>
      <c r="CB39" s="191" t="str">
        <f t="shared" si="37"/>
        <v xml:space="preserve">* El Número de Pueblos Originarios no puede superar el Total. </v>
      </c>
      <c r="CC39" s="191" t="str">
        <f t="shared" si="38"/>
        <v xml:space="preserve">* El Número de Migrantes Menor de 20 años. no puede superar el Total. </v>
      </c>
      <c r="CD39" s="191" t="str">
        <f t="shared" si="39"/>
        <v xml:space="preserve">* El Número de Migrantes 20 años y más. no puede superar el Total. </v>
      </c>
      <c r="CE39" s="191" t="str">
        <f t="shared" si="33"/>
        <v xml:space="preserve">* El Número de PV-VIH (personas viviendo con VIH) no puede superar el Total. </v>
      </c>
      <c r="CF39" s="191" t="str">
        <f>IF(AND($D39&lt;&gt;0,V39=""),"* No olvide ingresar la variable "&amp;V$34&amp;""&amp;". Digite CERO si no tiene.",IF(V39&gt;$D39,"* El Número de Trans masculino no puede superar el Total. ",""))</f>
        <v xml:space="preserve">* El Número de Trans masculino no puede superar el Total. </v>
      </c>
      <c r="CG39" s="1086"/>
      <c r="CH39" s="191" t="str">
        <f t="shared" si="34"/>
        <v xml:space="preserve">* El Número de No Binarie no puede superar el Total. </v>
      </c>
      <c r="CI39" s="191" t="str">
        <f t="shared" si="35"/>
        <v xml:space="preserve">* El Número de Personas con discapacidad no puede superar el Total. </v>
      </c>
      <c r="CP39" s="1047">
        <f t="shared" si="40"/>
        <v>1</v>
      </c>
      <c r="CQ39" s="1047">
        <f t="shared" si="41"/>
        <v>1</v>
      </c>
      <c r="CR39" s="1047">
        <f t="shared" si="42"/>
        <v>1</v>
      </c>
      <c r="CS39" s="1047">
        <f t="shared" si="43"/>
        <v>1</v>
      </c>
      <c r="CT39" s="1047">
        <f t="shared" si="44"/>
        <v>1</v>
      </c>
      <c r="CU39" s="1086"/>
      <c r="CV39" s="1047">
        <f t="shared" si="36"/>
        <v>1</v>
      </c>
      <c r="CW39" s="1047">
        <f t="shared" si="36"/>
        <v>1</v>
      </c>
    </row>
    <row r="40" spans="1:101" ht="15" customHeight="1" x14ac:dyDescent="0.2">
      <c r="A40" s="1576" t="s">
        <v>933</v>
      </c>
      <c r="B40" s="1731" t="s">
        <v>100</v>
      </c>
      <c r="C40" s="1732"/>
      <c r="D40" s="266" t="s">
        <v>1616</v>
      </c>
      <c r="E40" s="748" t="s">
        <v>1617</v>
      </c>
      <c r="F40" s="270" t="s">
        <v>1618</v>
      </c>
      <c r="G40" s="270" t="s">
        <v>1619</v>
      </c>
      <c r="H40" s="270" t="s">
        <v>1620</v>
      </c>
      <c r="I40" s="270" t="s">
        <v>1621</v>
      </c>
      <c r="J40" s="270" t="s">
        <v>1622</v>
      </c>
      <c r="K40" s="270" t="s">
        <v>1623</v>
      </c>
      <c r="L40" s="270" t="s">
        <v>1624</v>
      </c>
      <c r="M40" s="270" t="s">
        <v>1625</v>
      </c>
      <c r="N40" s="270" t="s">
        <v>1626</v>
      </c>
      <c r="O40" s="634" t="s">
        <v>1627</v>
      </c>
      <c r="P40" s="634" t="s">
        <v>1628</v>
      </c>
      <c r="Q40" s="1008" t="s">
        <v>1629</v>
      </c>
      <c r="R40" s="1022" t="s">
        <v>1630</v>
      </c>
      <c r="S40" s="748" t="s">
        <v>1631</v>
      </c>
      <c r="T40" s="686" t="s">
        <v>1632</v>
      </c>
      <c r="U40" s="272" t="s">
        <v>1633</v>
      </c>
      <c r="V40" s="1009" t="s">
        <v>1634</v>
      </c>
      <c r="W40" s="634" t="s">
        <v>1635</v>
      </c>
      <c r="X40" s="686" t="s">
        <v>1636</v>
      </c>
      <c r="Y40" s="1010" t="s">
        <v>1637</v>
      </c>
      <c r="Z40" s="108" t="str">
        <f>$CB40&amp;CC40&amp;CE40&amp;CF40&amp;CG40&amp;CH40&amp;CI40</f>
        <v xml:space="preserve">* El Número de Pueblos Originarios no puede superar el Total. * El Número de Migrantes Menor de 20 años.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BK40" s="176"/>
      <c r="CB40" s="191" t="str">
        <f t="shared" si="37"/>
        <v xml:space="preserve">* El Número de Pueblos Originarios no puede superar el Total. </v>
      </c>
      <c r="CC40" s="191" t="str">
        <f t="shared" si="38"/>
        <v xml:space="preserve">* El Número de Migrantes Menor de 20 años. no puede superar el Total. </v>
      </c>
      <c r="CD40" s="191" t="str">
        <f t="shared" si="39"/>
        <v xml:space="preserve">* El Número de Migrantes 20 años y más. no puede superar el Total. </v>
      </c>
      <c r="CE40" s="191" t="str">
        <f t="shared" si="33"/>
        <v xml:space="preserve">* El Número de PV-VIH (personas viviendo con VIH) no puede superar el Total. </v>
      </c>
      <c r="CF40" s="191" t="str">
        <f>IF(AND($D40&lt;&gt;0,V40=""),"* No olvide ingresar la variable "&amp;V$34&amp;""&amp;". Digite CERO si no tiene.",IF(V40&gt;$D40,"* El Número de Trans masculino no puede superar el Total. ",""))</f>
        <v xml:space="preserve">* El Número de Trans masculino no puede superar el Total. </v>
      </c>
      <c r="CG40" s="1086"/>
      <c r="CH40" s="191" t="str">
        <f t="shared" si="34"/>
        <v xml:space="preserve">* El Número de No Binarie no puede superar el Total. </v>
      </c>
      <c r="CI40" s="191" t="str">
        <f t="shared" si="35"/>
        <v xml:space="preserve">* El Número de Personas con discapacidad no puede superar el Total. </v>
      </c>
      <c r="CP40" s="1047">
        <f t="shared" si="40"/>
        <v>1</v>
      </c>
      <c r="CQ40" s="1047">
        <f t="shared" si="41"/>
        <v>1</v>
      </c>
      <c r="CR40" s="1047">
        <f t="shared" si="42"/>
        <v>1</v>
      </c>
      <c r="CS40" s="1047">
        <f t="shared" si="43"/>
        <v>1</v>
      </c>
      <c r="CT40" s="1047">
        <f t="shared" si="44"/>
        <v>1</v>
      </c>
      <c r="CU40" s="1086"/>
      <c r="CV40" s="1047">
        <f t="shared" si="36"/>
        <v>1</v>
      </c>
      <c r="CW40" s="1047">
        <f t="shared" si="36"/>
        <v>1</v>
      </c>
    </row>
    <row r="41" spans="1:101" ht="17.100000000000001" customHeight="1" x14ac:dyDescent="0.15">
      <c r="B41" s="1317" t="s">
        <v>101</v>
      </c>
      <c r="C41" s="1318"/>
      <c r="D41" s="1318"/>
      <c r="E41" s="1305"/>
      <c r="F41" s="1305"/>
      <c r="G41" s="1305"/>
      <c r="H41" s="36"/>
      <c r="I41" s="36"/>
    </row>
    <row r="42" spans="1:101" ht="15" customHeight="1" x14ac:dyDescent="0.15">
      <c r="B42" s="1714" t="s">
        <v>102</v>
      </c>
      <c r="C42" s="1737" t="s">
        <v>103</v>
      </c>
      <c r="D42" s="1717" t="s">
        <v>104</v>
      </c>
      <c r="E42" s="1715" t="s">
        <v>105</v>
      </c>
      <c r="F42" s="1715" t="s">
        <v>106</v>
      </c>
      <c r="G42" s="1735" t="s">
        <v>107</v>
      </c>
      <c r="H42" s="1709" t="s">
        <v>51</v>
      </c>
      <c r="I42" s="1735" t="s">
        <v>108</v>
      </c>
      <c r="J42" s="1711" t="s">
        <v>54</v>
      </c>
      <c r="K42" s="1671"/>
      <c r="L42" s="1712" t="s">
        <v>55</v>
      </c>
      <c r="Y42" s="108"/>
      <c r="Z42" s="108"/>
      <c r="AA42" s="108"/>
      <c r="AB42" s="108"/>
      <c r="AC42" s="108"/>
      <c r="AD42" s="172"/>
      <c r="BK42" s="176"/>
      <c r="BL42" s="176"/>
      <c r="BM42" s="176"/>
      <c r="BN42" s="176"/>
      <c r="BO42" s="176"/>
      <c r="CB42" s="172"/>
      <c r="CC42" s="172"/>
      <c r="CD42" s="172"/>
      <c r="CE42" s="172"/>
      <c r="CF42" s="172"/>
    </row>
    <row r="43" spans="1:101" ht="21.75" customHeight="1" x14ac:dyDescent="0.15">
      <c r="B43" s="1714"/>
      <c r="C43" s="1737"/>
      <c r="D43" s="1717"/>
      <c r="E43" s="1716"/>
      <c r="F43" s="1716"/>
      <c r="G43" s="1736"/>
      <c r="H43" s="1710"/>
      <c r="I43" s="1736"/>
      <c r="J43" s="1307" t="s">
        <v>71</v>
      </c>
      <c r="K43" s="1320" t="s">
        <v>73</v>
      </c>
      <c r="L43" s="1713"/>
      <c r="Y43" s="108"/>
      <c r="Z43" s="108"/>
      <c r="AA43" s="108"/>
      <c r="AB43" s="108"/>
      <c r="AC43" s="108"/>
      <c r="AD43" s="172"/>
      <c r="BK43" s="176"/>
      <c r="BL43" s="176"/>
      <c r="BM43" s="176"/>
      <c r="BN43" s="176"/>
      <c r="BO43" s="176"/>
      <c r="CB43" s="172"/>
      <c r="CC43" s="172"/>
      <c r="CD43" s="172"/>
      <c r="CE43" s="172"/>
      <c r="CF43" s="172"/>
    </row>
    <row r="44" spans="1:101" ht="15" customHeight="1" x14ac:dyDescent="0.2">
      <c r="A44" s="1576" t="s">
        <v>934</v>
      </c>
      <c r="B44" s="41" t="s">
        <v>109</v>
      </c>
      <c r="C44" s="294" t="s">
        <v>1616</v>
      </c>
      <c r="D44" s="1177" t="s">
        <v>1617</v>
      </c>
      <c r="E44" s="263" t="s">
        <v>1618</v>
      </c>
      <c r="F44" s="263" t="s">
        <v>1619</v>
      </c>
      <c r="G44" s="264" t="s">
        <v>1620</v>
      </c>
      <c r="H44" s="1177" t="s">
        <v>1621</v>
      </c>
      <c r="I44" s="264" t="s">
        <v>1622</v>
      </c>
      <c r="J44" s="1177" t="s">
        <v>1623</v>
      </c>
      <c r="K44" s="265" t="s">
        <v>1624</v>
      </c>
      <c r="L44" s="265" t="s">
        <v>1625</v>
      </c>
      <c r="M44" s="108" t="str">
        <f>($CB44&amp;$CC44&amp;$CD44&amp;$CE44&amp;$CF44&amp;$CG44&amp;CH44&amp;CI44&amp;CJ44)</f>
        <v xml:space="preserve">* Las Gestantes Menores de 15 años con Riesgo Psicosocial deben estar incluidas en el Total de Gestantes en Control misma edad. * Las Gestantes Menores de 15 años Que presentan Violencia de género deben estar incluidas en el grupo En Riesgo Psicosocial. * Las Gestantes Menores de 15 años Con 3  o más Riesgos Psicosocial deben estar incluidas en el Total de Gestantes en Control misma edad. * Las Gestantes que presentan ARO Menos de 15 años deben estar incluidas en el Total de Gestantes en Control mismo grupo de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44" s="108"/>
      <c r="Z44" s="108"/>
      <c r="AA44" s="108"/>
      <c r="AB44" s="108"/>
      <c r="AC44" s="108"/>
      <c r="AD44" s="172"/>
      <c r="BK44" s="176"/>
      <c r="BL44" s="176"/>
      <c r="BM44" s="176"/>
      <c r="BN44" s="176"/>
      <c r="BO44" s="176"/>
      <c r="CB44" s="191" t="str">
        <f>IF($C44&lt;$D44,"* Las Gestantes Menores de 15 años con Riesgo Psicosocial deben estar incluidas en el Total de Gestantes en Control misma edad. ","")</f>
        <v xml:space="preserve">* Las Gestantes Menores de 15 años con Riesgo Psicosocial deben estar incluidas en el Total de Gestantes en Control misma edad. </v>
      </c>
      <c r="CC44" s="191" t="str">
        <f>IF($D44&lt;$F44,"* Las Gestantes Menores de 15 años Que presentan Violencia de género deben estar incluidas en el grupo En Riesgo Psicosocial. ","")</f>
        <v xml:space="preserve">* Las Gestantes Menores de 15 años Que presentan Violencia de género deben estar incluidas en el grupo En Riesgo Psicosocial. </v>
      </c>
      <c r="CD44" s="191" t="str">
        <f>IF($C44&lt;$E44,"* Las Gestantes Menores de 15 años Con 3  o más Riesgos Psicosocial deben estar incluidas en el Total de Gestantes en Control misma edad. ","")</f>
        <v xml:space="preserve">* Las Gestantes Menores de 15 años Con 3  o más Riesgos Psicosocial deben estar incluidas en el Total de Gestantes en Control misma edad. </v>
      </c>
      <c r="CE44" s="191" t="str">
        <f>IF($C44&lt;$G44,"* Las Gestantes que presentan ARO Menos de 15 años deben estar incluidas en el Total de Gestantes en Control mismo grupo de edad. ","")</f>
        <v xml:space="preserve">* Las Gestantes que presentan ARO Menos de 15 años deben estar incluidas en el Total de Gestantes en Control mismo grupo de edad. </v>
      </c>
      <c r="CF44" s="191" t="str">
        <f>IF(AND($C44&lt;&gt;0,H44=""),"* No olvide ingresar la variable "&amp;H$42&amp;""&amp;". Digite CERO si no tiene.",IF(H44&gt;$C44,"* La variable Pueblos originario no puede superar el Total de Gestantes en Control mismo grupo de edad. ",""))</f>
        <v xml:space="preserve">* La variable Pueblos originario no puede superar el Total de Gestantes en Control mismo grupo de edad. </v>
      </c>
      <c r="CG44" s="191" t="str">
        <f>IF(AND($C44&lt;&gt;0,I44=""),"* No olvide ingresar la variable "&amp;I$42&amp;""&amp;". Digite CERO si no tiene.",IF(I44&gt;$C44,"* La variable Migrantes no puede superar el Total de Gestantes en Control mismo grupo de edad. ",""))</f>
        <v xml:space="preserve">* La variable Migrantes no puede superar el Total de Gestantes en Control mismo grupo de edad. </v>
      </c>
      <c r="CH44" s="191" t="str">
        <f>IF(AND($C44&lt;&gt;0,J44=""),"* No olvide ingresar la variable "&amp;J$43&amp;""&amp;". Digite CERO si no tiene.",IF(J44&gt;$C44,"* La variable Trans masculino no puede superar el Total de Gestantes en Control mismo grupo de edad. ",""))</f>
        <v xml:space="preserve">* La variable Trans masculino no puede superar el Total de Gestantes en Control mismo grupo de edad. </v>
      </c>
      <c r="CI44" s="191" t="str">
        <f t="shared" ref="CI44:CI52" si="45">IF(AND($C44&lt;&gt;0,K44=""),"* No olvide ingresar la variable "&amp;K$43&amp;""&amp;". Digite CERO si no tiene.",IF(K44&gt;$C44,"* La variable No Binarie no puede superar el Total de Gestantes en Control mismo grupo de edad. ",""))</f>
        <v xml:space="preserve">* La variable No Binarie no puede superar el Total de Gestantes en Control mismo grupo de edad. </v>
      </c>
      <c r="CJ44" s="191" t="str">
        <f>IF(AND($C44&lt;&gt;0,L44=""),"* No olvide ingresar la variable "&amp;L$42&amp;""&amp;". Digite CERO si no tiene.",IF(L44&gt;$C44,"* La variable Personas con Discapacidad no puede superar el Total de Gestantes en Control mismo grupo de edad. ",""))</f>
        <v xml:space="preserve">* La variable Personas con Discapacidad no puede superar el Total de Gestantes en Control mismo grupo de edad. </v>
      </c>
      <c r="CK44" s="108" t="str">
        <f t="shared" ref="CK44" si="46">IF(AND(C44&lt;&gt;0,I44=""),"* No olvide escribir en la celda de 'Población Migrantes' (Digite CERO si no tiene). ","")</f>
        <v/>
      </c>
      <c r="CO44" s="1047">
        <f>IF($C44&lt;$D44,1,0)</f>
        <v>1</v>
      </c>
      <c r="CP44" s="1047">
        <f>IF($D44&lt;$F44,1,0)</f>
        <v>1</v>
      </c>
      <c r="CQ44" s="1047">
        <f>IF($C44&lt;$E44,1,0)</f>
        <v>1</v>
      </c>
      <c r="CR44" s="1047">
        <f>IF($C44&lt;$G44,1,0)</f>
        <v>1</v>
      </c>
      <c r="CS44" s="1047">
        <f>IF(AND($C44&lt;&gt;0,H44=""),1,IF(H44&gt;$C44,1,0))</f>
        <v>1</v>
      </c>
      <c r="CT44" s="1047">
        <f>IF(AND($C44&lt;&gt;0,$I44=""),1,IF($I44&gt;$C44,1,0))</f>
        <v>1</v>
      </c>
      <c r="CU44" s="1047">
        <f>IF(AND($C44&lt;&gt;0,$J44=""),1,IF($J44&gt;$C44,1,0))</f>
        <v>1</v>
      </c>
      <c r="CV44" s="1047">
        <f>IF(AND($C44&lt;&gt;0,$K44=""),1,IF($K44&gt;$C44,1,0))</f>
        <v>1</v>
      </c>
      <c r="CW44" s="1047">
        <f>IF(AND($C44&lt;&gt;0,$L44=""),1,IF($L44&gt;$C44,1,0))</f>
        <v>1</v>
      </c>
    </row>
    <row r="45" spans="1:101" ht="15" customHeight="1" x14ac:dyDescent="0.2">
      <c r="A45" s="1576" t="s">
        <v>935</v>
      </c>
      <c r="B45" s="42" t="s">
        <v>57</v>
      </c>
      <c r="C45" s="296" t="s">
        <v>1616</v>
      </c>
      <c r="D45" s="1178" t="s">
        <v>1617</v>
      </c>
      <c r="E45" s="278" t="s">
        <v>1618</v>
      </c>
      <c r="F45" s="278" t="s">
        <v>1619</v>
      </c>
      <c r="G45" s="279" t="s">
        <v>1620</v>
      </c>
      <c r="H45" s="1178" t="s">
        <v>1621</v>
      </c>
      <c r="I45" s="279" t="s">
        <v>1622</v>
      </c>
      <c r="J45" s="1178" t="s">
        <v>1623</v>
      </c>
      <c r="K45" s="280" t="s">
        <v>1624</v>
      </c>
      <c r="L45" s="280" t="s">
        <v>1625</v>
      </c>
      <c r="M45" s="108" t="str">
        <f t="shared" ref="M45:M51" si="47">($CB45&amp;$CC45&amp;$CD45&amp;$CE45&amp;$CF45&amp;$CG45&amp;CH45&amp;CI45&amp;CJ45)</f>
        <v xml:space="preserve">* Las Gestantes de 15 a 19 años En Riesgo Psicosocial deben estar incluidas en el Total de Gestantes en Control misma edad. * Las Gestantes de 15 a 19 años Que presentan Violencia de género deben estar incluidas en el grupo En Riesgo Psicosocial. * Las Gestantes de 15 a 19 años con 3 o más Riesgos Psicosocial deben estar incluidas en el Total de Gestantes en Control misma edad. * Las Gestantes que presentan ARO de 15 a 19 años deben estar incluidas en el Total de Gestantes en Control mismo grupo de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45" s="108"/>
      <c r="Z45" s="108"/>
      <c r="AA45" s="108"/>
      <c r="AB45" s="108"/>
      <c r="AC45" s="108"/>
      <c r="AD45" s="172"/>
      <c r="BK45" s="176"/>
      <c r="BL45" s="176"/>
      <c r="BM45" s="176"/>
      <c r="BN45" s="176"/>
      <c r="BO45" s="176"/>
      <c r="CB45" s="191" t="str">
        <f>IF($C45&lt;$D45,"* Las Gestantes de 15 a 19 años En Riesgo Psicosocial deben estar incluidas en el Total de Gestantes en Control misma edad. ","")</f>
        <v xml:space="preserve">* Las Gestantes de 15 a 19 años En Riesgo Psicosocial deben estar incluidas en el Total de Gestantes en Control misma edad. </v>
      </c>
      <c r="CC45" s="191" t="str">
        <f>IF($D45&lt;$F45,"* Las Gestantes de 15 a 19 años Que presentan Violencia de género deben estar incluidas en el grupo En Riesgo Psicosocial. ","")</f>
        <v xml:space="preserve">* Las Gestantes de 15 a 19 años Que presentan Violencia de género deben estar incluidas en el grupo En Riesgo Psicosocial. </v>
      </c>
      <c r="CD45" s="191" t="str">
        <f>IF($C45&lt;$E45,"* Las Gestantes de 15 a 19 años con 3 o más Riesgos Psicosocial deben estar incluidas en el Total de Gestantes en Control misma edad. ","")</f>
        <v xml:space="preserve">* Las Gestantes de 15 a 19 años con 3 o más Riesgos Psicosocial deben estar incluidas en el Total de Gestantes en Control misma edad. </v>
      </c>
      <c r="CE45" s="191" t="str">
        <f>IF($C45&lt;$G45,"* Las Gestantes que presentan ARO de 15 a 19 años deben estar incluidas en el Total de Gestantes en Control mismo grupo de edad. ","")</f>
        <v xml:space="preserve">* Las Gestantes que presentan ARO de 15 a 19 años deben estar incluidas en el Total de Gestantes en Control mismo grupo de edad. </v>
      </c>
      <c r="CF45" s="191" t="str">
        <f t="shared" ref="CF45:CF52" si="48">IF(AND($C45&lt;&gt;0,H45=""),"* No olvide ingresar la variable "&amp;H$42&amp;""&amp;". Digite CERO si no tiene.",IF(H45&gt;$C45,"* La variable Pueblos originario no puede superar el Total de Gestantes en Control mismo grupo de edad. ",""))</f>
        <v xml:space="preserve">* La variable Pueblos originario no puede superar el Total de Gestantes en Control mismo grupo de edad. </v>
      </c>
      <c r="CG45" s="191" t="str">
        <f t="shared" ref="CG45:CG52" si="49">IF(AND($C45&lt;&gt;0,I45=""),"* No olvide ingresar la variable "&amp;I$42&amp;""&amp;". Digite CERO si no tiene.",IF(I45&gt;$C45,"* La variable Migrantes no puede superar el Total de Gestantes en Control mismo grupo de edad. ",""))</f>
        <v xml:space="preserve">* La variable Migrantes no puede superar el Total de Gestantes en Control mismo grupo de edad. </v>
      </c>
      <c r="CH45" s="191" t="str">
        <f t="shared" ref="CH45:CH52" si="50">IF(AND($C45&lt;&gt;0,J45=""),"* No olvide ingresar la variable "&amp;J$43&amp;""&amp;". Digite CERO si no tiene.",IF(J45&gt;$C45,"* La variable Trans masculino no puede superar el Total de Gestantes en Control mismo grupo de edad. ",""))</f>
        <v xml:space="preserve">* La variable Trans masculino no puede superar el Total de Gestantes en Control mismo grupo de edad. </v>
      </c>
      <c r="CI45" s="191" t="str">
        <f t="shared" si="45"/>
        <v xml:space="preserve">* La variable No Binarie no puede superar el Total de Gestantes en Control mismo grupo de edad. </v>
      </c>
      <c r="CJ45" s="191" t="str">
        <f t="shared" ref="CJ45:CJ52" si="51">IF(AND($C45&lt;&gt;0,L45=""),"* No olvide ingresar la variable "&amp;L$42&amp;""&amp;". Digite CERO si no tiene.",IF(L45&gt;$C45,"* La variable Personas con Discapacidad no puede superar el Total de Gestantes en Control mismo grupo de edad. ",""))</f>
        <v xml:space="preserve">* La variable Personas con Discapacidad no puede superar el Total de Gestantes en Control mismo grupo de edad. </v>
      </c>
      <c r="CO45" s="1047">
        <f t="shared" ref="CO45:CO52" si="52">IF($C45&lt;$D45,1,0)</f>
        <v>1</v>
      </c>
      <c r="CP45" s="1047">
        <f t="shared" ref="CP45:CP52" si="53">IF($D45&lt;$F45,1,0)</f>
        <v>1</v>
      </c>
      <c r="CQ45" s="1047">
        <f t="shared" ref="CQ45:CQ52" si="54">IF($C45&lt;$E45,1,0)</f>
        <v>1</v>
      </c>
      <c r="CR45" s="1047">
        <f t="shared" ref="CR45:CR52" si="55">IF($C45&lt;$G45,1,0)</f>
        <v>1</v>
      </c>
      <c r="CS45" s="1047">
        <f t="shared" ref="CS45:CS52" si="56">IF(AND($C45&lt;&gt;0,H45=""),1,IF(H45&gt;$C45,1,0))</f>
        <v>1</v>
      </c>
      <c r="CT45" s="1047">
        <f t="shared" ref="CT45:CT52" si="57">IF(AND($C45&lt;&gt;0,$I45=""),1,IF($I45&gt;$C45,1,0))</f>
        <v>1</v>
      </c>
      <c r="CU45" s="1047">
        <f t="shared" ref="CU45:CU52" si="58">IF(AND($C45&lt;&gt;0,$J45=""),1,IF($J45&gt;$C45,1,0))</f>
        <v>1</v>
      </c>
      <c r="CV45" s="1047">
        <f t="shared" ref="CV45:CV52" si="59">IF(AND($C45&lt;&gt;0,$K45=""),1,IF($K45&gt;$C45,1,0))</f>
        <v>1</v>
      </c>
      <c r="CW45" s="1047">
        <f t="shared" ref="CW45:CW52" si="60">IF(AND($C45&lt;&gt;0,$L45=""),1,IF($L45&gt;$C45,1,0))</f>
        <v>1</v>
      </c>
    </row>
    <row r="46" spans="1:101" ht="15" customHeight="1" x14ac:dyDescent="0.2">
      <c r="A46" s="1576" t="s">
        <v>936</v>
      </c>
      <c r="B46" s="42" t="s">
        <v>58</v>
      </c>
      <c r="C46" s="296" t="s">
        <v>1616</v>
      </c>
      <c r="D46" s="1178" t="s">
        <v>1617</v>
      </c>
      <c r="E46" s="278" t="s">
        <v>1618</v>
      </c>
      <c r="F46" s="278" t="s">
        <v>1619</v>
      </c>
      <c r="G46" s="279" t="s">
        <v>1620</v>
      </c>
      <c r="H46" s="1178" t="s">
        <v>1621</v>
      </c>
      <c r="I46" s="279" t="s">
        <v>1622</v>
      </c>
      <c r="J46" s="1178" t="s">
        <v>1623</v>
      </c>
      <c r="K46" s="280" t="s">
        <v>1624</v>
      </c>
      <c r="L46" s="280" t="s">
        <v>1625</v>
      </c>
      <c r="M46" s="108" t="str">
        <f t="shared" si="47"/>
        <v xml:space="preserve">* Las Gestantes de 20 a 24 años con Riesgo Psicosocial deben estar incluidas en el Total de Gestantes en Control misma edad. * Las Gestantes de 20 a 24 años Que presentan Violencia de género deben estar incluidas en el grupo En Riesgo Psicosocial. * Las Gestantes de 20 a 24 años con 3 o más Riesgos Psicosocial deben estar incluidas en el Total de Gestantes en Control misma edad. * Las Gestantes que presentan ARO de 20 a 24 años deben estar incluidas en el Total de Gestantes en Control misma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46" s="108"/>
      <c r="Z46" s="108"/>
      <c r="AA46" s="108"/>
      <c r="AB46" s="108"/>
      <c r="AC46" s="108"/>
      <c r="AD46" s="172"/>
      <c r="BK46" s="176"/>
      <c r="BL46" s="176"/>
      <c r="BM46" s="176"/>
      <c r="BN46" s="176"/>
      <c r="BO46" s="176"/>
      <c r="CB46" s="191" t="str">
        <f>IF($C46&lt;$D46,"* Las Gestantes de 20 a 24 años con Riesgo Psicosocial deben estar incluidas en el Total de Gestantes en Control misma edad. ","")</f>
        <v xml:space="preserve">* Las Gestantes de 20 a 24 años con Riesgo Psicosocial deben estar incluidas en el Total de Gestantes en Control misma edad. </v>
      </c>
      <c r="CC46" s="191" t="str">
        <f>IF($D46&lt;$F46,"* Las Gestantes de 20 a 24 años Que presentan Violencia de género deben estar incluidas en el grupo En Riesgo Psicosocial. ","")</f>
        <v xml:space="preserve">* Las Gestantes de 20 a 24 años Que presentan Violencia de género deben estar incluidas en el grupo En Riesgo Psicosocial. </v>
      </c>
      <c r="CD46" s="191" t="str">
        <f>IF($C46&lt;$E46,"* Las Gestantes de 20 a 24 años con 3 o más Riesgos Psicosocial deben estar incluidas en el Total de Gestantes en Control misma edad. ","")</f>
        <v xml:space="preserve">* Las Gestantes de 20 a 24 años con 3 o más Riesgos Psicosocial deben estar incluidas en el Total de Gestantes en Control misma edad. </v>
      </c>
      <c r="CE46" s="191" t="str">
        <f>IF($C46&lt;$G46,"* Las Gestantes que presentan ARO de 20 a 24 años deben estar incluidas en el Total de Gestantes en Control misma edad. ","")</f>
        <v xml:space="preserve">* Las Gestantes que presentan ARO de 20 a 24 años deben estar incluidas en el Total de Gestantes en Control misma edad. </v>
      </c>
      <c r="CF46" s="191" t="str">
        <f t="shared" si="48"/>
        <v xml:space="preserve">* La variable Pueblos originario no puede superar el Total de Gestantes en Control mismo grupo de edad. </v>
      </c>
      <c r="CG46" s="191" t="str">
        <f t="shared" si="49"/>
        <v xml:space="preserve">* La variable Migrantes no puede superar el Total de Gestantes en Control mismo grupo de edad. </v>
      </c>
      <c r="CH46" s="191" t="str">
        <f t="shared" si="50"/>
        <v xml:space="preserve">* La variable Trans masculino no puede superar el Total de Gestantes en Control mismo grupo de edad. </v>
      </c>
      <c r="CI46" s="191" t="str">
        <f t="shared" si="45"/>
        <v xml:space="preserve">* La variable No Binarie no puede superar el Total de Gestantes en Control mismo grupo de edad. </v>
      </c>
      <c r="CJ46" s="191" t="str">
        <f t="shared" si="51"/>
        <v xml:space="preserve">* La variable Personas con Discapacidad no puede superar el Total de Gestantes en Control mismo grupo de edad. </v>
      </c>
      <c r="CO46" s="1047">
        <f t="shared" si="52"/>
        <v>1</v>
      </c>
      <c r="CP46" s="1047">
        <f t="shared" si="53"/>
        <v>1</v>
      </c>
      <c r="CQ46" s="1047">
        <f t="shared" si="54"/>
        <v>1</v>
      </c>
      <c r="CR46" s="1047">
        <f t="shared" si="55"/>
        <v>1</v>
      </c>
      <c r="CS46" s="1047">
        <f t="shared" si="56"/>
        <v>1</v>
      </c>
      <c r="CT46" s="1047">
        <f t="shared" si="57"/>
        <v>1</v>
      </c>
      <c r="CU46" s="1047">
        <f t="shared" si="58"/>
        <v>1</v>
      </c>
      <c r="CV46" s="1047">
        <f t="shared" si="59"/>
        <v>1</v>
      </c>
      <c r="CW46" s="1047">
        <f t="shared" si="60"/>
        <v>1</v>
      </c>
    </row>
    <row r="47" spans="1:101" ht="15" customHeight="1" x14ac:dyDescent="0.2">
      <c r="A47" s="1576" t="s">
        <v>937</v>
      </c>
      <c r="B47" s="42" t="s">
        <v>59</v>
      </c>
      <c r="C47" s="298" t="s">
        <v>1616</v>
      </c>
      <c r="D47" s="1179" t="s">
        <v>1617</v>
      </c>
      <c r="E47" s="282" t="s">
        <v>1618</v>
      </c>
      <c r="F47" s="282" t="s">
        <v>1619</v>
      </c>
      <c r="G47" s="1181" t="s">
        <v>1620</v>
      </c>
      <c r="H47" s="1179" t="s">
        <v>1621</v>
      </c>
      <c r="I47" s="1181" t="s">
        <v>1622</v>
      </c>
      <c r="J47" s="1179" t="s">
        <v>1623</v>
      </c>
      <c r="K47" s="283" t="s">
        <v>1624</v>
      </c>
      <c r="L47" s="283" t="s">
        <v>1625</v>
      </c>
      <c r="M47" s="108" t="str">
        <f t="shared" si="47"/>
        <v xml:space="preserve">* Las Gestantes de25 a 29 años con Riesgo Psicosocial deben estar incluidas en el Total de Gestantes en Control misma edad. * Las Gestantes de 25 a 29 años Que presentan Violencia de género deben estar incluidas en el grupo En Riesgo Psicosocial. * Las Gestantes de 25 a 29 años con 3 o más Riesgos Psicosocial deben estar incluidas en el Total de Gestantes en Control misma edad. * Las Gestantes que presentan ARO de 25 a 29 años deben estar incluidas en el Total de Gestantes en Control misma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47" s="108"/>
      <c r="Z47" s="108"/>
      <c r="AA47" s="108"/>
      <c r="AB47" s="108"/>
      <c r="AC47" s="108"/>
      <c r="AD47" s="172"/>
      <c r="BK47" s="176"/>
      <c r="BL47" s="176"/>
      <c r="BM47" s="176"/>
      <c r="BN47" s="176"/>
      <c r="BO47" s="176"/>
      <c r="CB47" s="191" t="str">
        <f>IF($C47&lt;$D47,"* Las Gestantes de25 a 29 años con Riesgo Psicosocial deben estar incluidas en el Total de Gestantes en Control misma edad. ","")</f>
        <v xml:space="preserve">* Las Gestantes de25 a 29 años con Riesgo Psicosocial deben estar incluidas en el Total de Gestantes en Control misma edad. </v>
      </c>
      <c r="CC47" s="191" t="str">
        <f>IF($D47&lt;$F47,"* Las Gestantes de 25 a 29 años Que presentan Violencia de género deben estar incluidas en el grupo En Riesgo Psicosocial. ","")</f>
        <v xml:space="preserve">* Las Gestantes de 25 a 29 años Que presentan Violencia de género deben estar incluidas en el grupo En Riesgo Psicosocial. </v>
      </c>
      <c r="CD47" s="191" t="str">
        <f>IF($C47&lt;$E47,"* Las Gestantes de 25 a 29 años con 3 o más Riesgos Psicosocial deben estar incluidas en el Total de Gestantes en Control misma edad. ","")</f>
        <v xml:space="preserve">* Las Gestantes de 25 a 29 años con 3 o más Riesgos Psicosocial deben estar incluidas en el Total de Gestantes en Control misma edad. </v>
      </c>
      <c r="CE47" s="191" t="str">
        <f>IF($C47&lt;$G47,"* Las Gestantes que presentan ARO de 25 a 29 años deben estar incluidas en el Total de Gestantes en Control misma edad. ","")</f>
        <v xml:space="preserve">* Las Gestantes que presentan ARO de 25 a 29 años deben estar incluidas en el Total de Gestantes en Control misma edad. </v>
      </c>
      <c r="CF47" s="191" t="str">
        <f t="shared" si="48"/>
        <v xml:space="preserve">* La variable Pueblos originario no puede superar el Total de Gestantes en Control mismo grupo de edad. </v>
      </c>
      <c r="CG47" s="191" t="str">
        <f t="shared" si="49"/>
        <v xml:space="preserve">* La variable Migrantes no puede superar el Total de Gestantes en Control mismo grupo de edad. </v>
      </c>
      <c r="CH47" s="191" t="str">
        <f t="shared" si="50"/>
        <v xml:space="preserve">* La variable Trans masculino no puede superar el Total de Gestantes en Control mismo grupo de edad. </v>
      </c>
      <c r="CI47" s="191" t="str">
        <f t="shared" si="45"/>
        <v xml:space="preserve">* La variable No Binarie no puede superar el Total de Gestantes en Control mismo grupo de edad. </v>
      </c>
      <c r="CJ47" s="191" t="str">
        <f t="shared" si="51"/>
        <v xml:space="preserve">* La variable Personas con Discapacidad no puede superar el Total de Gestantes en Control mismo grupo de edad. </v>
      </c>
      <c r="CO47" s="1047">
        <f t="shared" si="52"/>
        <v>1</v>
      </c>
      <c r="CP47" s="1047">
        <f t="shared" si="53"/>
        <v>1</v>
      </c>
      <c r="CQ47" s="1047">
        <f t="shared" si="54"/>
        <v>1</v>
      </c>
      <c r="CR47" s="1047">
        <f t="shared" si="55"/>
        <v>1</v>
      </c>
      <c r="CS47" s="1047">
        <f t="shared" si="56"/>
        <v>1</v>
      </c>
      <c r="CT47" s="1047">
        <f t="shared" si="57"/>
        <v>1</v>
      </c>
      <c r="CU47" s="1047">
        <f t="shared" si="58"/>
        <v>1</v>
      </c>
      <c r="CV47" s="1047">
        <f t="shared" si="59"/>
        <v>1</v>
      </c>
      <c r="CW47" s="1047">
        <f t="shared" si="60"/>
        <v>1</v>
      </c>
    </row>
    <row r="48" spans="1:101" ht="15" customHeight="1" x14ac:dyDescent="0.2">
      <c r="A48" s="1576" t="s">
        <v>938</v>
      </c>
      <c r="B48" s="42" t="s">
        <v>60</v>
      </c>
      <c r="C48" s="298" t="s">
        <v>1616</v>
      </c>
      <c r="D48" s="1179" t="s">
        <v>1617</v>
      </c>
      <c r="E48" s="282" t="s">
        <v>1618</v>
      </c>
      <c r="F48" s="282" t="s">
        <v>1619</v>
      </c>
      <c r="G48" s="1181" t="s">
        <v>1620</v>
      </c>
      <c r="H48" s="1179" t="s">
        <v>1621</v>
      </c>
      <c r="I48" s="1181" t="s">
        <v>1622</v>
      </c>
      <c r="J48" s="1179" t="s">
        <v>1623</v>
      </c>
      <c r="K48" s="283" t="s">
        <v>1624</v>
      </c>
      <c r="L48" s="283" t="s">
        <v>1625</v>
      </c>
      <c r="M48" s="108" t="str">
        <f t="shared" si="47"/>
        <v xml:space="preserve">* Las Gestantes de 30 a 34 años con Riesgo Psicosocial deben estar incluidas en el Total de Gestantes en Control misma edad. * Las Gestantes de 30 a 34 años Que presentan Violencia de género deben estar incluidas en el grupo En Riesgo Psicosocial. * Las Gestantes de 30 a 34 años con 3 o más Riesgos Psicosocial deben estar incluidas en el Total de Gestantes en Control misma edad. * Las Gestantes que presentan ARO de 30 a 34 años deben estar incluidas en el Total de Gestantes en Control misma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48" s="108"/>
      <c r="Z48" s="108"/>
      <c r="AA48" s="108"/>
      <c r="AB48" s="108"/>
      <c r="AC48" s="108"/>
      <c r="AD48" s="172"/>
      <c r="BK48" s="176"/>
      <c r="BL48" s="176"/>
      <c r="BM48" s="176"/>
      <c r="BN48" s="176"/>
      <c r="BO48" s="176"/>
      <c r="CB48" s="191" t="str">
        <f>IF($C48&lt;$D48,"* Las Gestantes de 30 a 34 años con Riesgo Psicosocial deben estar incluidas en el Total de Gestantes en Control misma edad. ","")</f>
        <v xml:space="preserve">* Las Gestantes de 30 a 34 años con Riesgo Psicosocial deben estar incluidas en el Total de Gestantes en Control misma edad. </v>
      </c>
      <c r="CC48" s="191" t="str">
        <f>IF($D48&lt;$F48,"* Las Gestantes de 30 a 34 años Que presentan Violencia de género deben estar incluidas en el grupo En Riesgo Psicosocial. ","")</f>
        <v xml:space="preserve">* Las Gestantes de 30 a 34 años Que presentan Violencia de género deben estar incluidas en el grupo En Riesgo Psicosocial. </v>
      </c>
      <c r="CD48" s="191" t="str">
        <f>IF($C48&lt;$E48,"* Las Gestantes de 30 a 34 años con 3 o más Riesgos Psicosocial deben estar incluidas en el Total de Gestantes en Control misma edad. ","")</f>
        <v xml:space="preserve">* Las Gestantes de 30 a 34 años con 3 o más Riesgos Psicosocial deben estar incluidas en el Total de Gestantes en Control misma edad. </v>
      </c>
      <c r="CE48" s="191" t="str">
        <f>IF($C48&lt;$G48,"* Las Gestantes que presentan ARO de 30 a 34 años deben estar incluidas en el Total de Gestantes en Control misma edad. ","")</f>
        <v xml:space="preserve">* Las Gestantes que presentan ARO de 30 a 34 años deben estar incluidas en el Total de Gestantes en Control misma edad. </v>
      </c>
      <c r="CF48" s="191" t="str">
        <f t="shared" si="48"/>
        <v xml:space="preserve">* La variable Pueblos originario no puede superar el Total de Gestantes en Control mismo grupo de edad. </v>
      </c>
      <c r="CG48" s="191" t="str">
        <f t="shared" si="49"/>
        <v xml:space="preserve">* La variable Migrantes no puede superar el Total de Gestantes en Control mismo grupo de edad. </v>
      </c>
      <c r="CH48" s="191" t="str">
        <f t="shared" si="50"/>
        <v xml:space="preserve">* La variable Trans masculino no puede superar el Total de Gestantes en Control mismo grupo de edad. </v>
      </c>
      <c r="CI48" s="191" t="str">
        <f t="shared" si="45"/>
        <v xml:space="preserve">* La variable No Binarie no puede superar el Total de Gestantes en Control mismo grupo de edad. </v>
      </c>
      <c r="CJ48" s="191" t="str">
        <f t="shared" si="51"/>
        <v xml:space="preserve">* La variable Personas con Discapacidad no puede superar el Total de Gestantes en Control mismo grupo de edad. </v>
      </c>
      <c r="CO48" s="1047">
        <f t="shared" si="52"/>
        <v>1</v>
      </c>
      <c r="CP48" s="1047">
        <f t="shared" si="53"/>
        <v>1</v>
      </c>
      <c r="CQ48" s="1047">
        <f t="shared" si="54"/>
        <v>1</v>
      </c>
      <c r="CR48" s="1047">
        <f t="shared" si="55"/>
        <v>1</v>
      </c>
      <c r="CS48" s="1047">
        <f t="shared" si="56"/>
        <v>1</v>
      </c>
      <c r="CT48" s="1047">
        <f t="shared" si="57"/>
        <v>1</v>
      </c>
      <c r="CU48" s="1047">
        <f t="shared" si="58"/>
        <v>1</v>
      </c>
      <c r="CV48" s="1047">
        <f t="shared" si="59"/>
        <v>1</v>
      </c>
      <c r="CW48" s="1047">
        <f t="shared" si="60"/>
        <v>1</v>
      </c>
    </row>
    <row r="49" spans="1:101" ht="15" customHeight="1" x14ac:dyDescent="0.2">
      <c r="A49" s="1576" t="s">
        <v>939</v>
      </c>
      <c r="B49" s="42" t="s">
        <v>61</v>
      </c>
      <c r="C49" s="298" t="s">
        <v>1616</v>
      </c>
      <c r="D49" s="1179" t="s">
        <v>1617</v>
      </c>
      <c r="E49" s="282" t="s">
        <v>1618</v>
      </c>
      <c r="F49" s="282" t="s">
        <v>1619</v>
      </c>
      <c r="G49" s="1181" t="s">
        <v>1620</v>
      </c>
      <c r="H49" s="1179" t="s">
        <v>1621</v>
      </c>
      <c r="I49" s="1181" t="s">
        <v>1622</v>
      </c>
      <c r="J49" s="1179" t="s">
        <v>1623</v>
      </c>
      <c r="K49" s="283" t="s">
        <v>1624</v>
      </c>
      <c r="L49" s="283" t="s">
        <v>1625</v>
      </c>
      <c r="M49" s="108" t="str">
        <f t="shared" si="47"/>
        <v xml:space="preserve">* Las Gestantes de 35 a 39 años con Riesgo Psicosocial deben estar incluidas en el Total de Gestantes en Control misma edad. * Las Gestantes de 35 a 39 años Que presentan Violencia de género deben estar incluidas en el grupo En Riesgo Psicosocial. * Las Gestantes de 35 a 39 años con 3 o más Riesgos Psicosocial deben estar incluidas en el Total de Gestantes en Control misma edad. * Las Gestantes que presentan ARO de 35 a 39 años deben estar incluidas en el Total de Gestantes en Control misma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49" s="108"/>
      <c r="Z49" s="108"/>
      <c r="AA49" s="108"/>
      <c r="AB49" s="108"/>
      <c r="AC49" s="108"/>
      <c r="AD49" s="172"/>
      <c r="BK49" s="176"/>
      <c r="BL49" s="176"/>
      <c r="BM49" s="176"/>
      <c r="BN49" s="176"/>
      <c r="BO49" s="176"/>
      <c r="CB49" s="191" t="str">
        <f>IF($C49&lt;$D49,"* Las Gestantes de 35 a 39 años con Riesgo Psicosocial deben estar incluidas en el Total de Gestantes en Control misma edad. ","")</f>
        <v xml:space="preserve">* Las Gestantes de 35 a 39 años con Riesgo Psicosocial deben estar incluidas en el Total de Gestantes en Control misma edad. </v>
      </c>
      <c r="CC49" s="191" t="str">
        <f>IF($D49&lt;$F49,"* Las Gestantes de 35 a 39 años Que presentan Violencia de género deben estar incluidas en el grupo En Riesgo Psicosocial. ","")</f>
        <v xml:space="preserve">* Las Gestantes de 35 a 39 años Que presentan Violencia de género deben estar incluidas en el grupo En Riesgo Psicosocial. </v>
      </c>
      <c r="CD49" s="191" t="str">
        <f>IF($C49&lt;$E49,"* Las Gestantes de 35 a 39 años con 3 o más Riesgos Psicosocial deben estar incluidas en el Total de Gestantes en Control misma edad. ","")</f>
        <v xml:space="preserve">* Las Gestantes de 35 a 39 años con 3 o más Riesgos Psicosocial deben estar incluidas en el Total de Gestantes en Control misma edad. </v>
      </c>
      <c r="CE49" s="191" t="str">
        <f>IF($C49&lt;$G49,"* Las Gestantes que presentan ARO de 35 a 39 años deben estar incluidas en el Total de Gestantes en Control misma edad. ","")</f>
        <v xml:space="preserve">* Las Gestantes que presentan ARO de 35 a 39 años deben estar incluidas en el Total de Gestantes en Control misma edad. </v>
      </c>
      <c r="CF49" s="191" t="str">
        <f t="shared" si="48"/>
        <v xml:space="preserve">* La variable Pueblos originario no puede superar el Total de Gestantes en Control mismo grupo de edad. </v>
      </c>
      <c r="CG49" s="191" t="str">
        <f t="shared" si="49"/>
        <v xml:space="preserve">* La variable Migrantes no puede superar el Total de Gestantes en Control mismo grupo de edad. </v>
      </c>
      <c r="CH49" s="191" t="str">
        <f t="shared" si="50"/>
        <v xml:space="preserve">* La variable Trans masculino no puede superar el Total de Gestantes en Control mismo grupo de edad. </v>
      </c>
      <c r="CI49" s="191" t="str">
        <f t="shared" si="45"/>
        <v xml:space="preserve">* La variable No Binarie no puede superar el Total de Gestantes en Control mismo grupo de edad. </v>
      </c>
      <c r="CJ49" s="191" t="str">
        <f t="shared" si="51"/>
        <v xml:space="preserve">* La variable Personas con Discapacidad no puede superar el Total de Gestantes en Control mismo grupo de edad. </v>
      </c>
      <c r="CO49" s="1047">
        <f t="shared" si="52"/>
        <v>1</v>
      </c>
      <c r="CP49" s="1047">
        <f t="shared" si="53"/>
        <v>1</v>
      </c>
      <c r="CQ49" s="1047">
        <f t="shared" si="54"/>
        <v>1</v>
      </c>
      <c r="CR49" s="1047">
        <f t="shared" si="55"/>
        <v>1</v>
      </c>
      <c r="CS49" s="1047">
        <f t="shared" si="56"/>
        <v>1</v>
      </c>
      <c r="CT49" s="1047">
        <f t="shared" si="57"/>
        <v>1</v>
      </c>
      <c r="CU49" s="1047">
        <f t="shared" si="58"/>
        <v>1</v>
      </c>
      <c r="CV49" s="1047">
        <f t="shared" si="59"/>
        <v>1</v>
      </c>
      <c r="CW49" s="1047">
        <f t="shared" si="60"/>
        <v>1</v>
      </c>
    </row>
    <row r="50" spans="1:101" ht="15" customHeight="1" x14ac:dyDescent="0.2">
      <c r="A50" s="1576" t="s">
        <v>940</v>
      </c>
      <c r="B50" s="42" t="s">
        <v>62</v>
      </c>
      <c r="C50" s="298" t="s">
        <v>1616</v>
      </c>
      <c r="D50" s="1179" t="s">
        <v>1617</v>
      </c>
      <c r="E50" s="282" t="s">
        <v>1618</v>
      </c>
      <c r="F50" s="282" t="s">
        <v>1619</v>
      </c>
      <c r="G50" s="1181" t="s">
        <v>1620</v>
      </c>
      <c r="H50" s="1179" t="s">
        <v>1621</v>
      </c>
      <c r="I50" s="1181" t="s">
        <v>1622</v>
      </c>
      <c r="J50" s="1179" t="s">
        <v>1623</v>
      </c>
      <c r="K50" s="283" t="s">
        <v>1624</v>
      </c>
      <c r="L50" s="283" t="s">
        <v>1625</v>
      </c>
      <c r="M50" s="108" t="str">
        <f t="shared" si="47"/>
        <v xml:space="preserve">* Las Gestantes 40 a 44 años con Riesgo Psicosocial deben estar incluidas en el Total de Gestantes en Control misma edad. * Las Gestantes de 40 a 44 años Que presentan Violencia de género deben estar incluidas en el grupo En Riesgo Psicosocial. * Las Gestantes de 40 a 44 años con 3 o más Riesgos Psicosocial deben estar incluidas en el Total de Gestantes en Control misma edad. * Las Gestantes que presentan ARO de 40 a 44 años deben estar incluidas en el Total de Gestantes en Control misma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50" s="108"/>
      <c r="Z50" s="108"/>
      <c r="AA50" s="108"/>
      <c r="AB50" s="108"/>
      <c r="AC50" s="108"/>
      <c r="AD50" s="172"/>
      <c r="BK50" s="176"/>
      <c r="BL50" s="176"/>
      <c r="BM50" s="176"/>
      <c r="BN50" s="176"/>
      <c r="BO50" s="176"/>
      <c r="CB50" s="191" t="str">
        <f>IF($C50&lt;$D50,"* Las Gestantes 40 a 44 años con Riesgo Psicosocial deben estar incluidas en el Total de Gestantes en Control misma edad. ","")</f>
        <v xml:space="preserve">* Las Gestantes 40 a 44 años con Riesgo Psicosocial deben estar incluidas en el Total de Gestantes en Control misma edad. </v>
      </c>
      <c r="CC50" s="191" t="str">
        <f>IF($D50&lt;$F50,"* Las Gestantes de 40 a 44 años Que presentan Violencia de género deben estar incluidas en el grupo En Riesgo Psicosocial. ","")</f>
        <v xml:space="preserve">* Las Gestantes de 40 a 44 años Que presentan Violencia de género deben estar incluidas en el grupo En Riesgo Psicosocial. </v>
      </c>
      <c r="CD50" s="191" t="str">
        <f>IF($C50&lt;$E50,"* Las Gestantes de 40 a 44 años con 3 o más Riesgos Psicosocial deben estar incluidas en el Total de Gestantes en Control misma edad. ","")</f>
        <v xml:space="preserve">* Las Gestantes de 40 a 44 años con 3 o más Riesgos Psicosocial deben estar incluidas en el Total de Gestantes en Control misma edad. </v>
      </c>
      <c r="CE50" s="191" t="str">
        <f>IF($C50&lt;$G50,"* Las Gestantes que presentan ARO de 40 a 44 años deben estar incluidas en el Total de Gestantes en Control misma edad. ","")</f>
        <v xml:space="preserve">* Las Gestantes que presentan ARO de 40 a 44 años deben estar incluidas en el Total de Gestantes en Control misma edad. </v>
      </c>
      <c r="CF50" s="191" t="str">
        <f t="shared" si="48"/>
        <v xml:space="preserve">* La variable Pueblos originario no puede superar el Total de Gestantes en Control mismo grupo de edad. </v>
      </c>
      <c r="CG50" s="191" t="str">
        <f t="shared" si="49"/>
        <v xml:space="preserve">* La variable Migrantes no puede superar el Total de Gestantes en Control mismo grupo de edad. </v>
      </c>
      <c r="CH50" s="191" t="str">
        <f t="shared" si="50"/>
        <v xml:space="preserve">* La variable Trans masculino no puede superar el Total de Gestantes en Control mismo grupo de edad. </v>
      </c>
      <c r="CI50" s="191" t="str">
        <f t="shared" si="45"/>
        <v xml:space="preserve">* La variable No Binarie no puede superar el Total de Gestantes en Control mismo grupo de edad. </v>
      </c>
      <c r="CJ50" s="191" t="str">
        <f t="shared" si="51"/>
        <v xml:space="preserve">* La variable Personas con Discapacidad no puede superar el Total de Gestantes en Control mismo grupo de edad. </v>
      </c>
      <c r="CO50" s="1047">
        <f t="shared" si="52"/>
        <v>1</v>
      </c>
      <c r="CP50" s="1047">
        <f t="shared" si="53"/>
        <v>1</v>
      </c>
      <c r="CQ50" s="1047">
        <f t="shared" si="54"/>
        <v>1</v>
      </c>
      <c r="CR50" s="1047">
        <f t="shared" si="55"/>
        <v>1</v>
      </c>
      <c r="CS50" s="1047">
        <f t="shared" si="56"/>
        <v>1</v>
      </c>
      <c r="CT50" s="1047">
        <f t="shared" si="57"/>
        <v>1</v>
      </c>
      <c r="CU50" s="1047">
        <f t="shared" si="58"/>
        <v>1</v>
      </c>
      <c r="CV50" s="1047">
        <f t="shared" si="59"/>
        <v>1</v>
      </c>
      <c r="CW50" s="1047">
        <f t="shared" si="60"/>
        <v>1</v>
      </c>
    </row>
    <row r="51" spans="1:101" ht="15" customHeight="1" x14ac:dyDescent="0.2">
      <c r="A51" s="1576" t="s">
        <v>941</v>
      </c>
      <c r="B51" s="42" t="s">
        <v>63</v>
      </c>
      <c r="C51" s="298" t="s">
        <v>1616</v>
      </c>
      <c r="D51" s="1179" t="s">
        <v>1617</v>
      </c>
      <c r="E51" s="282" t="s">
        <v>1618</v>
      </c>
      <c r="F51" s="282" t="s">
        <v>1619</v>
      </c>
      <c r="G51" s="1181" t="s">
        <v>1620</v>
      </c>
      <c r="H51" s="1179" t="s">
        <v>1621</v>
      </c>
      <c r="I51" s="1181" t="s">
        <v>1622</v>
      </c>
      <c r="J51" s="1179" t="s">
        <v>1623</v>
      </c>
      <c r="K51" s="283" t="s">
        <v>1624</v>
      </c>
      <c r="L51" s="283" t="s">
        <v>1625</v>
      </c>
      <c r="M51" s="108" t="str">
        <f t="shared" si="47"/>
        <v xml:space="preserve">* Las Gestantes de 45 a 49 años con Riesgo Psicosocial deben estar incluidas en el Total de Gestantes en Control misma edad. * Las Gestantes de 45 a 49 años Que presentan Violencia de género deben estar incluidas en el grupo En Riesgo Psicosocial. * Las Gestantes 45 a 49 años con 3 o más Riesgos Psicosocial deben estar incluidas en el Total de Gestantes en Control misma edad. * Las Gestantes que presentan ARO de 45 a 49 años deben estar incluidas en el Total de Gestantes en Control misma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51" s="108"/>
      <c r="Z51" s="108"/>
      <c r="AA51" s="108"/>
      <c r="AB51" s="108"/>
      <c r="AC51" s="108"/>
      <c r="AD51" s="172"/>
      <c r="BK51" s="176"/>
      <c r="BL51" s="176"/>
      <c r="BM51" s="176"/>
      <c r="BN51" s="176"/>
      <c r="BO51" s="176"/>
      <c r="CB51" s="191" t="str">
        <f>IF($C51&lt;$D51,"* Las Gestantes de 45 a 49 años con Riesgo Psicosocial deben estar incluidas en el Total de Gestantes en Control misma edad. ","")</f>
        <v xml:space="preserve">* Las Gestantes de 45 a 49 años con Riesgo Psicosocial deben estar incluidas en el Total de Gestantes en Control misma edad. </v>
      </c>
      <c r="CC51" s="191" t="str">
        <f>IF($D51&lt;$F51,"* Las Gestantes de 45 a 49 años Que presentan Violencia de género deben estar incluidas en el grupo En Riesgo Psicosocial. ","")</f>
        <v xml:space="preserve">* Las Gestantes de 45 a 49 años Que presentan Violencia de género deben estar incluidas en el grupo En Riesgo Psicosocial. </v>
      </c>
      <c r="CD51" s="191" t="str">
        <f>IF($C51&lt;$E51,"* Las Gestantes 45 a 49 años con 3 o más Riesgos Psicosocial deben estar incluidas en el Total de Gestantes en Control misma edad. ","")</f>
        <v xml:space="preserve">* Las Gestantes 45 a 49 años con 3 o más Riesgos Psicosocial deben estar incluidas en el Total de Gestantes en Control misma edad. </v>
      </c>
      <c r="CE51" s="191" t="str">
        <f>IF($C51&lt;$G51,"* Las Gestantes que presentan ARO de 45 a 49 años deben estar incluidas en el Total de Gestantes en Control misma edad. ","")</f>
        <v xml:space="preserve">* Las Gestantes que presentan ARO de 45 a 49 años deben estar incluidas en el Total de Gestantes en Control misma edad. </v>
      </c>
      <c r="CF51" s="191" t="str">
        <f t="shared" si="48"/>
        <v xml:space="preserve">* La variable Pueblos originario no puede superar el Total de Gestantes en Control mismo grupo de edad. </v>
      </c>
      <c r="CG51" s="191" t="str">
        <f t="shared" si="49"/>
        <v xml:space="preserve">* La variable Migrantes no puede superar el Total de Gestantes en Control mismo grupo de edad. </v>
      </c>
      <c r="CH51" s="191" t="str">
        <f t="shared" si="50"/>
        <v xml:space="preserve">* La variable Trans masculino no puede superar el Total de Gestantes en Control mismo grupo de edad. </v>
      </c>
      <c r="CI51" s="191" t="str">
        <f t="shared" si="45"/>
        <v xml:space="preserve">* La variable No Binarie no puede superar el Total de Gestantes en Control mismo grupo de edad. </v>
      </c>
      <c r="CJ51" s="191" t="str">
        <f t="shared" si="51"/>
        <v xml:space="preserve">* La variable Personas con Discapacidad no puede superar el Total de Gestantes en Control mismo grupo de edad. </v>
      </c>
      <c r="CO51" s="1047">
        <f t="shared" si="52"/>
        <v>1</v>
      </c>
      <c r="CP51" s="1047">
        <f t="shared" si="53"/>
        <v>1</v>
      </c>
      <c r="CQ51" s="1047">
        <f t="shared" si="54"/>
        <v>1</v>
      </c>
      <c r="CR51" s="1047">
        <f t="shared" si="55"/>
        <v>1</v>
      </c>
      <c r="CS51" s="1047">
        <f t="shared" si="56"/>
        <v>1</v>
      </c>
      <c r="CT51" s="1047">
        <f t="shared" si="57"/>
        <v>1</v>
      </c>
      <c r="CU51" s="1047">
        <f t="shared" si="58"/>
        <v>1</v>
      </c>
      <c r="CV51" s="1047">
        <f t="shared" si="59"/>
        <v>1</v>
      </c>
      <c r="CW51" s="1047">
        <f t="shared" si="60"/>
        <v>1</v>
      </c>
    </row>
    <row r="52" spans="1:101" ht="15" customHeight="1" x14ac:dyDescent="0.2">
      <c r="A52" s="1576" t="s">
        <v>942</v>
      </c>
      <c r="B52" s="42" t="s">
        <v>64</v>
      </c>
      <c r="C52" s="298" t="s">
        <v>1616</v>
      </c>
      <c r="D52" s="1179" t="s">
        <v>1617</v>
      </c>
      <c r="E52" s="282" t="s">
        <v>1618</v>
      </c>
      <c r="F52" s="282" t="s">
        <v>1619</v>
      </c>
      <c r="G52" s="1181" t="s">
        <v>1620</v>
      </c>
      <c r="H52" s="1179" t="s">
        <v>1621</v>
      </c>
      <c r="I52" s="1181" t="s">
        <v>1622</v>
      </c>
      <c r="J52" s="1179" t="s">
        <v>1623</v>
      </c>
      <c r="K52" s="283" t="s">
        <v>1624</v>
      </c>
      <c r="L52" s="283" t="s">
        <v>1625</v>
      </c>
      <c r="M52" s="108" t="str">
        <f>($CB52&amp;$CC52&amp;$CD52&amp;$CE52&amp;$CF52&amp;$CG52&amp;CH52&amp;CI52&amp;CJ52)</f>
        <v xml:space="preserve">* Las Gestantes de 50 a 54 años con Riesgo Psicosocial deben estar incluidas en el Total de Gestantes en Control misma edad. * Las Gestantes de 50 a 54 años Que presentan Violencia de género deben estar incluidas en el grupo En Riesgo Psicosocial. * Las Gestantes de 50 a 54 años con 3 o más Riesgos Psicosocial deben estar incluidas en el Total de Gestantes en Control misma edad. * Las Gestantes que presentan ARO de 50 a 54 años deben estar incluidas en el Total de Gestantes en Control misma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52" s="108"/>
      <c r="Z52" s="108"/>
      <c r="AA52" s="108"/>
      <c r="AB52" s="108"/>
      <c r="AC52" s="108"/>
      <c r="AD52" s="172"/>
      <c r="BK52" s="176"/>
      <c r="BL52" s="176"/>
      <c r="BM52" s="176"/>
      <c r="BN52" s="176"/>
      <c r="BO52" s="176"/>
      <c r="CB52" s="191" t="str">
        <f>IF($C52&lt;$D52,"* Las Gestantes de 50 a 54 años con Riesgo Psicosocial deben estar incluidas en el Total de Gestantes en Control misma edad. ","")</f>
        <v xml:space="preserve">* Las Gestantes de 50 a 54 años con Riesgo Psicosocial deben estar incluidas en el Total de Gestantes en Control misma edad. </v>
      </c>
      <c r="CC52" s="191" t="str">
        <f>IF($D52&lt;$F52,"* Las Gestantes de 50 a 54 años Que presentan Violencia de género deben estar incluidas en el grupo En Riesgo Psicosocial. ","")</f>
        <v xml:space="preserve">* Las Gestantes de 50 a 54 años Que presentan Violencia de género deben estar incluidas en el grupo En Riesgo Psicosocial. </v>
      </c>
      <c r="CD52" s="191" t="str">
        <f>IF($C52&lt;$E52,"* Las Gestantes de 50 a 54 años con 3 o más Riesgos Psicosocial deben estar incluidas en el Total de Gestantes en Control misma edad. ","")</f>
        <v xml:space="preserve">* Las Gestantes de 50 a 54 años con 3 o más Riesgos Psicosocial deben estar incluidas en el Total de Gestantes en Control misma edad. </v>
      </c>
      <c r="CE52" s="191" t="str">
        <f>IF($C52&lt;$G52,"* Las Gestantes que presentan ARO de 50 a 54 años deben estar incluidas en el Total de Gestantes en Control misma edad. ","")</f>
        <v xml:space="preserve">* Las Gestantes que presentan ARO de 50 a 54 años deben estar incluidas en el Total de Gestantes en Control misma edad. </v>
      </c>
      <c r="CF52" s="191" t="str">
        <f t="shared" si="48"/>
        <v xml:space="preserve">* La variable Pueblos originario no puede superar el Total de Gestantes en Control mismo grupo de edad. </v>
      </c>
      <c r="CG52" s="191" t="str">
        <f t="shared" si="49"/>
        <v xml:space="preserve">* La variable Migrantes no puede superar el Total de Gestantes en Control mismo grupo de edad. </v>
      </c>
      <c r="CH52" s="191" t="str">
        <f t="shared" si="50"/>
        <v xml:space="preserve">* La variable Trans masculino no puede superar el Total de Gestantes en Control mismo grupo de edad. </v>
      </c>
      <c r="CI52" s="191" t="str">
        <f t="shared" si="45"/>
        <v xml:space="preserve">* La variable No Binarie no puede superar el Total de Gestantes en Control mismo grupo de edad. </v>
      </c>
      <c r="CJ52" s="191" t="str">
        <f t="shared" si="51"/>
        <v xml:space="preserve">* La variable Personas con Discapacidad no puede superar el Total de Gestantes en Control mismo grupo de edad. </v>
      </c>
      <c r="CO52" s="1047">
        <f t="shared" si="52"/>
        <v>1</v>
      </c>
      <c r="CP52" s="1047">
        <f t="shared" si="53"/>
        <v>1</v>
      </c>
      <c r="CQ52" s="1047">
        <f t="shared" si="54"/>
        <v>1</v>
      </c>
      <c r="CR52" s="1047">
        <f t="shared" si="55"/>
        <v>1</v>
      </c>
      <c r="CS52" s="1047">
        <f t="shared" si="56"/>
        <v>1</v>
      </c>
      <c r="CT52" s="1047">
        <f t="shared" si="57"/>
        <v>1</v>
      </c>
      <c r="CU52" s="1047">
        <f t="shared" si="58"/>
        <v>1</v>
      </c>
      <c r="CV52" s="1047">
        <f t="shared" si="59"/>
        <v>1</v>
      </c>
      <c r="CW52" s="1047">
        <f t="shared" si="60"/>
        <v>1</v>
      </c>
    </row>
    <row r="53" spans="1:101" ht="15" customHeight="1" x14ac:dyDescent="0.2">
      <c r="A53" s="1580"/>
      <c r="B53" s="1416" t="s">
        <v>89</v>
      </c>
      <c r="C53" s="1417">
        <f t="shared" ref="C53:L53" si="61">SUM(C44:C52)</f>
        <v>0</v>
      </c>
      <c r="D53" s="1180">
        <f t="shared" si="61"/>
        <v>0</v>
      </c>
      <c r="E53" s="1182">
        <f>SUM(E44:E52)</f>
        <v>0</v>
      </c>
      <c r="F53" s="1182">
        <f t="shared" si="61"/>
        <v>0</v>
      </c>
      <c r="G53" s="1418">
        <f t="shared" si="61"/>
        <v>0</v>
      </c>
      <c r="H53" s="1180">
        <f t="shared" si="61"/>
        <v>0</v>
      </c>
      <c r="I53" s="1418">
        <f t="shared" si="61"/>
        <v>0</v>
      </c>
      <c r="J53" s="1180">
        <f t="shared" si="61"/>
        <v>0</v>
      </c>
      <c r="K53" s="1417">
        <f t="shared" si="61"/>
        <v>0</v>
      </c>
      <c r="L53" s="1417">
        <f t="shared" si="61"/>
        <v>0</v>
      </c>
      <c r="M53" s="36"/>
      <c r="Y53" s="108"/>
      <c r="Z53" s="108"/>
      <c r="AA53" s="108"/>
      <c r="AB53" s="108"/>
      <c r="AC53" s="108"/>
      <c r="AD53" s="172"/>
      <c r="BK53" s="176"/>
      <c r="BL53" s="176"/>
      <c r="BM53" s="176"/>
      <c r="BN53" s="176"/>
      <c r="BO53" s="176"/>
    </row>
    <row r="54" spans="1:101" ht="17.100000000000001" customHeight="1" x14ac:dyDescent="0.15">
      <c r="B54" s="1655" t="s">
        <v>110</v>
      </c>
      <c r="C54" s="1656"/>
      <c r="D54" s="1656"/>
      <c r="E54" s="1656"/>
      <c r="F54" s="1656"/>
      <c r="G54" s="220"/>
      <c r="H54" s="220"/>
      <c r="I54" s="220"/>
      <c r="J54" s="220"/>
      <c r="K54" s="220"/>
      <c r="L54" s="220"/>
    </row>
    <row r="55" spans="1:101" ht="15" customHeight="1" x14ac:dyDescent="0.15">
      <c r="B55" s="1714" t="s">
        <v>111</v>
      </c>
      <c r="C55" s="1714" t="s">
        <v>112</v>
      </c>
      <c r="D55" s="1714" t="s">
        <v>113</v>
      </c>
      <c r="E55" s="1714" t="s">
        <v>114</v>
      </c>
      <c r="F55" s="34"/>
    </row>
    <row r="56" spans="1:101" ht="12" customHeight="1" x14ac:dyDescent="0.15">
      <c r="B56" s="1714"/>
      <c r="C56" s="1714"/>
      <c r="D56" s="1714"/>
      <c r="E56" s="1714"/>
      <c r="F56" s="34"/>
    </row>
    <row r="57" spans="1:101" ht="15" customHeight="1" x14ac:dyDescent="0.2">
      <c r="A57" s="1576" t="s">
        <v>943</v>
      </c>
      <c r="B57" s="41" t="s">
        <v>115</v>
      </c>
      <c r="C57" s="299" t="s">
        <v>1616</v>
      </c>
      <c r="D57" s="260" t="s">
        <v>1617</v>
      </c>
      <c r="E57" s="299" t="s">
        <v>1618</v>
      </c>
      <c r="F57" s="108" t="e">
        <f>($CB57&amp;$CC57)</f>
        <v>#VALUE!</v>
      </c>
      <c r="CB57" s="191" t="e">
        <f>IF($D$57&lt;&gt;$C$57*1,"* NO ALTERE LAS FÓRMULAS, el Total de Visitas equivale a 1 visita por gestante. ","")</f>
        <v>#VALUE!</v>
      </c>
      <c r="CC57" s="191" t="str">
        <f>IF(AND($C57&lt;&gt;0,E57=""),"* No olvide ingresar la variable "&amp;E$55&amp;""&amp;". Digite CERO si no tiene. ","")</f>
        <v/>
      </c>
      <c r="CO57" s="1047" t="e">
        <f>IF($D$57&lt;&gt;$C$57*1,1,0)</f>
        <v>#VALUE!</v>
      </c>
      <c r="CP57" s="1047">
        <f>IF(AND($C57&lt;&gt;0,$E57=""),1,0)</f>
        <v>0</v>
      </c>
    </row>
    <row r="58" spans="1:101" ht="15" customHeight="1" x14ac:dyDescent="0.2">
      <c r="A58" s="1576" t="s">
        <v>944</v>
      </c>
      <c r="B58" s="42" t="s">
        <v>116</v>
      </c>
      <c r="C58" s="300" t="s">
        <v>1616</v>
      </c>
      <c r="D58" s="301" t="s">
        <v>1617</v>
      </c>
      <c r="E58" s="300" t="s">
        <v>1618</v>
      </c>
      <c r="F58" s="108" t="e">
        <f t="shared" ref="F58:F59" si="62">($CB58&amp;$CC58)</f>
        <v>#VALUE!</v>
      </c>
      <c r="CB58" s="191" t="e">
        <f>IF($D$58&lt;&gt;$C$58*1,"* NO ALTERE LAS FÓRMULAS, el Total de Visitas equivale a 1 visita por gestante. ","")</f>
        <v>#VALUE!</v>
      </c>
      <c r="CC58" s="191" t="str">
        <f t="shared" ref="CC58:CC59" si="63">IF(AND($C58&lt;&gt;0,E58=""),"* No olvide ingresar la variable "&amp;E$55&amp;""&amp;". Digite CERO si no tiene. ","")</f>
        <v/>
      </c>
      <c r="CO58" s="1047" t="e">
        <f>IF($D$58&lt;&gt;$C$58*1,1,0)</f>
        <v>#VALUE!</v>
      </c>
      <c r="CP58" s="1047">
        <f t="shared" ref="CP58:CP60" si="64">IF(AND($C58&lt;&gt;0,$E58=""),1,0)</f>
        <v>0</v>
      </c>
    </row>
    <row r="59" spans="1:101" ht="15" customHeight="1" x14ac:dyDescent="0.2">
      <c r="A59" s="1576" t="s">
        <v>945</v>
      </c>
      <c r="B59" s="42" t="s">
        <v>117</v>
      </c>
      <c r="C59" s="300" t="s">
        <v>1616</v>
      </c>
      <c r="D59" s="289" t="s">
        <v>1617</v>
      </c>
      <c r="E59" s="300" t="s">
        <v>1618</v>
      </c>
      <c r="F59" s="108" t="e">
        <f t="shared" si="62"/>
        <v>#VALUE!</v>
      </c>
      <c r="CB59" s="191" t="e">
        <f>IF($D$59&lt;&gt;$C$59*1,"* NO ALTERE LAS FÓRMULAS, el Total de Visitas equivale a 1 visita por gestante. ","")</f>
        <v>#VALUE!</v>
      </c>
      <c r="CC59" s="191" t="str">
        <f t="shared" si="63"/>
        <v/>
      </c>
      <c r="CO59" s="1047" t="e">
        <f>IF($D$59&lt;&gt;$C$59*1,1,0)</f>
        <v>#VALUE!</v>
      </c>
      <c r="CP59" s="1047">
        <f t="shared" si="64"/>
        <v>0</v>
      </c>
    </row>
    <row r="60" spans="1:101" ht="15" customHeight="1" x14ac:dyDescent="0.2">
      <c r="A60" s="1576" t="s">
        <v>946</v>
      </c>
      <c r="B60" s="43" t="s">
        <v>118</v>
      </c>
      <c r="C60" s="302" t="s">
        <v>1616</v>
      </c>
      <c r="D60" s="372" t="s">
        <v>1617</v>
      </c>
      <c r="E60" s="302" t="s">
        <v>1618</v>
      </c>
      <c r="F60" s="108" t="e">
        <f>($CB60&amp;$CC60)</f>
        <v>#VALUE!</v>
      </c>
      <c r="CB60" s="191" t="e">
        <f>IF($D$60&lt;&gt;$C$60*1,"* NO ALTERE LAS FÓRMULAS, el Total de Visitas equivale a 1 visita por gestante. ","")</f>
        <v>#VALUE!</v>
      </c>
      <c r="CC60" s="191" t="str">
        <f t="shared" ref="CC60" si="65">IF(AND($C60&lt;&gt;0,E60=""),"* No olvide ingresar la variable "&amp;E$55&amp;""&amp;". Digite CERO si no tiene. ","")</f>
        <v/>
      </c>
      <c r="CO60" s="1047" t="e">
        <f>IF($D$60&lt;&gt;$C$60*1,1,0)</f>
        <v>#VALUE!</v>
      </c>
      <c r="CP60" s="1047">
        <f t="shared" si="64"/>
        <v>0</v>
      </c>
    </row>
    <row r="61" spans="1:101" ht="15" customHeight="1" x14ac:dyDescent="0.15">
      <c r="A61" s="1578"/>
      <c r="B61" s="1416" t="s">
        <v>89</v>
      </c>
      <c r="C61" s="1409">
        <f>SUM(C57:C60)</f>
        <v>0</v>
      </c>
      <c r="D61" s="1409">
        <f>SUM(D57:D60)</f>
        <v>0</v>
      </c>
      <c r="E61" s="1409">
        <f>SUM(E57:E60)</f>
        <v>0</v>
      </c>
      <c r="F61" s="34"/>
    </row>
    <row r="62" spans="1:101" ht="17.100000000000001" customHeight="1" x14ac:dyDescent="0.15">
      <c r="B62" s="1657" t="s">
        <v>119</v>
      </c>
      <c r="C62" s="1658"/>
      <c r="D62" s="1658"/>
      <c r="E62" s="1658"/>
      <c r="F62" s="1658"/>
      <c r="G62" s="1658"/>
      <c r="H62" s="1658"/>
      <c r="I62" s="1658"/>
      <c r="J62" s="1658"/>
      <c r="K62" s="1658"/>
      <c r="L62" s="1658"/>
      <c r="M62" s="1658"/>
    </row>
    <row r="63" spans="1:101" ht="15" customHeight="1" x14ac:dyDescent="0.15">
      <c r="B63" s="1741" t="s">
        <v>120</v>
      </c>
      <c r="C63" s="1668" t="s">
        <v>121</v>
      </c>
      <c r="D63" s="1668" t="s">
        <v>49</v>
      </c>
      <c r="E63" s="1670" t="s">
        <v>50</v>
      </c>
      <c r="F63" s="1711"/>
      <c r="G63" s="1711"/>
      <c r="H63" s="1711"/>
      <c r="I63" s="1711"/>
      <c r="J63" s="1711"/>
      <c r="K63" s="1711"/>
      <c r="L63" s="1711"/>
      <c r="M63" s="1671"/>
    </row>
    <row r="64" spans="1:101" ht="15" customHeight="1" x14ac:dyDescent="0.15">
      <c r="B64" s="1742"/>
      <c r="C64" s="1669"/>
      <c r="D64" s="1669"/>
      <c r="E64" s="1224" t="s">
        <v>122</v>
      </c>
      <c r="F64" s="1206" t="s">
        <v>57</v>
      </c>
      <c r="G64" s="1206" t="s">
        <v>58</v>
      </c>
      <c r="H64" s="821" t="s">
        <v>59</v>
      </c>
      <c r="I64" s="821" t="s">
        <v>60</v>
      </c>
      <c r="J64" s="821" t="s">
        <v>61</v>
      </c>
      <c r="K64" s="821" t="s">
        <v>62</v>
      </c>
      <c r="L64" s="821" t="s">
        <v>63</v>
      </c>
      <c r="M64" s="1420" t="s">
        <v>64</v>
      </c>
      <c r="N64" s="34"/>
    </row>
    <row r="65" spans="1:101" ht="15" customHeight="1" x14ac:dyDescent="0.2">
      <c r="A65" s="1576" t="s">
        <v>947</v>
      </c>
      <c r="B65" s="1668" t="s">
        <v>123</v>
      </c>
      <c r="C65" s="44" t="s">
        <v>124</v>
      </c>
      <c r="D65" s="303" t="s">
        <v>1616</v>
      </c>
      <c r="E65" s="261" t="s">
        <v>1617</v>
      </c>
      <c r="F65" s="263" t="s">
        <v>1618</v>
      </c>
      <c r="G65" s="263" t="s">
        <v>1619</v>
      </c>
      <c r="H65" s="263" t="s">
        <v>1620</v>
      </c>
      <c r="I65" s="263" t="s">
        <v>1621</v>
      </c>
      <c r="J65" s="263" t="s">
        <v>1622</v>
      </c>
      <c r="K65" s="263" t="s">
        <v>1623</v>
      </c>
      <c r="L65" s="263" t="s">
        <v>1624</v>
      </c>
      <c r="M65" s="265" t="s">
        <v>1625</v>
      </c>
    </row>
    <row r="66" spans="1:101" ht="15" customHeight="1" x14ac:dyDescent="0.2">
      <c r="A66" s="1576" t="s">
        <v>948</v>
      </c>
      <c r="B66" s="1747"/>
      <c r="C66" s="45" t="s">
        <v>125</v>
      </c>
      <c r="D66" s="304" t="s">
        <v>1616</v>
      </c>
      <c r="E66" s="310" t="s">
        <v>1617</v>
      </c>
      <c r="F66" s="278" t="s">
        <v>1618</v>
      </c>
      <c r="G66" s="278" t="s">
        <v>1619</v>
      </c>
      <c r="H66" s="278" t="s">
        <v>1620</v>
      </c>
      <c r="I66" s="278" t="s">
        <v>1621</v>
      </c>
      <c r="J66" s="278" t="s">
        <v>1622</v>
      </c>
      <c r="K66" s="278" t="s">
        <v>1623</v>
      </c>
      <c r="L66" s="278" t="s">
        <v>1624</v>
      </c>
      <c r="M66" s="280" t="s">
        <v>1625</v>
      </c>
    </row>
    <row r="67" spans="1:101" ht="15" customHeight="1" x14ac:dyDescent="0.2">
      <c r="A67" s="1576" t="s">
        <v>949</v>
      </c>
      <c r="B67" s="1747"/>
      <c r="C67" s="45" t="s">
        <v>126</v>
      </c>
      <c r="D67" s="304" t="s">
        <v>1616</v>
      </c>
      <c r="E67" s="310" t="s">
        <v>1617</v>
      </c>
      <c r="F67" s="278" t="s">
        <v>1618</v>
      </c>
      <c r="G67" s="278" t="s">
        <v>1619</v>
      </c>
      <c r="H67" s="278" t="s">
        <v>1620</v>
      </c>
      <c r="I67" s="278" t="s">
        <v>1621</v>
      </c>
      <c r="J67" s="278" t="s">
        <v>1622</v>
      </c>
      <c r="K67" s="278" t="s">
        <v>1623</v>
      </c>
      <c r="L67" s="278" t="s">
        <v>1624</v>
      </c>
      <c r="M67" s="280" t="s">
        <v>1625</v>
      </c>
    </row>
    <row r="68" spans="1:101" ht="15" customHeight="1" x14ac:dyDescent="0.2">
      <c r="A68" s="1576" t="s">
        <v>950</v>
      </c>
      <c r="B68" s="1747"/>
      <c r="C68" s="46" t="s">
        <v>127</v>
      </c>
      <c r="D68" s="305" t="s">
        <v>1616</v>
      </c>
      <c r="E68" s="373" t="s">
        <v>1617</v>
      </c>
      <c r="F68" s="282" t="s">
        <v>1618</v>
      </c>
      <c r="G68" s="282" t="s">
        <v>1619</v>
      </c>
      <c r="H68" s="282" t="s">
        <v>1620</v>
      </c>
      <c r="I68" s="282" t="s">
        <v>1621</v>
      </c>
      <c r="J68" s="282" t="s">
        <v>1622</v>
      </c>
      <c r="K68" s="282" t="s">
        <v>1623</v>
      </c>
      <c r="L68" s="282" t="s">
        <v>1624</v>
      </c>
      <c r="M68" s="283" t="s">
        <v>1625</v>
      </c>
    </row>
    <row r="69" spans="1:101" ht="15" customHeight="1" x14ac:dyDescent="0.2">
      <c r="A69" s="1581"/>
      <c r="B69" s="1669"/>
      <c r="C69" s="1416" t="s">
        <v>89</v>
      </c>
      <c r="D69" s="1409">
        <f>SUM(E69:M69)</f>
        <v>0</v>
      </c>
      <c r="E69" s="1225">
        <f>SUM(E65:E68)</f>
        <v>0</v>
      </c>
      <c r="F69" s="1182">
        <f t="shared" ref="F69:M69" si="66">SUM(F65:F68)</f>
        <v>0</v>
      </c>
      <c r="G69" s="1182">
        <f t="shared" si="66"/>
        <v>0</v>
      </c>
      <c r="H69" s="1182">
        <f t="shared" si="66"/>
        <v>0</v>
      </c>
      <c r="I69" s="1182">
        <f t="shared" si="66"/>
        <v>0</v>
      </c>
      <c r="J69" s="1182">
        <f t="shared" si="66"/>
        <v>0</v>
      </c>
      <c r="K69" s="1182">
        <f t="shared" si="66"/>
        <v>0</v>
      </c>
      <c r="L69" s="1182">
        <f t="shared" si="66"/>
        <v>0</v>
      </c>
      <c r="M69" s="1417">
        <f t="shared" si="66"/>
        <v>0</v>
      </c>
      <c r="N69" s="108" t="str">
        <f xml:space="preserve"> CB69 &amp; CC69 &amp; CD69 &amp; CE69 &amp; CF69 &amp; CG69 &amp; CH69 &amp;CI69&amp;CJ69</f>
        <v xml:space="preserve">* El Total de Gestantes Menos de 15 años, según Estado Nutricional, debe ser igual al Total de Gestantes en Control de esa edad, de la Sección B. * El Total de Gestantes 15-19 años, según Estado Nutricional debe ser igual al Total de gestantes en Control de esa edad, de la Sección B. * El Total de Gestantes 20-24 años, según Estado Nutricional debe ser igual al Total de gestantes en Control de esa edad, de la Sección B. * El Total de Gestantes 25-29 años, según Estado Nutricional debe ser igual al Total de gestantes en Control de esa edad, de la Sección B. * El Total de Gestantes 30-34 años, según Estado Nutricional debe ser igual al Total de gestantes en Control de esa edad, de la Sección B. * El Total de Gestantes 35-39 años, según Estado Nutricional debe ser igual al Total de gestantes en Control de esa edad, de la Sección B. * El Total de Gestantes 40-44 años, según Estado Nutricional debe ser igual al Total de gestantes en Control de esa edad, de la Sección B. * El Total de Gestantes 45-49 años, según Estado Nutricional debe ser igual al Total de gestantes en Control de esa edad, de la Sección B. * El Total de Gestantes 50-54 años, según Estado Nutricional debe ser igual al Total de gestantes en Control de esa edad, de la Sección B. </v>
      </c>
      <c r="CB69" s="191" t="str">
        <f>IF($C$44&lt;&gt;$E69,"* El Total de Gestantes Menos de 15 años, según Estado Nutricional, debe ser igual al Total de Gestantes en Control de esa edad, de la Sección B. ","")</f>
        <v xml:space="preserve">* El Total de Gestantes Menos de 15 años, según Estado Nutricional, debe ser igual al Total de Gestantes en Control de esa edad, de la Sección B. </v>
      </c>
      <c r="CC69" s="191" t="str">
        <f>IF($C$45&lt;&gt;$F69,"* El Total de Gestantes 15-19 años, según Estado Nutricional debe ser igual al Total de gestantes en Control de esa edad, de la Sección B. ","")</f>
        <v xml:space="preserve">* El Total de Gestantes 15-19 años, según Estado Nutricional debe ser igual al Total de gestantes en Control de esa edad, de la Sección B. </v>
      </c>
      <c r="CD69" s="191" t="str">
        <f>IF($C$46&lt;&gt;$G69,"* El Total de Gestantes 20-24 años, según Estado Nutricional debe ser igual al Total de gestantes en Control de esa edad, de la Sección B. ","")</f>
        <v xml:space="preserve">* El Total de Gestantes 20-24 años, según Estado Nutricional debe ser igual al Total de gestantes en Control de esa edad, de la Sección B. </v>
      </c>
      <c r="CE69" s="191" t="str">
        <f>IF($C$47&lt;&gt;$H69,"* El Total de Gestantes 25-29 años, según Estado Nutricional debe ser igual al Total de gestantes en Control de esa edad, de la Sección B. ","")</f>
        <v xml:space="preserve">* El Total de Gestantes 25-29 años, según Estado Nutricional debe ser igual al Total de gestantes en Control de esa edad, de la Sección B. </v>
      </c>
      <c r="CF69" s="191" t="str">
        <f>IF($C$48&lt;&gt;$I69,"* El Total de Gestantes 30-34 años, según Estado Nutricional debe ser igual al Total de gestantes en Control de esa edad, de la Sección B. ","")</f>
        <v xml:space="preserve">* El Total de Gestantes 30-34 años, según Estado Nutricional debe ser igual al Total de gestantes en Control de esa edad, de la Sección B. </v>
      </c>
      <c r="CG69" s="191" t="str">
        <f>IF($C$49&lt;&gt;$J69,"* El Total de Gestantes 35-39 años, según Estado Nutricional debe ser igual al Total de gestantes en Control de esa edad, de la Sección B. ","")</f>
        <v xml:space="preserve">* El Total de Gestantes 35-39 años, según Estado Nutricional debe ser igual al Total de gestantes en Control de esa edad, de la Sección B. </v>
      </c>
      <c r="CH69" s="191" t="str">
        <f>IF($C$50&lt;&gt;$K69,"* El Total de Gestantes 40-44 años, según Estado Nutricional debe ser igual al Total de gestantes en Control de esa edad, de la Sección B. ","")</f>
        <v xml:space="preserve">* El Total de Gestantes 40-44 años, según Estado Nutricional debe ser igual al Total de gestantes en Control de esa edad, de la Sección B. </v>
      </c>
      <c r="CI69" s="191" t="str">
        <f>IF($C$51&lt;&gt;$L69,"* El Total de Gestantes 45-49 años, según Estado Nutricional debe ser igual al Total de gestantes en Control de esa edad, de la Sección B. ","")</f>
        <v xml:space="preserve">* El Total de Gestantes 45-49 años, según Estado Nutricional debe ser igual al Total de gestantes en Control de esa edad, de la Sección B. </v>
      </c>
      <c r="CJ69" s="191" t="str">
        <f>IF($C$52&lt;&gt;$M69,"* El Total de Gestantes 50-54 años, según Estado Nutricional debe ser igual al Total de gestantes en Control de esa edad, de la Sección B. ","")</f>
        <v xml:space="preserve">* El Total de Gestantes 50-54 años, según Estado Nutricional debe ser igual al Total de gestantes en Control de esa edad, de la Sección B. </v>
      </c>
      <c r="CO69" s="1047">
        <f>IF($C$44&lt;&gt;$E69,1,0)</f>
        <v>1</v>
      </c>
      <c r="CP69" s="1047">
        <f>IF($C$45&lt;&gt;$F69,1,0)</f>
        <v>1</v>
      </c>
      <c r="CQ69" s="1047">
        <f>IF($C$46&lt;&gt;$G69,1,0)</f>
        <v>1</v>
      </c>
      <c r="CR69" s="1047">
        <f>IF($C$47&lt;&gt;$H69,1,0)</f>
        <v>1</v>
      </c>
      <c r="CS69" s="1047">
        <f>IF($C$48&lt;&gt;$I69,1,0)</f>
        <v>1</v>
      </c>
      <c r="CT69" s="1047">
        <f>IF($C$49&lt;&gt;$J69,1,0)</f>
        <v>1</v>
      </c>
      <c r="CU69" s="1047">
        <f>IF($C$50&lt;&gt;$K69,1,0)</f>
        <v>1</v>
      </c>
      <c r="CV69" s="1047">
        <f>IF($C$51&lt;&gt;$L69,1,0)</f>
        <v>1</v>
      </c>
      <c r="CW69" s="1047">
        <f>IF($C$52&lt;&gt;$M69,1,0)</f>
        <v>1</v>
      </c>
    </row>
    <row r="70" spans="1:101" ht="15" customHeight="1" x14ac:dyDescent="0.2">
      <c r="A70" s="1576" t="s">
        <v>951</v>
      </c>
      <c r="B70" s="1668" t="s">
        <v>128</v>
      </c>
      <c r="C70" s="44" t="s">
        <v>124</v>
      </c>
      <c r="D70" s="303" t="s">
        <v>1616</v>
      </c>
      <c r="E70" s="261" t="s">
        <v>1617</v>
      </c>
      <c r="F70" s="263" t="s">
        <v>1618</v>
      </c>
      <c r="G70" s="263" t="s">
        <v>1619</v>
      </c>
      <c r="H70" s="263" t="s">
        <v>1620</v>
      </c>
      <c r="I70" s="263" t="s">
        <v>1621</v>
      </c>
      <c r="J70" s="263" t="s">
        <v>1622</v>
      </c>
      <c r="K70" s="263" t="s">
        <v>1623</v>
      </c>
      <c r="L70" s="263" t="s">
        <v>1624</v>
      </c>
      <c r="M70" s="265" t="s">
        <v>1625</v>
      </c>
    </row>
    <row r="71" spans="1:101" ht="15" customHeight="1" x14ac:dyDescent="0.2">
      <c r="A71" s="1576" t="s">
        <v>952</v>
      </c>
      <c r="B71" s="1747"/>
      <c r="C71" s="45" t="s">
        <v>125</v>
      </c>
      <c r="D71" s="304" t="s">
        <v>1616</v>
      </c>
      <c r="E71" s="310" t="s">
        <v>1617</v>
      </c>
      <c r="F71" s="278" t="s">
        <v>1618</v>
      </c>
      <c r="G71" s="278" t="s">
        <v>1619</v>
      </c>
      <c r="H71" s="278" t="s">
        <v>1620</v>
      </c>
      <c r="I71" s="278" t="s">
        <v>1621</v>
      </c>
      <c r="J71" s="278" t="s">
        <v>1622</v>
      </c>
      <c r="K71" s="278" t="s">
        <v>1623</v>
      </c>
      <c r="L71" s="278" t="s">
        <v>1624</v>
      </c>
      <c r="M71" s="280" t="s">
        <v>1625</v>
      </c>
    </row>
    <row r="72" spans="1:101" ht="15" customHeight="1" x14ac:dyDescent="0.2">
      <c r="A72" s="1576" t="s">
        <v>953</v>
      </c>
      <c r="B72" s="1747"/>
      <c r="C72" s="45" t="s">
        <v>126</v>
      </c>
      <c r="D72" s="304" t="s">
        <v>1616</v>
      </c>
      <c r="E72" s="310" t="s">
        <v>1617</v>
      </c>
      <c r="F72" s="278" t="s">
        <v>1618</v>
      </c>
      <c r="G72" s="278" t="s">
        <v>1619</v>
      </c>
      <c r="H72" s="278" t="s">
        <v>1620</v>
      </c>
      <c r="I72" s="278" t="s">
        <v>1621</v>
      </c>
      <c r="J72" s="278" t="s">
        <v>1622</v>
      </c>
      <c r="K72" s="278" t="s">
        <v>1623</v>
      </c>
      <c r="L72" s="278" t="s">
        <v>1624</v>
      </c>
      <c r="M72" s="280" t="s">
        <v>1625</v>
      </c>
    </row>
    <row r="73" spans="1:101" ht="15" customHeight="1" x14ac:dyDescent="0.2">
      <c r="A73" s="1576" t="s">
        <v>954</v>
      </c>
      <c r="B73" s="1747"/>
      <c r="C73" s="46" t="s">
        <v>127</v>
      </c>
      <c r="D73" s="305" t="s">
        <v>1616</v>
      </c>
      <c r="E73" s="290" t="s">
        <v>1617</v>
      </c>
      <c r="F73" s="269" t="s">
        <v>1618</v>
      </c>
      <c r="G73" s="269" t="s">
        <v>1619</v>
      </c>
      <c r="H73" s="269" t="s">
        <v>1620</v>
      </c>
      <c r="I73" s="269" t="s">
        <v>1621</v>
      </c>
      <c r="J73" s="269" t="s">
        <v>1622</v>
      </c>
      <c r="K73" s="269" t="s">
        <v>1623</v>
      </c>
      <c r="L73" s="269" t="s">
        <v>1624</v>
      </c>
      <c r="M73" s="284" t="s">
        <v>1625</v>
      </c>
    </row>
    <row r="74" spans="1:101" ht="15" customHeight="1" x14ac:dyDescent="0.15">
      <c r="A74" s="1578"/>
      <c r="B74" s="1669"/>
      <c r="C74" s="1416" t="s">
        <v>89</v>
      </c>
      <c r="D74" s="1421">
        <f>SUM(E74:M74)</f>
        <v>0</v>
      </c>
      <c r="E74" s="1226">
        <f>SUM(E70:E73)</f>
        <v>0</v>
      </c>
      <c r="F74" s="1207">
        <f>SUM(F70:F73)</f>
        <v>0</v>
      </c>
      <c r="G74" s="1207">
        <f t="shared" ref="G74:M74" si="67">SUM(G70:G73)</f>
        <v>0</v>
      </c>
      <c r="H74" s="1207">
        <f>SUM(H70:H73)</f>
        <v>0</v>
      </c>
      <c r="I74" s="1207">
        <f t="shared" si="67"/>
        <v>0</v>
      </c>
      <c r="J74" s="1207">
        <f t="shared" si="67"/>
        <v>0</v>
      </c>
      <c r="K74" s="1207">
        <f>SUM(K70:K73)</f>
        <v>0</v>
      </c>
      <c r="L74" s="1207">
        <f t="shared" si="67"/>
        <v>0</v>
      </c>
      <c r="M74" s="1422">
        <f t="shared" si="67"/>
        <v>0</v>
      </c>
    </row>
    <row r="75" spans="1:101" ht="17.100000000000001" customHeight="1" x14ac:dyDescent="0.15">
      <c r="B75" s="1655" t="s">
        <v>129</v>
      </c>
      <c r="C75" s="1656"/>
      <c r="D75" s="1656"/>
      <c r="E75" s="1227"/>
      <c r="F75" s="1227"/>
      <c r="G75" s="1227"/>
      <c r="H75" s="1227"/>
      <c r="I75" s="1227"/>
      <c r="J75" s="1227"/>
      <c r="K75" s="1227"/>
      <c r="L75" s="1227"/>
      <c r="M75" s="1227"/>
    </row>
    <row r="76" spans="1:101" ht="15" customHeight="1" x14ac:dyDescent="0.15">
      <c r="B76" s="1419" t="s">
        <v>130</v>
      </c>
      <c r="C76" s="1414" t="s">
        <v>49</v>
      </c>
      <c r="D76" s="1321"/>
      <c r="E76" s="37"/>
      <c r="F76" s="37"/>
      <c r="G76" s="37"/>
      <c r="H76" s="36"/>
      <c r="I76" s="36"/>
    </row>
    <row r="77" spans="1:101" ht="15" customHeight="1" x14ac:dyDescent="0.2">
      <c r="A77" s="1576" t="s">
        <v>955</v>
      </c>
      <c r="B77" s="47" t="s">
        <v>131</v>
      </c>
      <c r="C77" s="299" t="s">
        <v>1616</v>
      </c>
      <c r="E77" s="36"/>
      <c r="F77" s="36"/>
      <c r="G77" s="36"/>
      <c r="H77" s="36"/>
      <c r="I77" s="36"/>
      <c r="CB77" s="191" t="str">
        <f>IF($C$77&lt;=$D$68,"","* Gestantes con malnutricion por déficit (bajo peso) no debe ser mayor que Gestantes en Control Bajo Peso (Seccion D). ")</f>
        <v/>
      </c>
      <c r="CO77" s="1047">
        <f>IF($C$77&lt;=$D$68,0,1)</f>
        <v>0</v>
      </c>
    </row>
    <row r="78" spans="1:101" ht="15" customHeight="1" x14ac:dyDescent="0.2">
      <c r="A78" s="1576" t="s">
        <v>956</v>
      </c>
      <c r="B78" s="48" t="s">
        <v>132</v>
      </c>
      <c r="C78" s="300" t="s">
        <v>1616</v>
      </c>
      <c r="E78" s="36"/>
      <c r="F78" s="36"/>
      <c r="G78" s="36"/>
      <c r="H78" s="36"/>
      <c r="I78" s="36"/>
      <c r="CB78" s="191" t="str">
        <f>IF($C$78&lt;=$D$65,"","* Gestantes malnutricion  por exceso - Obesa no debe ser mayor que Gestantes en Control Obesa (Seccion D). ")</f>
        <v/>
      </c>
      <c r="CO78" s="1047">
        <f>IF($C$78&lt;=$D$65,0,1)</f>
        <v>0</v>
      </c>
    </row>
    <row r="79" spans="1:101" ht="15" customHeight="1" x14ac:dyDescent="0.2">
      <c r="A79" s="1576" t="s">
        <v>957</v>
      </c>
      <c r="B79" s="48" t="s">
        <v>133</v>
      </c>
      <c r="C79" s="300" t="s">
        <v>1616</v>
      </c>
      <c r="E79" s="36"/>
      <c r="F79" s="36"/>
      <c r="G79" s="36"/>
      <c r="H79" s="36"/>
      <c r="I79" s="36"/>
      <c r="CB79" s="191" t="str">
        <f>IF($C$79&lt;=$D$66,"","* Gestantes malnutricion por exceso - Sobrepeso no debe ser mayor que Gestantes en Control Sobrepeso (Seccion D). ")</f>
        <v/>
      </c>
      <c r="CO79" s="1047">
        <f>IF($C$79&lt;=$D$66,0,1)</f>
        <v>0</v>
      </c>
    </row>
    <row r="80" spans="1:101" ht="15" customHeight="1" x14ac:dyDescent="0.2">
      <c r="A80" s="1576" t="s">
        <v>958</v>
      </c>
      <c r="B80" s="48" t="s">
        <v>134</v>
      </c>
      <c r="C80" s="300" t="s">
        <v>1616</v>
      </c>
      <c r="E80" s="36"/>
      <c r="F80" s="36"/>
      <c r="G80" s="36"/>
      <c r="H80" s="36"/>
      <c r="I80" s="36"/>
    </row>
    <row r="81" spans="1:97" ht="15" customHeight="1" x14ac:dyDescent="0.2">
      <c r="A81" s="1576" t="s">
        <v>959</v>
      </c>
      <c r="B81" s="49" t="s">
        <v>135</v>
      </c>
      <c r="C81" s="302" t="s">
        <v>1616</v>
      </c>
      <c r="E81" s="36"/>
      <c r="F81" s="36"/>
      <c r="G81" s="36"/>
      <c r="H81" s="36"/>
      <c r="I81" s="36"/>
    </row>
    <row r="82" spans="1:97" ht="17.100000000000001" customHeight="1" x14ac:dyDescent="0.15">
      <c r="B82" s="1657" t="s">
        <v>136</v>
      </c>
      <c r="C82" s="1658"/>
      <c r="D82" s="1658"/>
      <c r="E82" s="1116"/>
      <c r="F82" s="1116"/>
      <c r="G82" s="36"/>
      <c r="H82" s="36"/>
      <c r="I82" s="36"/>
    </row>
    <row r="83" spans="1:97" ht="26.25" customHeight="1" x14ac:dyDescent="0.15">
      <c r="B83" s="1414" t="s">
        <v>120</v>
      </c>
      <c r="C83" s="1224" t="s">
        <v>137</v>
      </c>
      <c r="D83" s="1423" t="s">
        <v>138</v>
      </c>
      <c r="E83" s="1307" t="s">
        <v>71</v>
      </c>
      <c r="F83" s="1206" t="s">
        <v>51</v>
      </c>
      <c r="G83" s="1415" t="s">
        <v>108</v>
      </c>
      <c r="H83" s="37"/>
      <c r="I83" s="50"/>
      <c r="J83" s="37"/>
      <c r="K83" s="37"/>
      <c r="L83" s="36"/>
      <c r="M83" s="36"/>
      <c r="Y83" s="108"/>
      <c r="Z83" s="108"/>
      <c r="AA83" s="108"/>
      <c r="AB83" s="108"/>
      <c r="AC83" s="172"/>
      <c r="BK83" s="176"/>
      <c r="BL83" s="176"/>
      <c r="BM83" s="176"/>
      <c r="BN83" s="176"/>
    </row>
    <row r="84" spans="1:97" ht="15" customHeight="1" x14ac:dyDescent="0.2">
      <c r="A84" s="1576" t="s">
        <v>960</v>
      </c>
      <c r="B84" s="1424" t="s">
        <v>139</v>
      </c>
      <c r="C84" s="1410" t="s">
        <v>1616</v>
      </c>
      <c r="D84" s="1425" t="s">
        <v>1617</v>
      </c>
      <c r="E84" s="1183" t="s">
        <v>1618</v>
      </c>
      <c r="F84" s="810" t="s">
        <v>1619</v>
      </c>
      <c r="G84" s="1412" t="s">
        <v>1620</v>
      </c>
      <c r="H84" s="108" t="e">
        <f>($CB84&amp;$CC84&amp;CD84&amp;CE84&amp;CF84)</f>
        <v>#VALUE!</v>
      </c>
      <c r="I84" s="36"/>
      <c r="J84" s="36"/>
      <c r="K84" s="36"/>
      <c r="L84" s="36"/>
      <c r="M84" s="36"/>
      <c r="Y84" s="108"/>
      <c r="Z84" s="108"/>
      <c r="AA84" s="108"/>
      <c r="AB84" s="108"/>
      <c r="AC84" s="172"/>
      <c r="BK84" s="176"/>
      <c r="BL84" s="176"/>
      <c r="BM84" s="176"/>
      <c r="BN84" s="176"/>
      <c r="CD84" s="191" t="e">
        <f>IF(AND($C84+D84&lt;&gt;0,E84=""),"* No olvide ingresar la variable "&amp;E$83&amp;""&amp;". Digite Cero si no tiene.",IF(E84&gt;$C84+$D84,"* La variable Trans Masculino no puede superar a la Población en Control. ",""))</f>
        <v>#VALUE!</v>
      </c>
      <c r="CE84" s="191" t="e">
        <f>IF(AND($C84+$D84&lt;&gt;0,F84=""),"* No olvide ingresar la variable "&amp;F$83&amp;""&amp;". Digite Cero si no tiene.",IF(F84&gt;$C84+$D84,"* La variable Pueblos Originarios no puede superar a la Población en Control. ",""))</f>
        <v>#VALUE!</v>
      </c>
      <c r="CF84" s="191" t="e">
        <f>IF(AND($C84+$D84&lt;&gt;0,G84=""),"* No olvide ingresar la variable "&amp;G$83&amp;""&amp;". Digite Cero si no tiene.",IF(G84&gt;$C84+$D84,"* La variable Migrantes no puede superar a la Población en Control. ",""))</f>
        <v>#VALUE!</v>
      </c>
      <c r="CQ84" s="1047" t="e">
        <f t="shared" ref="CQ84:CQ89" si="68">IF(AND($C84+D84&lt;&gt;0,E84=""),1,IF(E84&gt;$C84+$D84,1,0))</f>
        <v>#VALUE!</v>
      </c>
      <c r="CR84" s="1047" t="e">
        <f t="shared" ref="CR84:CR89" si="69">IF(AND($C84+$D84&lt;&gt;0,F84=""),1,IF(F84&gt;$C84+$D84,1,0))</f>
        <v>#VALUE!</v>
      </c>
      <c r="CS84" s="1047" t="e">
        <f t="shared" ref="CS84:CS89" si="70">IF(AND($C84+D84&lt;&gt;0,G84=""),1,IF(G84&gt;$C84+$D84,1,0))</f>
        <v>#VALUE!</v>
      </c>
    </row>
    <row r="85" spans="1:97" ht="15" customHeight="1" x14ac:dyDescent="0.2">
      <c r="A85" s="1576" t="s">
        <v>961</v>
      </c>
      <c r="B85" s="173" t="s">
        <v>140</v>
      </c>
      <c r="C85" s="288" t="s">
        <v>1616</v>
      </c>
      <c r="D85" s="720" t="s">
        <v>1617</v>
      </c>
      <c r="E85" s="1184" t="s">
        <v>1618</v>
      </c>
      <c r="F85" s="275" t="s">
        <v>1619</v>
      </c>
      <c r="G85" s="276" t="s">
        <v>1620</v>
      </c>
      <c r="H85" s="108" t="e">
        <f t="shared" ref="H85:H90" si="71">($CB85&amp;$CC85&amp;CD85&amp;CE85&amp;CF85)</f>
        <v>#VALUE!</v>
      </c>
      <c r="I85" s="36"/>
      <c r="J85" s="36"/>
      <c r="K85" s="36"/>
      <c r="L85" s="36"/>
      <c r="M85" s="36"/>
      <c r="Y85" s="108"/>
      <c r="Z85" s="108"/>
      <c r="AA85" s="108"/>
      <c r="AB85" s="108"/>
      <c r="AC85" s="172"/>
      <c r="BK85" s="176"/>
      <c r="BL85" s="176"/>
      <c r="BM85" s="176"/>
      <c r="BN85" s="176"/>
      <c r="CB85" s="191" t="str">
        <f>IF(C85&gt;C84,"* El Nº de Mujeres con pauta aplicada MRS* no debe ser mayor a la población en control del grupo"&amp;C$83&amp;""&amp;". ","")</f>
        <v/>
      </c>
      <c r="CC85" s="191" t="str">
        <f>IF(D85&gt;D84,"* El Nº de mujeres con pauta aplicada MRS* no debe ser mayor a la Población en control del grupo"&amp;D$83&amp;""&amp;". ","")</f>
        <v/>
      </c>
      <c r="CD85" s="191" t="e">
        <f>IF(AND($C85+D85&lt;&gt;0,E85=""),"* No olvide ingresar la variable "&amp;E$83&amp;""&amp;". Digite Cero si no tiene.",IF(E85&gt;$C85+$D85,"* La variable Trans Masculino no puede superar a Mujeres con pauta aplicada MRS*. ",""))</f>
        <v>#VALUE!</v>
      </c>
      <c r="CE85" s="191" t="e">
        <f>IF(AND($C85+$D85&lt;&gt;0,F85=""),"* No olvide ingresar la variable "&amp;F$83&amp;""&amp;". Digite Cero si no tiene.",IF(F85&gt;$C85+$D85,"* La variable Pueblos Originarios no puede superar a Mujeres con pauta aplicada MRS*. ",""))</f>
        <v>#VALUE!</v>
      </c>
      <c r="CF85" s="191" t="e">
        <f>IF(AND($C85+$D85&lt;&gt;0,G85=""),"* No olvide ingresar la variable "&amp;G$83&amp;""&amp;". Digite Cero si no tiene.",IF(G85&gt;$C85+$D85,"* La variable Migrantes no puede superar a Mujeres con pauta aplicada MRS*. ",""))</f>
        <v>#VALUE!</v>
      </c>
      <c r="CO85" s="1047">
        <f>IF($C85&gt;$C84,1,0)</f>
        <v>0</v>
      </c>
      <c r="CP85" s="1047">
        <f>IF($D85&gt;$D84,1,0)</f>
        <v>0</v>
      </c>
      <c r="CQ85" s="1047" t="e">
        <f t="shared" si="68"/>
        <v>#VALUE!</v>
      </c>
      <c r="CR85" s="1047" t="e">
        <f t="shared" si="69"/>
        <v>#VALUE!</v>
      </c>
      <c r="CS85" s="1047" t="e">
        <f t="shared" si="70"/>
        <v>#VALUE!</v>
      </c>
    </row>
    <row r="86" spans="1:97" ht="15" customHeight="1" x14ac:dyDescent="0.2">
      <c r="A86" s="1577" t="s">
        <v>962</v>
      </c>
      <c r="B86" s="1635" t="s">
        <v>141</v>
      </c>
      <c r="C86" s="310" t="s">
        <v>1616</v>
      </c>
      <c r="D86" s="279" t="s">
        <v>1617</v>
      </c>
      <c r="E86" s="1178" t="s">
        <v>1618</v>
      </c>
      <c r="F86" s="278" t="s">
        <v>1619</v>
      </c>
      <c r="G86" s="280" t="s">
        <v>1620</v>
      </c>
      <c r="H86" s="108" t="e">
        <f t="shared" si="71"/>
        <v>#VALUE!</v>
      </c>
      <c r="I86" s="36"/>
      <c r="J86" s="36"/>
      <c r="K86" s="36"/>
      <c r="L86" s="36"/>
      <c r="M86" s="36"/>
      <c r="Y86" s="108"/>
      <c r="Z86" s="108"/>
      <c r="AA86" s="108"/>
      <c r="AB86" s="108"/>
      <c r="AC86" s="172"/>
      <c r="BK86" s="176"/>
      <c r="BL86" s="176"/>
      <c r="BM86" s="176"/>
      <c r="BN86" s="176"/>
      <c r="CB86" s="172"/>
      <c r="CC86" s="172"/>
      <c r="CD86" s="191" t="e">
        <f>IF(AND($C86+D86&lt;&gt;0,E86=""),"* No olvide ingresar la variable "&amp;E$83&amp;""&amp;". Digite Cero si no tiene.",IF(E86&gt;$C86+$D86,"* La variable Trans Masculino no puede superar a Mujeres con MRS al ingreso. ",""))</f>
        <v>#VALUE!</v>
      </c>
      <c r="CE86" s="191" t="e">
        <f>IF(AND($C86+$D86&lt;&gt;0,F86=""),"* No olvide ingresar la variable "&amp;F$83&amp;""&amp;". Digite Cero si no tiene.",IF(F86&gt;$C86+$D86,"* La variable Pueblos Originarios no puede superar a Mujeres con MRS al ingreso. ",""))</f>
        <v>#VALUE!</v>
      </c>
      <c r="CF86" s="191" t="e">
        <f>IF(AND($C86+$D86&lt;&gt;0,G86=""),"* No olvide ingresar la variable "&amp;G$83&amp;""&amp;". Digite Cero si no tiene.",IF(G86&gt;$C86+$D86,"* La variable Migrantes no puede superar a Mujeres con MRS al ingreso. ",""))</f>
        <v>#VALUE!</v>
      </c>
      <c r="CO86" s="1047"/>
      <c r="CP86" s="1047"/>
      <c r="CQ86" s="1047" t="e">
        <f t="shared" si="68"/>
        <v>#VALUE!</v>
      </c>
      <c r="CR86" s="1047" t="e">
        <f t="shared" si="69"/>
        <v>#VALUE!</v>
      </c>
      <c r="CS86" s="1047" t="e">
        <f t="shared" si="70"/>
        <v>#VALUE!</v>
      </c>
    </row>
    <row r="87" spans="1:97" ht="15" customHeight="1" x14ac:dyDescent="0.2">
      <c r="A87" s="1577" t="s">
        <v>963</v>
      </c>
      <c r="B87" s="1635" t="s">
        <v>142</v>
      </c>
      <c r="C87" s="310" t="s">
        <v>1616</v>
      </c>
      <c r="D87" s="279" t="s">
        <v>1617</v>
      </c>
      <c r="E87" s="1178" t="s">
        <v>1618</v>
      </c>
      <c r="F87" s="278" t="s">
        <v>1619</v>
      </c>
      <c r="G87" s="280" t="s">
        <v>1620</v>
      </c>
      <c r="H87" s="108" t="e">
        <f t="shared" si="71"/>
        <v>#VALUE!</v>
      </c>
      <c r="I87" s="36"/>
      <c r="J87" s="36"/>
      <c r="K87" s="36"/>
      <c r="L87" s="36"/>
      <c r="M87" s="36"/>
      <c r="Y87" s="108"/>
      <c r="Z87" s="108"/>
      <c r="AA87" s="108"/>
      <c r="AB87" s="108"/>
      <c r="AC87" s="172"/>
      <c r="BK87" s="176"/>
      <c r="BL87" s="176"/>
      <c r="BM87" s="176"/>
      <c r="BN87" s="176"/>
      <c r="CB87" s="172"/>
      <c r="CC87" s="172"/>
      <c r="CD87" s="191" t="e">
        <f>IF(AND($C87+D87&lt;&gt;0,E87=""),"* No olvide ingresar la variable "&amp;E$83&amp;""&amp;". Digite Cero si no tiene.",IF(E87&gt;$C87+$D87,"* La variable Trans Masculino no puede superar a Mujeres con MRS en control. ",""))</f>
        <v>#VALUE!</v>
      </c>
      <c r="CE87" s="191" t="e">
        <f>IF(AND($C87+$D87&lt;&gt;0,F87=""),"* No olvide ingresar la variable "&amp;F$83&amp;""&amp;". Digite Cero si no tiene.",IF(F87&gt;$C87+$D87,"* La variable Pueblos Originarios no puede superar a Mujeres con MRS en control. ",""))</f>
        <v>#VALUE!</v>
      </c>
      <c r="CF87" s="191" t="e">
        <f>IF(AND($C87+$D87&lt;&gt;0,G87=""),"* No olvide ingresar la variable "&amp;G$83&amp;""&amp;". Digite Cero si no tiene.",IF(G87&gt;$C87+$D87,"* La variable Migrantes no puede superar a Mujeres con MRS en control. ",""))</f>
        <v>#VALUE!</v>
      </c>
      <c r="CO87" s="1047"/>
      <c r="CP87" s="1047"/>
      <c r="CQ87" s="1047" t="e">
        <f t="shared" si="68"/>
        <v>#VALUE!</v>
      </c>
      <c r="CR87" s="1047" t="e">
        <f t="shared" si="69"/>
        <v>#VALUE!</v>
      </c>
      <c r="CS87" s="1047" t="e">
        <f t="shared" si="70"/>
        <v>#VALUE!</v>
      </c>
    </row>
    <row r="88" spans="1:97" ht="15" customHeight="1" x14ac:dyDescent="0.2">
      <c r="A88" s="1576" t="s">
        <v>964</v>
      </c>
      <c r="B88" s="1011" t="s">
        <v>143</v>
      </c>
      <c r="C88" s="749" t="s">
        <v>1616</v>
      </c>
      <c r="D88" s="1187" t="s">
        <v>1617</v>
      </c>
      <c r="E88" s="1185" t="s">
        <v>1618</v>
      </c>
      <c r="F88" s="286" t="s">
        <v>1619</v>
      </c>
      <c r="G88" s="287" t="s">
        <v>1620</v>
      </c>
      <c r="H88" s="108" t="e">
        <f t="shared" si="71"/>
        <v>#VALUE!</v>
      </c>
      <c r="I88" s="36"/>
      <c r="J88" s="36"/>
      <c r="K88" s="36"/>
      <c r="L88" s="36"/>
      <c r="M88" s="36"/>
      <c r="Y88" s="108"/>
      <c r="Z88" s="108"/>
      <c r="AA88" s="108"/>
      <c r="AB88" s="108"/>
      <c r="AC88" s="172"/>
      <c r="BK88" s="176"/>
      <c r="BL88" s="176"/>
      <c r="BM88" s="176"/>
      <c r="BN88" s="176"/>
      <c r="CB88" s="191" t="str">
        <f>IF(C88&gt;C85,"* El Nº de Mujeres con MRS elevado* no debe ser mayor al Nº de Mujeres con pauta aplicada MRS Población "&amp;C$83&amp;""&amp;". ","")</f>
        <v/>
      </c>
      <c r="CC88" s="191" t="str">
        <f>IF(D88&gt;D85,"* El Nº de Mujeres con MRS elevado* no debe ser mayor al Nº de Mujeres con pauta aplicada MRS del grupo"&amp;D$83&amp;""&amp;". ","")</f>
        <v/>
      </c>
      <c r="CD88" s="191" t="e">
        <f>IF(AND($C88+D88&lt;&gt;0,E88=""),"* No olvide ingresar la variable "&amp;E$83&amp;""&amp;". Digite Cero si no tiene.",IF(E88&gt;$C88+$D88,"* La variable Trans Masculino no puede superar a Mujeres con MRS elevado*. ",""))</f>
        <v>#VALUE!</v>
      </c>
      <c r="CE88" s="191" t="e">
        <f>IF(AND($C88+$D88&lt;&gt;0,F88=""),"* No olvide ingresar la variable "&amp;F$83&amp;""&amp;". Digite Cero si no tiene.",IF(F88&gt;$C88+$D88,"* La variable Pueblos Originarios no puede superar a Mujeres con MRS elevado*. ",""))</f>
        <v>#VALUE!</v>
      </c>
      <c r="CF88" s="191" t="e">
        <f>IF(AND($C88+$D88&lt;&gt;0,G88=""),"* No olvide ingresar la variable "&amp;G$83&amp;""&amp;". Digite Cero si no tiene.",IF(G88&gt;$C88+$D88,"* La variable Migrantes no puede superar a Mujeres con MRS elevado*. ",""))</f>
        <v>#VALUE!</v>
      </c>
      <c r="CO88" s="1047">
        <f>IF($C88&gt;$C85,1,0)</f>
        <v>0</v>
      </c>
      <c r="CP88" s="1047">
        <f>IF($D88&gt;$D85,1,0)</f>
        <v>0</v>
      </c>
      <c r="CQ88" s="1047" t="e">
        <f t="shared" si="68"/>
        <v>#VALUE!</v>
      </c>
      <c r="CR88" s="1047" t="e">
        <f t="shared" si="69"/>
        <v>#VALUE!</v>
      </c>
      <c r="CS88" s="1047" t="e">
        <f t="shared" si="70"/>
        <v>#VALUE!</v>
      </c>
    </row>
    <row r="89" spans="1:97" ht="21.75" customHeight="1" x14ac:dyDescent="0.2">
      <c r="A89" s="1579" t="s">
        <v>965</v>
      </c>
      <c r="B89" s="174" t="s">
        <v>144</v>
      </c>
      <c r="C89" s="310" t="s">
        <v>1616</v>
      </c>
      <c r="D89" s="279" t="s">
        <v>1617</v>
      </c>
      <c r="E89" s="1563" t="s">
        <v>1618</v>
      </c>
      <c r="F89" s="278" t="s">
        <v>1619</v>
      </c>
      <c r="G89" s="280" t="s">
        <v>1620</v>
      </c>
      <c r="H89" s="108" t="e">
        <f t="shared" si="71"/>
        <v>#VALUE!</v>
      </c>
      <c r="I89" s="36"/>
      <c r="J89" s="36"/>
      <c r="K89" s="36"/>
      <c r="L89" s="36"/>
      <c r="M89" s="36"/>
      <c r="Y89" s="108"/>
      <c r="Z89" s="108"/>
      <c r="AA89" s="108"/>
      <c r="AB89" s="108"/>
      <c r="AC89" s="172"/>
      <c r="BK89" s="176"/>
      <c r="BL89" s="176"/>
      <c r="BM89" s="176"/>
      <c r="BN89" s="176"/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91" t="str">
        <f>IF($D89&gt;$D88,"* El Nº de Mujeres con aplicación de terapia hormonal de la menopausia según MRS* no debe ser mayor que el numero de Mujeres con MRS elevado* Población "&amp;D$83&amp;""&amp;". ","")</f>
        <v/>
      </c>
      <c r="CD89" s="1050"/>
      <c r="CE89" s="191" t="e">
        <f>IF(AND($C89+$D89&lt;&gt;0,F89=""),"* No olvide ingresar la variable "&amp;F$83&amp;""&amp;". Digite Cero si no tiene.",IF(F89&gt;$C89+$D89,"* La variable Pueblos Originarios no puede superar a Mujeres con aplicación de terapia hormonal de la menopausia según MRS*. ",""))</f>
        <v>#VALUE!</v>
      </c>
      <c r="CF89" s="191" t="e">
        <f>IF(AND($C89+$D89&lt;&gt;0,G89=""),"* No olvide ingresar la variable "&amp;G$83&amp;""&amp;". Digite Cero si no tiene.",IF(G89&gt;$C89+$D89,"* La variable Migrantes no puede superar a Mujeres con aplicación de terapia hormonal de la menopausia según MRS*. ",""))</f>
        <v>#VALUE!</v>
      </c>
      <c r="CO89" s="1047">
        <f>IF($C89&gt;$C88,1,0)</f>
        <v>0</v>
      </c>
      <c r="CP89" s="1047">
        <f>IF($C89&gt;$C88,1,0)</f>
        <v>0</v>
      </c>
      <c r="CQ89" s="1050" t="e">
        <f t="shared" si="68"/>
        <v>#VALUE!</v>
      </c>
      <c r="CR89" s="1047" t="e">
        <f t="shared" si="69"/>
        <v>#VALUE!</v>
      </c>
      <c r="CS89" s="1047" t="e">
        <f t="shared" si="70"/>
        <v>#VALUE!</v>
      </c>
    </row>
    <row r="90" spans="1:97" ht="21" customHeight="1" x14ac:dyDescent="0.2">
      <c r="A90" s="1582" t="s">
        <v>966</v>
      </c>
      <c r="B90" s="1636" t="s">
        <v>145</v>
      </c>
      <c r="C90" s="310" t="s">
        <v>1616</v>
      </c>
      <c r="D90" s="279" t="s">
        <v>1617</v>
      </c>
      <c r="E90" s="1563" t="s">
        <v>1618</v>
      </c>
      <c r="F90" s="278" t="s">
        <v>1619</v>
      </c>
      <c r="G90" s="280" t="s">
        <v>1620</v>
      </c>
      <c r="H90" s="108" t="e">
        <f t="shared" si="71"/>
        <v>#VALUE!</v>
      </c>
      <c r="I90" s="36"/>
      <c r="J90" s="36"/>
      <c r="K90" s="36"/>
      <c r="L90" s="36"/>
      <c r="M90" s="36"/>
      <c r="Y90" s="108"/>
      <c r="Z90" s="108"/>
      <c r="AA90" s="108"/>
      <c r="AB90" s="108"/>
      <c r="AC90" s="172"/>
      <c r="BK90" s="176"/>
      <c r="BL90" s="176"/>
      <c r="BM90" s="176"/>
      <c r="BN90" s="176"/>
      <c r="CB90" s="172"/>
      <c r="CC90" s="172"/>
      <c r="CD90" s="1050"/>
      <c r="CE90" s="191" t="e">
        <f>IF(AND($C90+$D90&lt;&gt;0,F90=""),"* No olvide ingresar la variable "&amp;F$83&amp;""&amp;". Digite Cero si no tiene.",IF(F90&gt;$C90+$D90,"* La variable Pueblos Originarios no puede superar a Mujeres que disminuyeron puntaje de MRS o se mantienen en MRS bajo, según MRS de control. ",""))</f>
        <v>#VALUE!</v>
      </c>
      <c r="CF90" s="191" t="e">
        <f>IF(AND($C90+$D90&lt;&gt;0,G90=""),"* No olvide ingresar la variable "&amp;G$83&amp;""&amp;". Digite Cero si no tiene.",IF(G90&gt;$C90+$D90,"* La variable Migrantes no puede superar a Mujeres que disminuyeron puntaje de MRS o se mantienen en MRS bajo, según MRS de control. ",""))</f>
        <v>#VALUE!</v>
      </c>
      <c r="CQ90" s="1050" t="e">
        <f>IF(AND($C90+D90&lt;&gt;0,E90=""),1,IF(E90&gt;$C90+$D90,1,0))</f>
        <v>#VALUE!</v>
      </c>
      <c r="CR90" s="1047" t="e">
        <f>IF(AND($C90+$D90&lt;&gt;0,F90=""),1,IF(F90&gt;$C90+$D90,1,0))</f>
        <v>#VALUE!</v>
      </c>
      <c r="CS90" s="1047" t="e">
        <f>IF(AND($C90+D90&lt;&gt;0,G90=""),1,IF(G90&gt;$C90+$D90,1,0))</f>
        <v>#VALUE!</v>
      </c>
    </row>
    <row r="91" spans="1:97" ht="15" customHeight="1" x14ac:dyDescent="0.2">
      <c r="A91" s="1579" t="s">
        <v>967</v>
      </c>
      <c r="B91" s="837" t="s">
        <v>146</v>
      </c>
      <c r="C91" s="748" t="s">
        <v>1616</v>
      </c>
      <c r="D91" s="1035" t="s">
        <v>1617</v>
      </c>
      <c r="E91" s="1186" t="s">
        <v>1618</v>
      </c>
      <c r="F91" s="270" t="s">
        <v>1619</v>
      </c>
      <c r="G91" s="272" t="s">
        <v>1620</v>
      </c>
      <c r="H91" s="108" t="e">
        <f>($CB91&amp;$CC91&amp;CD91&amp;CE91&amp;CF91)</f>
        <v>#VALUE!</v>
      </c>
      <c r="I91" s="36"/>
      <c r="J91" s="36"/>
      <c r="K91" s="36"/>
      <c r="L91" s="36"/>
      <c r="M91" s="36"/>
      <c r="Y91" s="108"/>
      <c r="Z91" s="108"/>
      <c r="AA91" s="108"/>
      <c r="AB91" s="108"/>
      <c r="AC91" s="172"/>
      <c r="BK91" s="176"/>
      <c r="BL91" s="176"/>
      <c r="BM91" s="176"/>
      <c r="BN91" s="176"/>
      <c r="CB91" s="172"/>
      <c r="CC91" s="172"/>
      <c r="CD91" s="191" t="e">
        <f>IF(AND($C91+D91&lt;&gt;0,E91=""),"* No olvide ingresar la variable "&amp;E$83&amp;""&amp;". Digite Cero si no tiene.",IF(E91&gt;$C91+$D91,"* La variable Trans Masculino no puede superar a Mujeres que asisten a Talleres Educativos. ",""))</f>
        <v>#VALUE!</v>
      </c>
      <c r="CE91" s="191" t="e">
        <f>IF(AND($C91+$D91&lt;&gt;0,F91=""),"* No olvide ingresar la variable "&amp;F$83&amp;""&amp;". Digite Cero si no tiene.",IF(F91&gt;$C91+$D91,"* La variable Pueblos Originarios no puede superar a Mujeres que asisten a Talleres Educativos. ",""))</f>
        <v>#VALUE!</v>
      </c>
      <c r="CF91" s="191" t="e">
        <f>IF(AND($C91+$D91&lt;&gt;0,G91=""),"* No olvide ingresar la variable "&amp;G$83&amp;""&amp;". Digite Cero si no tiene.",IF(G91&gt;$C91+$D91,"* La variable Migrantes no puede superar a Mujeres que asisten a Talleres Educativos. ",""))</f>
        <v>#VALUE!</v>
      </c>
      <c r="CQ91" s="1047" t="e">
        <f>IF(AND($C91+D91&lt;&gt;0,E91=""),1,IF(E91&gt;$C91+$D91,1,0))</f>
        <v>#VALUE!</v>
      </c>
      <c r="CR91" s="1047" t="e">
        <f>IF(AND($C91+$D91&lt;&gt;0,F91=""),1,IF(F91&gt;$C91+$D91,1,0))</f>
        <v>#VALUE!</v>
      </c>
      <c r="CS91" s="1047" t="e">
        <f>IF(AND($C91+D91&lt;&gt;0,G91=""),1,IF(G91&gt;$C91+$D91,1,0))</f>
        <v>#VALUE!</v>
      </c>
    </row>
    <row r="92" spans="1:97" ht="17.100000000000001" customHeight="1" x14ac:dyDescent="0.15">
      <c r="B92" s="1746" t="s">
        <v>147</v>
      </c>
      <c r="C92" s="1746"/>
      <c r="D92" s="220"/>
      <c r="E92" s="36"/>
      <c r="F92" s="36"/>
      <c r="G92" s="36"/>
      <c r="H92" s="36"/>
      <c r="I92" s="36"/>
    </row>
    <row r="93" spans="1:97" ht="17.100000000000001" customHeight="1" x14ac:dyDescent="0.15">
      <c r="B93" s="1657" t="s">
        <v>148</v>
      </c>
      <c r="C93" s="1658"/>
      <c r="D93" s="1658"/>
      <c r="E93" s="1658"/>
      <c r="F93" s="1658"/>
      <c r="G93" s="1658"/>
      <c r="H93" s="1658"/>
      <c r="I93" s="1658"/>
      <c r="J93" s="219"/>
      <c r="K93" s="219"/>
      <c r="L93" s="220"/>
      <c r="M93" s="220"/>
      <c r="N93" s="220"/>
      <c r="O93" s="220"/>
    </row>
    <row r="94" spans="1:97" ht="15" customHeight="1" x14ac:dyDescent="0.15">
      <c r="B94" s="1672" t="s">
        <v>48</v>
      </c>
      <c r="C94" s="1673"/>
      <c r="D94" s="1676" t="s">
        <v>49</v>
      </c>
      <c r="E94" s="1724" t="s">
        <v>50</v>
      </c>
      <c r="F94" s="1725"/>
      <c r="G94" s="1725"/>
      <c r="H94" s="1725"/>
      <c r="I94" s="1726"/>
      <c r="J94" s="1678" t="s">
        <v>51</v>
      </c>
      <c r="K94" s="1705" t="s">
        <v>52</v>
      </c>
    </row>
    <row r="95" spans="1:97" ht="21" x14ac:dyDescent="0.15">
      <c r="B95" s="1674"/>
      <c r="C95" s="1675"/>
      <c r="D95" s="1677"/>
      <c r="E95" s="1240" t="s">
        <v>149</v>
      </c>
      <c r="F95" s="820" t="s">
        <v>63</v>
      </c>
      <c r="G95" s="820" t="s">
        <v>64</v>
      </c>
      <c r="H95" s="821" t="s">
        <v>150</v>
      </c>
      <c r="I95" s="821" t="s">
        <v>66</v>
      </c>
      <c r="J95" s="1679"/>
      <c r="K95" s="1706"/>
    </row>
    <row r="96" spans="1:97" ht="15" customHeight="1" x14ac:dyDescent="0.2">
      <c r="A96" s="1576" t="s">
        <v>968</v>
      </c>
      <c r="B96" s="1663" t="s">
        <v>151</v>
      </c>
      <c r="C96" s="1664"/>
      <c r="D96" s="260" t="s">
        <v>1616</v>
      </c>
      <c r="E96" s="261" t="s">
        <v>1617</v>
      </c>
      <c r="F96" s="262" t="s">
        <v>1618</v>
      </c>
      <c r="G96" s="262" t="s">
        <v>1619</v>
      </c>
      <c r="H96" s="262" t="s">
        <v>1620</v>
      </c>
      <c r="I96" s="262" t="s">
        <v>1621</v>
      </c>
      <c r="J96" s="295" t="s">
        <v>1622</v>
      </c>
      <c r="K96" s="265" t="s">
        <v>1623</v>
      </c>
      <c r="L96" s="108" t="str">
        <f>($CB96&amp;$CC96)</f>
        <v xml:space="preserve">* La variable Pueblos Originarios no puede superar el TOTAL Estradiol Micronizado 1mg. * La variable Migrantes no puede superar el TOTAL Estradiol Micronizado 1mg. </v>
      </c>
      <c r="CB96" s="191" t="str">
        <f>IF(AND($D96&lt;&gt;0,J96=""),"* No olvide ingresar la variable "&amp;J$94&amp;""&amp;". Digite Cero si no tiene.",IF(J96&gt;$D96,"* La variable Pueblos Originarios no puede superar el TOTAL Estradiol Micronizado 1mg. ",""))</f>
        <v xml:space="preserve">* La variable Pueblos Originarios no puede superar el TOTAL Estradiol Micronizado 1mg. </v>
      </c>
      <c r="CC96" s="191" t="str">
        <f>IF(AND($D96&lt;&gt;0,K96=""),"* No olvide ingresar la variable "&amp;K$94&amp;""&amp;". Digite Cero si no tiene.",IF(K96&gt;$D96,"* La variable Migrantes no puede superar el TOTAL Estradiol Micronizado 1mg. ",""))</f>
        <v xml:space="preserve">* La variable Migrantes no puede superar el TOTAL Estradiol Micronizado 1mg. </v>
      </c>
      <c r="CO96" s="1047">
        <f>IF(AND($D96&lt;&gt;0,$J96=""),1,IF($J96&gt;$D96,1,0))</f>
        <v>1</v>
      </c>
      <c r="CP96" s="1047">
        <f>IF(AND($D96&lt;&gt;0,K96=""),1,IF(K96&gt;$D96,1,0))</f>
        <v>1</v>
      </c>
    </row>
    <row r="97" spans="1:94" ht="15" customHeight="1" x14ac:dyDescent="0.2">
      <c r="A97" s="1576" t="s">
        <v>969</v>
      </c>
      <c r="B97" s="1322" t="s">
        <v>152</v>
      </c>
      <c r="C97" s="1323"/>
      <c r="D97" s="301" t="s">
        <v>1616</v>
      </c>
      <c r="E97" s="277" t="s">
        <v>1617</v>
      </c>
      <c r="F97" s="277" t="s">
        <v>1618</v>
      </c>
      <c r="G97" s="278" t="s">
        <v>1619</v>
      </c>
      <c r="H97" s="278" t="s">
        <v>1620</v>
      </c>
      <c r="I97" s="278" t="s">
        <v>1621</v>
      </c>
      <c r="J97" s="297" t="s">
        <v>1622</v>
      </c>
      <c r="K97" s="280" t="s">
        <v>1623</v>
      </c>
      <c r="L97" s="108" t="str">
        <f t="shared" ref="L97:L101" si="72">($CB97&amp;$CC97)</f>
        <v xml:space="preserve">* La variable Pueblos Originarios no puede superar el TOTAL Estradiol Gel. * La variable Migrantes no puede superar el TOTAL Estradiol Gel. </v>
      </c>
      <c r="CB97" s="191" t="str">
        <f>IF(AND($D97&lt;&gt;0,J97=""),"* No olvide ingresar la variable "&amp;J$94&amp;""&amp;". Digite Cero si no tiene.",IF(J97&gt;$D97,"* La variable Pueblos Originarios no puede superar el TOTAL Estradiol Gel. ",""))</f>
        <v xml:space="preserve">* La variable Pueblos Originarios no puede superar el TOTAL Estradiol Gel. </v>
      </c>
      <c r="CC97" s="191" t="str">
        <f>IF(AND($D97&lt;&gt;0,K97=""),"* No olvide ingresar la variable "&amp;K$94&amp;""&amp;". Digite Cero si no tiene.",IF(K97&gt;$D97,"* La variable Migrantes no puede superar el TOTAL Estradiol Gel. ",""))</f>
        <v xml:space="preserve">* La variable Migrantes no puede superar el TOTAL Estradiol Gel. </v>
      </c>
      <c r="CO97" s="1047">
        <f t="shared" ref="CO97:CO102" si="73">IF(AND($D97&lt;&gt;0,$J97=""),1,IF($J97&gt;$D97,1,0))</f>
        <v>1</v>
      </c>
      <c r="CP97" s="1047">
        <f t="shared" ref="CP97:CP101" si="74">IF(AND($D97&lt;&gt;0,K97=""),1,IF(K97&gt;$D97,1,0))</f>
        <v>1</v>
      </c>
    </row>
    <row r="98" spans="1:94" ht="15" customHeight="1" x14ac:dyDescent="0.2">
      <c r="A98" s="1576" t="s">
        <v>970</v>
      </c>
      <c r="B98" s="1698" t="s">
        <v>153</v>
      </c>
      <c r="C98" s="1699"/>
      <c r="D98" s="273" t="s">
        <v>1616</v>
      </c>
      <c r="E98" s="274" t="s">
        <v>1617</v>
      </c>
      <c r="F98" s="274" t="s">
        <v>1618</v>
      </c>
      <c r="G98" s="274" t="s">
        <v>1619</v>
      </c>
      <c r="H98" s="274" t="s">
        <v>1620</v>
      </c>
      <c r="I98" s="274" t="s">
        <v>1621</v>
      </c>
      <c r="J98" s="1017" t="s">
        <v>1622</v>
      </c>
      <c r="K98" s="276" t="s">
        <v>1623</v>
      </c>
      <c r="L98" s="108" t="str">
        <f t="shared" si="72"/>
        <v xml:space="preserve">* La variable Pueblos Originarios no puede superar el TOTAL Progesterona Micronizada 100mg. * La variable Migrantes no puede superar el TOTAL Progesterona Micronizada 100mg. </v>
      </c>
      <c r="CB98" s="191" t="str">
        <f>IF(AND($D98&lt;&gt;0,J98=""),"* No olvide ingresar la variable "&amp;J$94&amp;""&amp;". Digite Cero si no tiene.",IF(J98&gt;$D98,"* La variable Pueblos Originarios no puede superar el TOTAL Progesterona Micronizada 100mg. ",""))</f>
        <v xml:space="preserve">* La variable Pueblos Originarios no puede superar el TOTAL Progesterona Micronizada 100mg. </v>
      </c>
      <c r="CC98" s="191" t="str">
        <f>IF(AND($D98&lt;&gt;0,K98=""),"* No olvide ingresar la variable "&amp;K$94&amp;""&amp;". Digite Cero si no tiene.",IF(K98&gt;$D98,"* La variable Migrantes no puede superar el TOTAL Progesterona Micronizada 100mg. ",""))</f>
        <v xml:space="preserve">* La variable Migrantes no puede superar el TOTAL Progesterona Micronizada 100mg. </v>
      </c>
      <c r="CO98" s="1047">
        <f t="shared" si="73"/>
        <v>1</v>
      </c>
      <c r="CP98" s="1047">
        <f t="shared" si="74"/>
        <v>1</v>
      </c>
    </row>
    <row r="99" spans="1:94" ht="15" customHeight="1" x14ac:dyDescent="0.2">
      <c r="A99" s="1576" t="s">
        <v>971</v>
      </c>
      <c r="B99" s="1661" t="s">
        <v>154</v>
      </c>
      <c r="C99" s="1662"/>
      <c r="D99" s="301" t="s">
        <v>1616</v>
      </c>
      <c r="E99" s="277" t="s">
        <v>1617</v>
      </c>
      <c r="F99" s="277" t="s">
        <v>1618</v>
      </c>
      <c r="G99" s="277" t="s">
        <v>1619</v>
      </c>
      <c r="H99" s="277" t="s">
        <v>1620</v>
      </c>
      <c r="I99" s="277" t="s">
        <v>1621</v>
      </c>
      <c r="J99" s="297" t="s">
        <v>1622</v>
      </c>
      <c r="K99" s="280" t="s">
        <v>1623</v>
      </c>
      <c r="L99" s="108" t="str">
        <f t="shared" si="72"/>
        <v>* La variable Pueblos Originarios no puede superar el TOTAL Progesterona Micronizada 200mg.* La variable Migrantes no puede superar el TOTAL Progesterona Micronizada 200mg.</v>
      </c>
      <c r="CB99" s="191" t="str">
        <f>IF(AND($D99&lt;&gt;0,J99=""),"* No olvide ingresar la variable "&amp;J$94&amp;""&amp;". Digite Cero si no tiene.",IF(J99&gt;$D99,"* La variable Pueblos Originarios no puede superar el TOTAL Progesterona Micronizada 200mg.",""))</f>
        <v>* La variable Pueblos Originarios no puede superar el TOTAL Progesterona Micronizada 200mg.</v>
      </c>
      <c r="CC99" s="191" t="str">
        <f>IF(AND($D99&lt;&gt;0,K99=""),"* No olvide ingresar la variable "&amp;K$94&amp;""&amp;". Digite Cero si no tiene.",IF(K99&gt;$D99,"* La variable Migrantes no puede superar el TOTAL Progesterona Micronizada 200mg.",""))</f>
        <v>* La variable Migrantes no puede superar el TOTAL Progesterona Micronizada 200mg.</v>
      </c>
      <c r="CO99" s="1047">
        <f t="shared" si="73"/>
        <v>1</v>
      </c>
      <c r="CP99" s="1047">
        <f t="shared" si="74"/>
        <v>1</v>
      </c>
    </row>
    <row r="100" spans="1:94" ht="15" customHeight="1" x14ac:dyDescent="0.2">
      <c r="A100" s="1576" t="s">
        <v>972</v>
      </c>
      <c r="B100" s="1661" t="s">
        <v>155</v>
      </c>
      <c r="C100" s="1662"/>
      <c r="D100" s="301" t="s">
        <v>1616</v>
      </c>
      <c r="E100" s="277" t="s">
        <v>1617</v>
      </c>
      <c r="F100" s="277" t="s">
        <v>1618</v>
      </c>
      <c r="G100" s="277" t="s">
        <v>1619</v>
      </c>
      <c r="H100" s="277" t="s">
        <v>1620</v>
      </c>
      <c r="I100" s="277" t="s">
        <v>1621</v>
      </c>
      <c r="J100" s="297" t="s">
        <v>1622</v>
      </c>
      <c r="K100" s="280" t="s">
        <v>1623</v>
      </c>
      <c r="L100" s="108" t="str">
        <f t="shared" si="72"/>
        <v xml:space="preserve">* La variable Pueblos Originarios no puede superar el TOTAL Nomegestrol 5mg. comp. * La variable Migrantes no puede superar el TOTAL Nomegestrol 5mg. comp. </v>
      </c>
      <c r="CB100" s="191" t="str">
        <f>IF(AND($D100&lt;&gt;0,J100=""),"* No olvide ingresar la variable "&amp;J$94&amp;""&amp;". Digite Cero si no tiene.",IF(J100&gt;$D100,"* La variable Pueblos Originarios no puede superar el TOTAL Nomegestrol 5mg. comp. ",""))</f>
        <v xml:space="preserve">* La variable Pueblos Originarios no puede superar el TOTAL Nomegestrol 5mg. comp. </v>
      </c>
      <c r="CC100" s="191" t="str">
        <f>IF(AND($D100&lt;&gt;0,K100=""),"* No olvide ingresar la variable "&amp;K$94&amp;""&amp;". Digite Cero si no tiene.",IF(K100&gt;$D100,"* La variable Migrantes no puede superar el TOTAL Nomegestrol 5mg. comp. ",""))</f>
        <v xml:space="preserve">* La variable Migrantes no puede superar el TOTAL Nomegestrol 5mg. comp. </v>
      </c>
      <c r="CO100" s="1047">
        <f t="shared" si="73"/>
        <v>1</v>
      </c>
      <c r="CP100" s="1047">
        <f t="shared" si="74"/>
        <v>1</v>
      </c>
    </row>
    <row r="101" spans="1:94" ht="15" customHeight="1" x14ac:dyDescent="0.2">
      <c r="A101" s="1576" t="s">
        <v>973</v>
      </c>
      <c r="B101" s="1661" t="s">
        <v>156</v>
      </c>
      <c r="C101" s="1662"/>
      <c r="D101" s="301" t="s">
        <v>1616</v>
      </c>
      <c r="E101" s="277" t="s">
        <v>1617</v>
      </c>
      <c r="F101" s="277" t="s">
        <v>1618</v>
      </c>
      <c r="G101" s="277" t="s">
        <v>1619</v>
      </c>
      <c r="H101" s="277" t="s">
        <v>1620</v>
      </c>
      <c r="I101" s="277" t="s">
        <v>1621</v>
      </c>
      <c r="J101" s="297" t="s">
        <v>1622</v>
      </c>
      <c r="K101" s="280" t="s">
        <v>1623</v>
      </c>
      <c r="L101" s="108" t="str">
        <f t="shared" si="72"/>
        <v xml:space="preserve">* La variable Pueblos Originarios no puede superar el TOTAL Tibolona 2,5mg. comp. * La variable Migrantes no puede superar el TOTAL Tibolona 2,5mg. comp. </v>
      </c>
      <c r="CB101" s="191" t="str">
        <f>IF(AND($D101&lt;&gt;0,J101=""),"* No olvide ingresar la variable "&amp;J$94&amp;""&amp;". Digite Cero si no tiene.",IF(J101&gt;$D101,"* La variable Pueblos Originarios no puede superar el TOTAL Tibolona 2,5mg. comp. ",""))</f>
        <v xml:space="preserve">* La variable Pueblos Originarios no puede superar el TOTAL Tibolona 2,5mg. comp. </v>
      </c>
      <c r="CC101" s="191" t="str">
        <f>IF(AND($D101&lt;&gt;0,K101=""),"* No olvide ingresar la variable "&amp;K$94&amp;""&amp;". Digite Cero si no tiene.",IF(K101&gt;$D101,"* La variable Migrantes no puede superar el TOTAL Tibolona 2,5mg. comp. ",""))</f>
        <v xml:space="preserve">* La variable Migrantes no puede superar el TOTAL Tibolona 2,5mg. comp. </v>
      </c>
      <c r="CO101" s="1047">
        <f>IF(AND($D101&lt;&gt;0,$J101=""),1,IF($J101&gt;$D101,1,0))</f>
        <v>1</v>
      </c>
      <c r="CP101" s="1047">
        <f t="shared" si="74"/>
        <v>1</v>
      </c>
    </row>
    <row r="102" spans="1:94" ht="15" customHeight="1" x14ac:dyDescent="0.2">
      <c r="A102" s="1576" t="s">
        <v>974</v>
      </c>
      <c r="B102" s="1743" t="s">
        <v>157</v>
      </c>
      <c r="C102" s="1744"/>
      <c r="D102" s="372" t="s">
        <v>1616</v>
      </c>
      <c r="E102" s="268" t="s">
        <v>1617</v>
      </c>
      <c r="F102" s="268" t="s">
        <v>1618</v>
      </c>
      <c r="G102" s="268" t="s">
        <v>1619</v>
      </c>
      <c r="H102" s="268" t="s">
        <v>1620</v>
      </c>
      <c r="I102" s="268" t="s">
        <v>1621</v>
      </c>
      <c r="J102" s="1019" t="s">
        <v>1622</v>
      </c>
      <c r="K102" s="284" t="s">
        <v>1623</v>
      </c>
      <c r="L102" s="108" t="str">
        <f>($CB102&amp;$CC102)</f>
        <v xml:space="preserve">* La variable Pueblos Originarios no puede superar el TOTAL Terapia Dual. * La variable Migrantes no puede superar el TOTAL Terapia Dual. </v>
      </c>
      <c r="CB102" s="191" t="str">
        <f>IF(AND($D102&lt;&gt;0,J102=""),"* No olvide ingresar la variable "&amp;J$94&amp;""&amp;". Digite Cero si no tiene.",IF(J102&gt;$D102,"* La variable Pueblos Originarios no puede superar el TOTAL Terapia Dual. ",""))</f>
        <v xml:space="preserve">* La variable Pueblos Originarios no puede superar el TOTAL Terapia Dual. </v>
      </c>
      <c r="CC102" s="191" t="str">
        <f>IF(AND($D102&lt;&gt;0,K102=""),"* No olvide ingresar la variable "&amp;K$94&amp;""&amp;". Digite Cero si no tiene.",IF(K102&gt;$D102,"* La variable Migrantes no puede superar el TOTAL Terapia Dual. ",""))</f>
        <v xml:space="preserve">* La variable Migrantes no puede superar el TOTAL Terapia Dual. </v>
      </c>
      <c r="CO102" s="1047">
        <f t="shared" si="73"/>
        <v>1</v>
      </c>
      <c r="CP102" s="1047">
        <f>IF(AND($D102&lt;&gt;0,K102=""),1,IF(K102&gt;$D102,1,0))</f>
        <v>1</v>
      </c>
    </row>
    <row r="103" spans="1:94" ht="17.100000000000001" customHeight="1" x14ac:dyDescent="0.15">
      <c r="B103" s="1659" t="s">
        <v>158</v>
      </c>
      <c r="C103" s="1660"/>
      <c r="D103" s="1660"/>
      <c r="E103" s="1660"/>
      <c r="F103" s="1660"/>
      <c r="G103" s="220"/>
      <c r="H103" s="220"/>
      <c r="I103" s="220"/>
    </row>
    <row r="104" spans="1:94" ht="15" customHeight="1" x14ac:dyDescent="0.15">
      <c r="B104" s="1668" t="s">
        <v>120</v>
      </c>
      <c r="C104" s="1670" t="s">
        <v>159</v>
      </c>
      <c r="D104" s="1671"/>
      <c r="E104" s="1694" t="s">
        <v>160</v>
      </c>
      <c r="F104" s="1696" t="s">
        <v>161</v>
      </c>
      <c r="H104" s="37"/>
      <c r="I104" s="36"/>
      <c r="J104" s="36"/>
      <c r="X104" s="172"/>
      <c r="Y104" s="176"/>
      <c r="BJ104" s="172"/>
    </row>
    <row r="105" spans="1:94" ht="15" customHeight="1" x14ac:dyDescent="0.15">
      <c r="B105" s="1669"/>
      <c r="C105" s="1224" t="s">
        <v>162</v>
      </c>
      <c r="D105" s="1228" t="s">
        <v>163</v>
      </c>
      <c r="E105" s="1695"/>
      <c r="F105" s="1697"/>
      <c r="H105" s="37"/>
      <c r="I105" s="36"/>
      <c r="J105" s="36"/>
      <c r="X105" s="172"/>
      <c r="Y105" s="176"/>
      <c r="BJ105" s="172"/>
    </row>
    <row r="106" spans="1:94" ht="15" customHeight="1" x14ac:dyDescent="0.2">
      <c r="A106" s="1576" t="s">
        <v>975</v>
      </c>
      <c r="B106" s="51" t="s">
        <v>164</v>
      </c>
      <c r="C106" s="261" t="s">
        <v>1616</v>
      </c>
      <c r="D106" s="309" t="s">
        <v>1617</v>
      </c>
      <c r="E106" s="261" t="s">
        <v>1618</v>
      </c>
      <c r="F106" s="309" t="s">
        <v>1619</v>
      </c>
      <c r="I106" s="36"/>
      <c r="J106" s="36"/>
      <c r="X106" s="172"/>
      <c r="Y106" s="176"/>
      <c r="BJ106" s="172"/>
    </row>
    <row r="107" spans="1:94" ht="15" customHeight="1" x14ac:dyDescent="0.2">
      <c r="A107" s="1576" t="s">
        <v>976</v>
      </c>
      <c r="B107" s="52" t="s">
        <v>165</v>
      </c>
      <c r="C107" s="310" t="s">
        <v>1616</v>
      </c>
      <c r="D107" s="311" t="s">
        <v>1617</v>
      </c>
      <c r="E107" s="310" t="s">
        <v>1618</v>
      </c>
      <c r="F107" s="311" t="s">
        <v>1619</v>
      </c>
      <c r="I107" s="36"/>
      <c r="J107" s="36"/>
      <c r="X107" s="172"/>
      <c r="Y107" s="176"/>
      <c r="BJ107" s="172"/>
    </row>
    <row r="108" spans="1:94" ht="15" customHeight="1" x14ac:dyDescent="0.2">
      <c r="A108" s="1576" t="s">
        <v>977</v>
      </c>
      <c r="B108" s="52" t="s">
        <v>166</v>
      </c>
      <c r="C108" s="310" t="s">
        <v>1616</v>
      </c>
      <c r="D108" s="311" t="s">
        <v>1617</v>
      </c>
      <c r="E108" s="310" t="s">
        <v>1618</v>
      </c>
      <c r="F108" s="311" t="s">
        <v>1619</v>
      </c>
      <c r="I108" s="36"/>
      <c r="J108" s="36"/>
      <c r="X108" s="172"/>
      <c r="Y108" s="176"/>
      <c r="BJ108" s="172"/>
    </row>
    <row r="109" spans="1:94" ht="15" customHeight="1" x14ac:dyDescent="0.2">
      <c r="A109" s="1576" t="s">
        <v>978</v>
      </c>
      <c r="B109" s="52" t="s">
        <v>167</v>
      </c>
      <c r="C109" s="310" t="s">
        <v>1616</v>
      </c>
      <c r="D109" s="311" t="s">
        <v>1617</v>
      </c>
      <c r="E109" s="310" t="s">
        <v>1618</v>
      </c>
      <c r="F109" s="311" t="s">
        <v>1619</v>
      </c>
      <c r="I109" s="36"/>
      <c r="J109" s="36"/>
      <c r="X109" s="172"/>
      <c r="Y109" s="176"/>
      <c r="BJ109" s="172"/>
    </row>
    <row r="110" spans="1:94" ht="15" customHeight="1" x14ac:dyDescent="0.2">
      <c r="A110" s="1576" t="s">
        <v>979</v>
      </c>
      <c r="B110" s="52" t="s">
        <v>168</v>
      </c>
      <c r="C110" s="310" t="s">
        <v>1616</v>
      </c>
      <c r="D110" s="311" t="s">
        <v>1617</v>
      </c>
      <c r="E110" s="310" t="s">
        <v>1618</v>
      </c>
      <c r="F110" s="311" t="s">
        <v>1619</v>
      </c>
      <c r="I110" s="36"/>
      <c r="J110" s="36"/>
      <c r="X110" s="172"/>
      <c r="Y110" s="176"/>
      <c r="BJ110" s="172"/>
    </row>
    <row r="111" spans="1:94" ht="15" customHeight="1" x14ac:dyDescent="0.2">
      <c r="A111" s="1576" t="s">
        <v>980</v>
      </c>
      <c r="B111" s="52" t="s">
        <v>169</v>
      </c>
      <c r="C111" s="310" t="s">
        <v>1616</v>
      </c>
      <c r="D111" s="311" t="s">
        <v>1617</v>
      </c>
      <c r="E111" s="310" t="s">
        <v>1618</v>
      </c>
      <c r="F111" s="311" t="s">
        <v>1619</v>
      </c>
      <c r="I111" s="36"/>
      <c r="J111" s="36"/>
      <c r="X111" s="172"/>
      <c r="Y111" s="176"/>
      <c r="BJ111" s="172"/>
    </row>
    <row r="112" spans="1:94" s="36" customFormat="1" ht="15" customHeight="1" x14ac:dyDescent="0.2">
      <c r="A112" s="1576" t="s">
        <v>981</v>
      </c>
      <c r="B112" s="52" t="s">
        <v>170</v>
      </c>
      <c r="C112" s="310" t="s">
        <v>1616</v>
      </c>
      <c r="D112" s="311" t="s">
        <v>1617</v>
      </c>
      <c r="E112" s="310" t="s">
        <v>1618</v>
      </c>
      <c r="F112" s="311" t="s">
        <v>1619</v>
      </c>
      <c r="H112" s="108"/>
      <c r="K112" s="108"/>
      <c r="L112" s="108"/>
      <c r="M112" s="108"/>
      <c r="N112" s="108"/>
      <c r="O112" s="108"/>
      <c r="P112" s="108"/>
      <c r="X112" s="178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6"/>
      <c r="BJ112" s="172"/>
      <c r="BK112" s="172"/>
      <c r="BL112" s="172"/>
      <c r="BM112" s="172"/>
      <c r="BN112" s="172"/>
      <c r="BO112" s="172"/>
      <c r="BP112" s="172"/>
      <c r="BQ112" s="178"/>
      <c r="BR112" s="178"/>
      <c r="BS112" s="178"/>
      <c r="BT112" s="178"/>
      <c r="BU112" s="178"/>
      <c r="BV112" s="178"/>
      <c r="BW112" s="178"/>
      <c r="BX112" s="178"/>
      <c r="BY112" s="178"/>
      <c r="BZ112" s="178"/>
      <c r="CB112" s="108"/>
      <c r="CK112" s="108"/>
    </row>
    <row r="113" spans="1:96" s="36" customFormat="1" ht="15" customHeight="1" x14ac:dyDescent="0.2">
      <c r="A113" s="1576" t="s">
        <v>982</v>
      </c>
      <c r="B113" s="52" t="s">
        <v>171</v>
      </c>
      <c r="C113" s="310" t="s">
        <v>1616</v>
      </c>
      <c r="D113" s="311" t="s">
        <v>1617</v>
      </c>
      <c r="E113" s="310" t="s">
        <v>1618</v>
      </c>
      <c r="F113" s="311" t="s">
        <v>1619</v>
      </c>
      <c r="H113" s="108"/>
      <c r="K113" s="108"/>
      <c r="L113" s="108"/>
      <c r="M113" s="108"/>
      <c r="N113" s="108"/>
      <c r="O113" s="108"/>
      <c r="P113" s="108"/>
      <c r="X113" s="178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6"/>
      <c r="BJ113" s="172"/>
      <c r="BK113" s="172"/>
      <c r="BL113" s="172"/>
      <c r="BM113" s="172"/>
      <c r="BN113" s="172"/>
      <c r="BO113" s="172"/>
      <c r="BP113" s="172"/>
      <c r="BQ113" s="178"/>
      <c r="BR113" s="178"/>
      <c r="BS113" s="178"/>
      <c r="BT113" s="178"/>
      <c r="BU113" s="178"/>
      <c r="BV113" s="178"/>
      <c r="BW113" s="178"/>
      <c r="BX113" s="178"/>
      <c r="BY113" s="178"/>
      <c r="BZ113" s="178"/>
      <c r="CB113" s="108"/>
      <c r="CK113" s="108"/>
    </row>
    <row r="114" spans="1:96" s="36" customFormat="1" ht="15" customHeight="1" x14ac:dyDescent="0.2">
      <c r="A114" s="1576" t="s">
        <v>983</v>
      </c>
      <c r="B114" s="53" t="s">
        <v>172</v>
      </c>
      <c r="C114" s="290" t="s">
        <v>1616</v>
      </c>
      <c r="D114" s="312" t="s">
        <v>1617</v>
      </c>
      <c r="E114" s="290" t="s">
        <v>1618</v>
      </c>
      <c r="F114" s="312" t="s">
        <v>1619</v>
      </c>
      <c r="H114" s="108"/>
      <c r="K114" s="108"/>
      <c r="L114" s="108"/>
      <c r="M114" s="108"/>
      <c r="N114" s="108"/>
      <c r="O114" s="108"/>
      <c r="P114" s="108"/>
      <c r="X114" s="178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6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BZ114" s="178"/>
      <c r="CB114" s="108"/>
      <c r="CK114" s="108"/>
    </row>
    <row r="115" spans="1:96" s="36" customFormat="1" ht="15" customHeight="1" x14ac:dyDescent="0.15">
      <c r="A115" s="1583"/>
      <c r="B115" s="165" t="s">
        <v>89</v>
      </c>
      <c r="C115" s="1225">
        <f>SUM(C106:C114)</f>
        <v>0</v>
      </c>
      <c r="D115" s="745">
        <f>SUM(D106:D114)</f>
        <v>0</v>
      </c>
      <c r="E115" s="1049">
        <f>SUM(E106:E114)</f>
        <v>0</v>
      </c>
      <c r="F115" s="745">
        <f>SUM(F106:F114)</f>
        <v>0</v>
      </c>
      <c r="K115" s="108"/>
      <c r="L115" s="108"/>
      <c r="M115" s="108"/>
      <c r="N115" s="108"/>
      <c r="O115" s="108"/>
      <c r="P115" s="108"/>
      <c r="X115" s="178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6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  <c r="BZ115" s="178"/>
    </row>
    <row r="116" spans="1:96" s="36" customFormat="1" ht="15" customHeight="1" x14ac:dyDescent="0.2">
      <c r="A116" s="1582" t="s">
        <v>984</v>
      </c>
      <c r="B116" s="1426" t="s">
        <v>173</v>
      </c>
      <c r="C116" s="1410" t="s">
        <v>1616</v>
      </c>
      <c r="D116" s="814" t="s">
        <v>1617</v>
      </c>
      <c r="E116" s="1410" t="s">
        <v>1618</v>
      </c>
      <c r="F116" s="814" t="s">
        <v>1619</v>
      </c>
      <c r="K116" s="108"/>
      <c r="L116" s="108"/>
      <c r="M116" s="108"/>
      <c r="N116" s="108"/>
      <c r="O116" s="108"/>
      <c r="P116" s="108"/>
      <c r="X116" s="178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6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  <c r="BZ116" s="178"/>
    </row>
    <row r="117" spans="1:96" ht="17.100000000000001" customHeight="1" x14ac:dyDescent="0.15">
      <c r="B117" s="1657" t="s">
        <v>174</v>
      </c>
      <c r="C117" s="1658"/>
      <c r="D117" s="1658"/>
      <c r="E117" s="1658"/>
      <c r="F117" s="1658"/>
      <c r="G117" s="1658"/>
      <c r="H117" s="1658"/>
      <c r="I117" s="1658"/>
      <c r="J117" s="1658"/>
      <c r="K117" s="1658"/>
      <c r="L117" s="1658"/>
      <c r="M117" s="1658"/>
    </row>
    <row r="118" spans="1:96" ht="15" customHeight="1" x14ac:dyDescent="0.15">
      <c r="B118" s="1668" t="s">
        <v>120</v>
      </c>
      <c r="C118" s="1668" t="s">
        <v>121</v>
      </c>
      <c r="D118" s="1668" t="s">
        <v>49</v>
      </c>
      <c r="E118" s="1745" t="s">
        <v>50</v>
      </c>
      <c r="F118" s="1745"/>
      <c r="G118" s="1745"/>
      <c r="H118" s="1745"/>
      <c r="I118" s="1745"/>
      <c r="J118" s="1745"/>
      <c r="K118" s="1745"/>
      <c r="L118" s="1745"/>
      <c r="M118" s="1745"/>
    </row>
    <row r="119" spans="1:96" ht="15" customHeight="1" x14ac:dyDescent="0.15">
      <c r="B119" s="1669"/>
      <c r="C119" s="1669"/>
      <c r="D119" s="1669"/>
      <c r="E119" s="1224" t="s">
        <v>122</v>
      </c>
      <c r="F119" s="1206" t="s">
        <v>57</v>
      </c>
      <c r="G119" s="1206" t="s">
        <v>58</v>
      </c>
      <c r="H119" s="1206" t="s">
        <v>59</v>
      </c>
      <c r="I119" s="1206" t="s">
        <v>60</v>
      </c>
      <c r="J119" s="1206" t="s">
        <v>61</v>
      </c>
      <c r="K119" s="1206" t="s">
        <v>62</v>
      </c>
      <c r="L119" s="1206" t="s">
        <v>63</v>
      </c>
      <c r="M119" s="1208" t="s">
        <v>64</v>
      </c>
    </row>
    <row r="120" spans="1:96" ht="15" customHeight="1" x14ac:dyDescent="0.2">
      <c r="A120" s="1576" t="s">
        <v>985</v>
      </c>
      <c r="B120" s="1665" t="s">
        <v>175</v>
      </c>
      <c r="C120" s="612" t="s">
        <v>124</v>
      </c>
      <c r="D120" s="613" t="s">
        <v>1616</v>
      </c>
      <c r="E120" s="624" t="s">
        <v>1617</v>
      </c>
      <c r="F120" s="625" t="s">
        <v>1618</v>
      </c>
      <c r="G120" s="625" t="s">
        <v>1619</v>
      </c>
      <c r="H120" s="625" t="s">
        <v>1620</v>
      </c>
      <c r="I120" s="625" t="s">
        <v>1621</v>
      </c>
      <c r="J120" s="625" t="s">
        <v>1622</v>
      </c>
      <c r="K120" s="625" t="s">
        <v>1623</v>
      </c>
      <c r="L120" s="625" t="s">
        <v>1624</v>
      </c>
      <c r="M120" s="626" t="s">
        <v>1625</v>
      </c>
      <c r="N120" s="1324"/>
      <c r="P120" s="36"/>
      <c r="Q120" s="36"/>
    </row>
    <row r="121" spans="1:96" ht="15" customHeight="1" x14ac:dyDescent="0.2">
      <c r="A121" s="1576" t="s">
        <v>986</v>
      </c>
      <c r="B121" s="1666"/>
      <c r="C121" s="614" t="s">
        <v>125</v>
      </c>
      <c r="D121" s="615" t="s">
        <v>1616</v>
      </c>
      <c r="E121" s="627" t="s">
        <v>1617</v>
      </c>
      <c r="F121" s="628" t="s">
        <v>1618</v>
      </c>
      <c r="G121" s="628" t="s">
        <v>1619</v>
      </c>
      <c r="H121" s="628" t="s">
        <v>1620</v>
      </c>
      <c r="I121" s="628" t="s">
        <v>1621</v>
      </c>
      <c r="J121" s="628" t="s">
        <v>1622</v>
      </c>
      <c r="K121" s="628" t="s">
        <v>1623</v>
      </c>
      <c r="L121" s="628" t="s">
        <v>1624</v>
      </c>
      <c r="M121" s="629" t="s">
        <v>1625</v>
      </c>
      <c r="N121" s="1324"/>
      <c r="P121" s="36"/>
      <c r="Q121" s="36"/>
    </row>
    <row r="122" spans="1:96" ht="15" customHeight="1" x14ac:dyDescent="0.2">
      <c r="A122" s="1576" t="s">
        <v>987</v>
      </c>
      <c r="B122" s="1666"/>
      <c r="C122" s="614" t="s">
        <v>126</v>
      </c>
      <c r="D122" s="615" t="s">
        <v>1616</v>
      </c>
      <c r="E122" s="627" t="s">
        <v>1617</v>
      </c>
      <c r="F122" s="628" t="s">
        <v>1618</v>
      </c>
      <c r="G122" s="628" t="s">
        <v>1619</v>
      </c>
      <c r="H122" s="628" t="s">
        <v>1620</v>
      </c>
      <c r="I122" s="628" t="s">
        <v>1621</v>
      </c>
      <c r="J122" s="628" t="s">
        <v>1622</v>
      </c>
      <c r="K122" s="628" t="s">
        <v>1623</v>
      </c>
      <c r="L122" s="628" t="s">
        <v>1624</v>
      </c>
      <c r="M122" s="629" t="s">
        <v>1625</v>
      </c>
      <c r="N122" s="1324"/>
      <c r="O122" s="36"/>
      <c r="P122" s="36"/>
      <c r="Q122" s="36"/>
    </row>
    <row r="123" spans="1:96" ht="15" customHeight="1" x14ac:dyDescent="0.2">
      <c r="A123" s="1576" t="s">
        <v>988</v>
      </c>
      <c r="B123" s="1666"/>
      <c r="C123" s="616" t="s">
        <v>176</v>
      </c>
      <c r="D123" s="617" t="s">
        <v>1616</v>
      </c>
      <c r="E123" s="630" t="s">
        <v>1617</v>
      </c>
      <c r="F123" s="631" t="s">
        <v>1618</v>
      </c>
      <c r="G123" s="631" t="s">
        <v>1619</v>
      </c>
      <c r="H123" s="631" t="s">
        <v>1620</v>
      </c>
      <c r="I123" s="631" t="s">
        <v>1621</v>
      </c>
      <c r="J123" s="631" t="s">
        <v>1622</v>
      </c>
      <c r="K123" s="631" t="s">
        <v>1623</v>
      </c>
      <c r="L123" s="631" t="s">
        <v>1624</v>
      </c>
      <c r="M123" s="632" t="s">
        <v>1625</v>
      </c>
      <c r="N123" s="1324"/>
      <c r="O123" s="36"/>
      <c r="P123" s="36"/>
      <c r="Q123" s="36"/>
    </row>
    <row r="124" spans="1:96" ht="15" customHeight="1" x14ac:dyDescent="0.15">
      <c r="A124" s="1578"/>
      <c r="B124" s="1667"/>
      <c r="C124" s="1427" t="s">
        <v>89</v>
      </c>
      <c r="D124" s="1428">
        <f>SUM(E124:M124)</f>
        <v>0</v>
      </c>
      <c r="E124" s="1229">
        <f>SUM(E120:E123)</f>
        <v>0</v>
      </c>
      <c r="F124" s="1209">
        <f t="shared" ref="F124:M124" si="75">SUM(F120:F123)</f>
        <v>0</v>
      </c>
      <c r="G124" s="1209">
        <f t="shared" si="75"/>
        <v>0</v>
      </c>
      <c r="H124" s="1209">
        <f t="shared" si="75"/>
        <v>0</v>
      </c>
      <c r="I124" s="1209">
        <f t="shared" si="75"/>
        <v>0</v>
      </c>
      <c r="J124" s="1209">
        <f t="shared" si="75"/>
        <v>0</v>
      </c>
      <c r="K124" s="1209">
        <f t="shared" si="75"/>
        <v>0</v>
      </c>
      <c r="L124" s="1209">
        <f t="shared" si="75"/>
        <v>0</v>
      </c>
      <c r="M124" s="1210">
        <f t="shared" si="75"/>
        <v>0</v>
      </c>
      <c r="O124" s="36"/>
      <c r="P124" s="36"/>
      <c r="Q124" s="36"/>
    </row>
    <row r="125" spans="1:96" ht="17.100000000000001" customHeight="1" x14ac:dyDescent="0.15">
      <c r="B125" s="1651" t="s">
        <v>177</v>
      </c>
      <c r="C125" s="1652"/>
      <c r="D125" s="1652"/>
      <c r="E125" s="1652"/>
      <c r="F125" s="1652"/>
      <c r="G125" s="1652"/>
      <c r="H125" s="1652"/>
      <c r="I125" s="756"/>
      <c r="J125" s="756"/>
      <c r="K125" s="756"/>
      <c r="L125" s="756"/>
      <c r="M125" s="756"/>
      <c r="O125" s="36"/>
      <c r="P125" s="36"/>
      <c r="Q125" s="36"/>
    </row>
    <row r="126" spans="1:96" ht="15" customHeight="1" x14ac:dyDescent="0.15">
      <c r="A126" s="1584"/>
      <c r="B126" s="1688" t="s">
        <v>120</v>
      </c>
      <c r="C126" s="1665" t="s">
        <v>178</v>
      </c>
      <c r="D126" s="1690" t="s">
        <v>179</v>
      </c>
      <c r="E126" s="1683" t="s">
        <v>180</v>
      </c>
      <c r="F126" s="1692" t="s">
        <v>181</v>
      </c>
      <c r="G126" s="1681" t="s">
        <v>182</v>
      </c>
      <c r="H126" s="1683" t="s">
        <v>183</v>
      </c>
      <c r="I126" s="1685" t="s">
        <v>51</v>
      </c>
      <c r="J126" s="1686"/>
      <c r="K126" s="1687" t="s">
        <v>108</v>
      </c>
      <c r="L126" s="1686"/>
      <c r="M126" s="756"/>
      <c r="N126" s="756"/>
      <c r="O126" s="756"/>
      <c r="Q126" s="36"/>
      <c r="R126" s="36"/>
      <c r="S126" s="36"/>
      <c r="Y126" s="108"/>
      <c r="Z126" s="108"/>
      <c r="AA126" s="172"/>
      <c r="BK126" s="176"/>
      <c r="BL126" s="176"/>
      <c r="CB126" s="172"/>
      <c r="CC126" s="172"/>
    </row>
    <row r="127" spans="1:96" ht="52.5" x14ac:dyDescent="0.15">
      <c r="A127" s="1584"/>
      <c r="B127" s="1689"/>
      <c r="C127" s="1667"/>
      <c r="D127" s="1691"/>
      <c r="E127" s="1684"/>
      <c r="F127" s="1693"/>
      <c r="G127" s="1682"/>
      <c r="H127" s="1684"/>
      <c r="I127" s="1325" t="s">
        <v>179</v>
      </c>
      <c r="J127" s="1429" t="s">
        <v>180</v>
      </c>
      <c r="K127" s="1405" t="s">
        <v>179</v>
      </c>
      <c r="L127" s="1429" t="s">
        <v>180</v>
      </c>
      <c r="M127" s="756"/>
      <c r="N127" s="756"/>
      <c r="O127" s="756"/>
      <c r="P127" s="756"/>
      <c r="Q127" s="756"/>
      <c r="R127" s="756"/>
      <c r="T127" s="36"/>
      <c r="U127" s="36"/>
      <c r="V127" s="36"/>
      <c r="Y127" s="108"/>
      <c r="Z127" s="108"/>
      <c r="AA127" s="108"/>
      <c r="AB127" s="108"/>
      <c r="AC127" s="108"/>
      <c r="AD127" s="172"/>
      <c r="BK127" s="176"/>
      <c r="BL127" s="176"/>
      <c r="BM127" s="176"/>
      <c r="BN127" s="176"/>
      <c r="BO127" s="176"/>
      <c r="CB127" s="172"/>
      <c r="CC127" s="172"/>
      <c r="CD127" s="172"/>
      <c r="CE127" s="172"/>
    </row>
    <row r="128" spans="1:96" ht="15" customHeight="1" x14ac:dyDescent="0.2">
      <c r="A128" s="1576" t="s">
        <v>989</v>
      </c>
      <c r="B128" s="741" t="s">
        <v>164</v>
      </c>
      <c r="C128" s="920" t="s">
        <v>1616</v>
      </c>
      <c r="D128" s="1193" t="s">
        <v>1617</v>
      </c>
      <c r="E128" s="1196" t="s">
        <v>1618</v>
      </c>
      <c r="F128" s="1188" t="s">
        <v>1619</v>
      </c>
      <c r="G128" s="1199" t="s">
        <v>1620</v>
      </c>
      <c r="H128" s="1196" t="s">
        <v>1621</v>
      </c>
      <c r="I128" s="1188" t="s">
        <v>1622</v>
      </c>
      <c r="J128" s="921" t="s">
        <v>1623</v>
      </c>
      <c r="K128" s="1193" t="s">
        <v>1624</v>
      </c>
      <c r="L128" s="921" t="s">
        <v>1625</v>
      </c>
      <c r="M128" s="108" t="str">
        <f>($CB128&amp;$CC128&amp;$CD128&amp;$CE128)</f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28" s="756"/>
      <c r="O128" s="756"/>
      <c r="P128" s="756"/>
      <c r="Q128" s="756"/>
      <c r="R128" s="756"/>
      <c r="T128" s="36"/>
      <c r="U128" s="36"/>
      <c r="V128" s="36"/>
      <c r="Y128" s="108"/>
      <c r="Z128" s="108"/>
      <c r="AA128" s="108"/>
      <c r="AB128" s="108"/>
      <c r="AC128" s="108"/>
      <c r="AD128" s="172"/>
      <c r="BK128" s="176"/>
      <c r="BL128" s="176"/>
      <c r="BM128" s="176"/>
      <c r="BN128" s="176"/>
      <c r="BO128" s="176"/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 xml:space="preserve">* La variable Pueblos Originarios Gestantes en control con resultado 1° VIH no puede superar el Total de Gestantes en control con resultado 1° VIH. </v>
      </c>
      <c r="CC128" s="191" t="str">
        <f>IF(AND($E128&lt;&gt;0,J128=""),"* No olvide ingresar la variable Pueblos Originarios "&amp;J$127&amp;""&amp;". Digite Cero si no tiene.",IF(J128&gt;$E128,"* La variable Pueblos Originarios "&amp;J$127&amp;""&amp;" no puede superar el Total de Gestantes en control con resultado 1° VIH. ",""))</f>
        <v xml:space="preserve">* La variable Pueblos Originarios Gestantes en control con resultado 1° Tamizaje Sífilis  no puede superar el Total de Gestantes en control con resultado 1° VIH. </v>
      </c>
      <c r="CD128" s="191" t="str">
        <f>IF(AND($D128&lt;&gt;0,K128=""),"* No olvide ingresar la variable Migrantes "&amp;K$127&amp;""&amp;". Digite Cero si no tiene.",IF(K128&gt;$D128,"* La variable Migrantes "&amp;K$127&amp;""&amp;" no puede superar el Total de Gestantes en control con resultado 1° VIH. ",""))</f>
        <v xml:space="preserve">* La variable Migrantes Gestantes en control con resultado 1° VIH no puede superar el Total de Gestantes en control con resultado 1° VIH. </v>
      </c>
      <c r="CE128" s="191" t="str">
        <f>IF(AND($E128&lt;&gt;0,L128=""),"* No olvide ingresar la variable Migrantes "&amp;L$127&amp;""&amp;". Digite Cero si no tiene.",IF(L128&gt;$E128,"* La variable Migrantes de Gestantes "&amp;L$127&amp;""&amp;" no puede superar el Total de Gestantes en control con resultado 1° VIH. ",""))</f>
        <v xml:space="preserve">* La variable Migrantes de Gestantes Gestantes en control con resultado 1° Tamizaje Sífilis  no puede superar el Total de Gestantes en control con resultado 1° VIH. </v>
      </c>
      <c r="CO128" s="1047">
        <f>IF(AND($D128&lt;&gt;0,I128=""),1,IF(I128&gt;$D128,1,0))</f>
        <v>1</v>
      </c>
      <c r="CP128" s="1047">
        <f>IF(AND($E128&lt;&gt;0,J128=""),1,IF(J128&gt;$E128,1,0))</f>
        <v>1</v>
      </c>
      <c r="CQ128" s="1047">
        <f>IF(AND($D128&lt;&gt;0,K128=""),1,IF(K128&gt;$D128,1,0))</f>
        <v>1</v>
      </c>
      <c r="CR128" s="1047">
        <f>IF(AND($E128&lt;&gt;0,L128=""),1,IF(L128&gt;$E128,1,0))</f>
        <v>1</v>
      </c>
    </row>
    <row r="129" spans="1:96" ht="15" customHeight="1" x14ac:dyDescent="0.2">
      <c r="A129" s="1576" t="s">
        <v>990</v>
      </c>
      <c r="B129" s="838" t="s">
        <v>165</v>
      </c>
      <c r="C129" s="922" t="s">
        <v>1616</v>
      </c>
      <c r="D129" s="1194" t="s">
        <v>1617</v>
      </c>
      <c r="E129" s="1197" t="s">
        <v>1618</v>
      </c>
      <c r="F129" s="1189" t="s">
        <v>1619</v>
      </c>
      <c r="G129" s="1200" t="s">
        <v>1620</v>
      </c>
      <c r="H129" s="1197" t="s">
        <v>1621</v>
      </c>
      <c r="I129" s="1189" t="s">
        <v>1622</v>
      </c>
      <c r="J129" s="923" t="s">
        <v>1623</v>
      </c>
      <c r="K129" s="1194" t="s">
        <v>1624</v>
      </c>
      <c r="L129" s="923" t="s">
        <v>1625</v>
      </c>
      <c r="M129" s="108" t="str">
        <f t="shared" ref="M129:M138" si="76">($CB129&amp;$CC129&amp;$CD129&amp;$CE129)</f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29" s="756"/>
      <c r="O129" s="756"/>
      <c r="P129" s="756"/>
      <c r="Q129" s="756"/>
      <c r="R129" s="756"/>
      <c r="T129" s="36"/>
      <c r="U129" s="36"/>
      <c r="V129" s="36"/>
      <c r="Y129" s="108"/>
      <c r="Z129" s="108"/>
      <c r="AA129" s="108"/>
      <c r="AB129" s="108"/>
      <c r="AC129" s="108"/>
      <c r="AD129" s="172"/>
      <c r="BK129" s="176"/>
      <c r="BL129" s="176"/>
      <c r="BM129" s="176"/>
      <c r="BN129" s="176"/>
      <c r="BO129" s="176"/>
      <c r="CB129" s="191" t="str">
        <f t="shared" ref="CB129:CB135" si="77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 xml:space="preserve">* La variable Pueblos Originarios Gestantes en control con resultado 1° VIH no puede superar el Total de Gestantes en control con resultado 1° VIH. </v>
      </c>
      <c r="CC129" s="191" t="str">
        <f t="shared" ref="CC129:CC136" si="78">IF(AND($E129&lt;&gt;0,J129=""),"* No olvide ingresar la variable Pueblos Originarios "&amp;J$127&amp;""&amp;". Digite Cero si no tiene.",IF(J129&gt;$E129,"* La variable Pueblos Originarios "&amp;J$127&amp;""&amp;" no puede superar el Total de Gestantes en control con resultado 1° VIH. ",""))</f>
        <v xml:space="preserve">* La variable Pueblos Originarios Gestantes en control con resultado 1° Tamizaje Sífilis  no puede superar el Total de Gestantes en control con resultado 1° VIH. </v>
      </c>
      <c r="CD129" s="191" t="str">
        <f>IF(AND($D129&lt;&gt;0,K129=""),"* No olvide ingresar la variable Migrantes "&amp;K$127&amp;""&amp;". Digite Cero si no tiene.",IF(K129&gt;$D129,"* La variable Migrantes "&amp;K$127&amp;""&amp;" no puede superar el Total de Gestantes en control con resultado 1° VIH. ",""))</f>
        <v xml:space="preserve">* La variable Migrantes Gestantes en control con resultado 1° VIH no puede superar el Total de Gestantes en control con resultado 1° VIH. </v>
      </c>
      <c r="CE129" s="191" t="str">
        <f t="shared" ref="CE129:CE136" si="79">IF(AND($E129&lt;&gt;0,L129=""),"* No olvide ingresar la variable Migrantes "&amp;L$127&amp;""&amp;". Digite Cero si no tiene.",IF(L129&gt;$E129,"* La variable Migrantes de Gestantes "&amp;L$127&amp;""&amp;" no puede superar el Total de Gestantes en control con resultado 1° VIH. ",""))</f>
        <v xml:space="preserve">* La variable Migrantes de Gestantes Gestantes en control con resultado 1° Tamizaje Sífilis  no puede superar el Total de Gestantes en control con resultado 1° VIH. </v>
      </c>
      <c r="CO129" s="1047">
        <f t="shared" ref="CO129:CO135" si="80">IF(AND($D129&lt;&gt;0,I129=""),1,IF(I129&gt;$D129,1,0))</f>
        <v>1</v>
      </c>
      <c r="CP129" s="1047">
        <f>IF(AND($E129&lt;&gt;0,$J129=""),1,IF($J129&gt;$E129,1,0))</f>
        <v>1</v>
      </c>
      <c r="CQ129" s="1047">
        <f>IF(AND($D129&lt;&gt;0,K129=""),1,IF(K129&gt;$D129,1,0))</f>
        <v>1</v>
      </c>
      <c r="CR129" s="1047">
        <f t="shared" ref="CR129:CR135" si="81">IF(AND($E129&lt;&gt;0,L129=""),1,IF(L129&gt;$E129,1,0))</f>
        <v>1</v>
      </c>
    </row>
    <row r="130" spans="1:96" ht="15" customHeight="1" x14ac:dyDescent="0.2">
      <c r="A130" s="1576" t="s">
        <v>991</v>
      </c>
      <c r="B130" s="838" t="s">
        <v>166</v>
      </c>
      <c r="C130" s="922" t="s">
        <v>1616</v>
      </c>
      <c r="D130" s="1194" t="s">
        <v>1617</v>
      </c>
      <c r="E130" s="1197" t="s">
        <v>1618</v>
      </c>
      <c r="F130" s="1189" t="s">
        <v>1619</v>
      </c>
      <c r="G130" s="1200" t="s">
        <v>1620</v>
      </c>
      <c r="H130" s="1197" t="s">
        <v>1621</v>
      </c>
      <c r="I130" s="1189" t="s">
        <v>1622</v>
      </c>
      <c r="J130" s="923" t="s">
        <v>1623</v>
      </c>
      <c r="K130" s="1194" t="s">
        <v>1624</v>
      </c>
      <c r="L130" s="923" t="s">
        <v>1625</v>
      </c>
      <c r="M130" s="108" t="str">
        <f t="shared" si="76"/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30" s="756"/>
      <c r="O130" s="756"/>
      <c r="P130" s="756"/>
      <c r="Q130" s="756"/>
      <c r="R130" s="756"/>
      <c r="T130" s="36"/>
      <c r="U130" s="36"/>
      <c r="V130" s="36"/>
      <c r="Y130" s="108"/>
      <c r="Z130" s="108"/>
      <c r="AA130" s="108"/>
      <c r="AB130" s="108"/>
      <c r="AC130" s="108"/>
      <c r="AD130" s="172"/>
      <c r="BK130" s="176"/>
      <c r="BL130" s="176"/>
      <c r="BM130" s="176"/>
      <c r="BN130" s="176"/>
      <c r="BO130" s="176"/>
      <c r="CB130" s="191" t="str">
        <f t="shared" si="77"/>
        <v xml:space="preserve">* La variable Pueblos Originarios Gestantes en control con resultado 1° VIH no puede superar el Total de Gestantes en control con resultado 1° VIH. </v>
      </c>
      <c r="CC130" s="191" t="str">
        <f t="shared" si="78"/>
        <v xml:space="preserve">* La variable Pueblos Originarios Gestantes en control con resultado 1° Tamizaje Sífilis  no puede superar el Total de Gestantes en control con resultado 1° VIH. </v>
      </c>
      <c r="CD130" s="191" t="str">
        <f>IF(AND($D130&lt;&gt;0,K130=""),"* No olvide ingresar la variable Migrantes "&amp;K$127&amp;""&amp;". Digite Cero si no tiene.",IF(K130&gt;$D130,"* La variable Migrantes "&amp;K$127&amp;""&amp;" no puede superar el Total de Gestantes en control con resultado 1° VIH. ",""))</f>
        <v xml:space="preserve">* La variable Migrantes Gestantes en control con resultado 1° VIH no puede superar el Total de Gestantes en control con resultado 1° VIH. </v>
      </c>
      <c r="CE130" s="191" t="str">
        <f t="shared" si="79"/>
        <v xml:space="preserve">* La variable Migrantes de Gestantes Gestantes en control con resultado 1° Tamizaje Sífilis  no puede superar el Total de Gestantes en control con resultado 1° VIH. </v>
      </c>
      <c r="CO130" s="1047">
        <f t="shared" si="80"/>
        <v>1</v>
      </c>
      <c r="CP130" s="1047">
        <f t="shared" ref="CP130:CP135" si="82">IF(AND($E130&lt;&gt;0,J130=""),1,IF(J130&gt;$E130,1,0))</f>
        <v>1</v>
      </c>
      <c r="CQ130" s="1047">
        <f>IF(AND($D130&lt;&gt;0,K130=""),1,IF(K130&gt;$D130,1,0))</f>
        <v>1</v>
      </c>
      <c r="CR130" s="1047">
        <f t="shared" si="81"/>
        <v>1</v>
      </c>
    </row>
    <row r="131" spans="1:96" ht="15" customHeight="1" x14ac:dyDescent="0.2">
      <c r="A131" s="1576" t="s">
        <v>992</v>
      </c>
      <c r="B131" s="838" t="s">
        <v>167</v>
      </c>
      <c r="C131" s="922" t="s">
        <v>1616</v>
      </c>
      <c r="D131" s="1194" t="s">
        <v>1617</v>
      </c>
      <c r="E131" s="1197" t="s">
        <v>1618</v>
      </c>
      <c r="F131" s="1189" t="s">
        <v>1619</v>
      </c>
      <c r="G131" s="1200" t="s">
        <v>1620</v>
      </c>
      <c r="H131" s="1197" t="s">
        <v>1621</v>
      </c>
      <c r="I131" s="1189" t="s">
        <v>1622</v>
      </c>
      <c r="J131" s="923" t="s">
        <v>1623</v>
      </c>
      <c r="K131" s="1194" t="s">
        <v>1624</v>
      </c>
      <c r="L131" s="923" t="s">
        <v>1625</v>
      </c>
      <c r="M131" s="108" t="str">
        <f t="shared" si="76"/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31" s="756"/>
      <c r="O131" s="756"/>
      <c r="P131" s="756"/>
      <c r="Q131" s="756"/>
      <c r="R131" s="756"/>
      <c r="T131" s="36"/>
      <c r="U131" s="36"/>
      <c r="V131" s="36"/>
      <c r="Y131" s="108"/>
      <c r="Z131" s="108"/>
      <c r="AA131" s="108"/>
      <c r="AB131" s="108"/>
      <c r="AC131" s="108"/>
      <c r="AD131" s="172"/>
      <c r="BK131" s="176"/>
      <c r="BL131" s="176"/>
      <c r="BM131" s="176"/>
      <c r="BN131" s="176"/>
      <c r="BO131" s="176"/>
      <c r="CB131" s="191" t="str">
        <f t="shared" si="77"/>
        <v xml:space="preserve">* La variable Pueblos Originarios Gestantes en control con resultado 1° VIH no puede superar el Total de Gestantes en control con resultado 1° VIH. </v>
      </c>
      <c r="CC131" s="191" t="str">
        <f t="shared" si="78"/>
        <v xml:space="preserve">* La variable Pueblos Originarios Gestantes en control con resultado 1° Tamizaje Sífilis  no puede superar el Total de Gestantes en control con resultado 1° VIH. </v>
      </c>
      <c r="CD131" s="191" t="str">
        <f t="shared" ref="CD131:CD136" si="83">IF(AND($D131&lt;&gt;0,K131=""),"* No olvide ingresar la variable Migrantes "&amp;K$127&amp;""&amp;". Digite Cero si no tiene.",IF(K131&gt;$D131,"* La variable Migrantes "&amp;K$127&amp;""&amp;" no puede superar el Total de Gestantes en control con resultado 1° VIH. ",""))</f>
        <v xml:space="preserve">* La variable Migrantes Gestantes en control con resultado 1° VIH no puede superar el Total de Gestantes en control con resultado 1° VIH. </v>
      </c>
      <c r="CE131" s="191" t="str">
        <f t="shared" si="79"/>
        <v xml:space="preserve">* La variable Migrantes de Gestantes Gestantes en control con resultado 1° Tamizaje Sífilis  no puede superar el Total de Gestantes en control con resultado 1° VIH. </v>
      </c>
      <c r="CO131" s="1047">
        <f t="shared" si="80"/>
        <v>1</v>
      </c>
      <c r="CP131" s="1047">
        <f t="shared" si="82"/>
        <v>1</v>
      </c>
      <c r="CQ131" s="1047">
        <f t="shared" ref="CQ131:CQ135" si="84">IF(AND($D131&lt;&gt;0,K131=""),1,IF(K131&gt;$D131,1,0))</f>
        <v>1</v>
      </c>
      <c r="CR131" s="1047">
        <f t="shared" si="81"/>
        <v>1</v>
      </c>
    </row>
    <row r="132" spans="1:96" ht="15" customHeight="1" x14ac:dyDescent="0.2">
      <c r="A132" s="1576" t="s">
        <v>993</v>
      </c>
      <c r="B132" s="838" t="s">
        <v>168</v>
      </c>
      <c r="C132" s="922" t="s">
        <v>1616</v>
      </c>
      <c r="D132" s="1194" t="s">
        <v>1617</v>
      </c>
      <c r="E132" s="1197" t="s">
        <v>1618</v>
      </c>
      <c r="F132" s="1189" t="s">
        <v>1619</v>
      </c>
      <c r="G132" s="1200" t="s">
        <v>1620</v>
      </c>
      <c r="H132" s="1197" t="s">
        <v>1621</v>
      </c>
      <c r="I132" s="1189" t="s">
        <v>1622</v>
      </c>
      <c r="J132" s="923" t="s">
        <v>1623</v>
      </c>
      <c r="K132" s="1194" t="s">
        <v>1624</v>
      </c>
      <c r="L132" s="923" t="s">
        <v>1625</v>
      </c>
      <c r="M132" s="108" t="str">
        <f t="shared" si="76"/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32" s="756"/>
      <c r="O132" s="756"/>
      <c r="P132" s="756"/>
      <c r="Q132" s="756"/>
      <c r="R132" s="756"/>
      <c r="T132" s="36"/>
      <c r="U132" s="36"/>
      <c r="V132" s="36"/>
      <c r="Y132" s="108"/>
      <c r="Z132" s="108"/>
      <c r="AA132" s="108"/>
      <c r="AB132" s="108"/>
      <c r="AC132" s="108"/>
      <c r="AD132" s="172"/>
      <c r="BK132" s="176"/>
      <c r="BL132" s="176"/>
      <c r="BM132" s="176"/>
      <c r="BN132" s="176"/>
      <c r="BO132" s="176"/>
      <c r="CB132" s="191" t="str">
        <f t="shared" si="77"/>
        <v xml:space="preserve">* La variable Pueblos Originarios Gestantes en control con resultado 1° VIH no puede superar el Total de Gestantes en control con resultado 1° VIH. </v>
      </c>
      <c r="CC132" s="191" t="str">
        <f t="shared" si="78"/>
        <v xml:space="preserve">* La variable Pueblos Originarios Gestantes en control con resultado 1° Tamizaje Sífilis  no puede superar el Total de Gestantes en control con resultado 1° VIH. </v>
      </c>
      <c r="CD132" s="191" t="str">
        <f t="shared" si="83"/>
        <v xml:space="preserve">* La variable Migrantes Gestantes en control con resultado 1° VIH no puede superar el Total de Gestantes en control con resultado 1° VIH. </v>
      </c>
      <c r="CE132" s="191" t="str">
        <f t="shared" si="79"/>
        <v xml:space="preserve">* La variable Migrantes de Gestantes Gestantes en control con resultado 1° Tamizaje Sífilis  no puede superar el Total de Gestantes en control con resultado 1° VIH. </v>
      </c>
      <c r="CO132" s="1047">
        <f t="shared" si="80"/>
        <v>1</v>
      </c>
      <c r="CP132" s="1047">
        <f t="shared" si="82"/>
        <v>1</v>
      </c>
      <c r="CQ132" s="1047">
        <f t="shared" si="84"/>
        <v>1</v>
      </c>
      <c r="CR132" s="1047">
        <f t="shared" si="81"/>
        <v>1</v>
      </c>
    </row>
    <row r="133" spans="1:96" ht="15" customHeight="1" x14ac:dyDescent="0.2">
      <c r="A133" s="1576" t="s">
        <v>994</v>
      </c>
      <c r="B133" s="838" t="s">
        <v>169</v>
      </c>
      <c r="C133" s="922" t="s">
        <v>1616</v>
      </c>
      <c r="D133" s="1194" t="s">
        <v>1617</v>
      </c>
      <c r="E133" s="1197" t="s">
        <v>1618</v>
      </c>
      <c r="F133" s="1189" t="s">
        <v>1619</v>
      </c>
      <c r="G133" s="1200" t="s">
        <v>1620</v>
      </c>
      <c r="H133" s="1197" t="s">
        <v>1621</v>
      </c>
      <c r="I133" s="1189" t="s">
        <v>1622</v>
      </c>
      <c r="J133" s="923" t="s">
        <v>1623</v>
      </c>
      <c r="K133" s="1194" t="s">
        <v>1624</v>
      </c>
      <c r="L133" s="923" t="s">
        <v>1625</v>
      </c>
      <c r="M133" s="108" t="str">
        <f t="shared" si="76"/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33" s="756"/>
      <c r="O133" s="756"/>
      <c r="P133" s="756"/>
      <c r="Q133" s="756"/>
      <c r="R133" s="756"/>
      <c r="T133" s="36"/>
      <c r="U133" s="36"/>
      <c r="V133" s="36"/>
      <c r="Y133" s="108"/>
      <c r="Z133" s="108"/>
      <c r="AA133" s="108"/>
      <c r="AB133" s="108"/>
      <c r="AC133" s="108"/>
      <c r="AD133" s="172"/>
      <c r="BK133" s="176"/>
      <c r="BL133" s="176"/>
      <c r="BM133" s="176"/>
      <c r="BN133" s="176"/>
      <c r="BO133" s="176"/>
      <c r="CB133" s="191" t="str">
        <f t="shared" si="77"/>
        <v xml:space="preserve">* La variable Pueblos Originarios Gestantes en control con resultado 1° VIH no puede superar el Total de Gestantes en control con resultado 1° VIH. </v>
      </c>
      <c r="CC133" s="191" t="str">
        <f t="shared" si="78"/>
        <v xml:space="preserve">* La variable Pueblos Originarios Gestantes en control con resultado 1° Tamizaje Sífilis  no puede superar el Total de Gestantes en control con resultado 1° VIH. </v>
      </c>
      <c r="CD133" s="191" t="str">
        <f t="shared" si="83"/>
        <v xml:space="preserve">* La variable Migrantes Gestantes en control con resultado 1° VIH no puede superar el Total de Gestantes en control con resultado 1° VIH. </v>
      </c>
      <c r="CE133" s="191" t="str">
        <f t="shared" si="79"/>
        <v xml:space="preserve">* La variable Migrantes de Gestantes Gestantes en control con resultado 1° Tamizaje Sífilis  no puede superar el Total de Gestantes en control con resultado 1° VIH. </v>
      </c>
      <c r="CO133" s="1047">
        <f t="shared" si="80"/>
        <v>1</v>
      </c>
      <c r="CP133" s="1047">
        <f t="shared" si="82"/>
        <v>1</v>
      </c>
      <c r="CQ133" s="1047">
        <f t="shared" si="84"/>
        <v>1</v>
      </c>
      <c r="CR133" s="1047">
        <f t="shared" si="81"/>
        <v>1</v>
      </c>
    </row>
    <row r="134" spans="1:96" ht="15" customHeight="1" x14ac:dyDescent="0.2">
      <c r="A134" s="1576" t="s">
        <v>995</v>
      </c>
      <c r="B134" s="838" t="s">
        <v>170</v>
      </c>
      <c r="C134" s="922" t="s">
        <v>1616</v>
      </c>
      <c r="D134" s="1194" t="s">
        <v>1617</v>
      </c>
      <c r="E134" s="1197" t="s">
        <v>1618</v>
      </c>
      <c r="F134" s="1189" t="s">
        <v>1619</v>
      </c>
      <c r="G134" s="1200" t="s">
        <v>1620</v>
      </c>
      <c r="H134" s="1197" t="s">
        <v>1621</v>
      </c>
      <c r="I134" s="1189" t="s">
        <v>1622</v>
      </c>
      <c r="J134" s="923" t="s">
        <v>1623</v>
      </c>
      <c r="K134" s="1194" t="s">
        <v>1624</v>
      </c>
      <c r="L134" s="923" t="s">
        <v>1625</v>
      </c>
      <c r="M134" s="108" t="str">
        <f t="shared" si="76"/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34" s="756"/>
      <c r="O134" s="756"/>
      <c r="P134" s="756"/>
      <c r="Q134" s="756"/>
      <c r="R134" s="756"/>
      <c r="T134" s="36"/>
      <c r="U134" s="36"/>
      <c r="V134" s="36"/>
      <c r="Y134" s="108"/>
      <c r="Z134" s="108"/>
      <c r="AA134" s="108"/>
      <c r="AB134" s="108"/>
      <c r="AC134" s="108"/>
      <c r="AD134" s="172"/>
      <c r="BK134" s="176"/>
      <c r="BL134" s="176"/>
      <c r="BM134" s="176"/>
      <c r="BN134" s="176"/>
      <c r="BO134" s="176"/>
      <c r="CB134" s="191" t="str">
        <f t="shared" si="77"/>
        <v xml:space="preserve">* La variable Pueblos Originarios Gestantes en control con resultado 1° VIH no puede superar el Total de Gestantes en control con resultado 1° VIH. </v>
      </c>
      <c r="CC134" s="191" t="str">
        <f t="shared" si="78"/>
        <v xml:space="preserve">* La variable Pueblos Originarios Gestantes en control con resultado 1° Tamizaje Sífilis  no puede superar el Total de Gestantes en control con resultado 1° VIH. </v>
      </c>
      <c r="CD134" s="191" t="str">
        <f t="shared" si="83"/>
        <v xml:space="preserve">* La variable Migrantes Gestantes en control con resultado 1° VIH no puede superar el Total de Gestantes en control con resultado 1° VIH. </v>
      </c>
      <c r="CE134" s="191" t="str">
        <f t="shared" si="79"/>
        <v xml:space="preserve">* La variable Migrantes de Gestantes Gestantes en control con resultado 1° Tamizaje Sífilis  no puede superar el Total de Gestantes en control con resultado 1° VIH. </v>
      </c>
      <c r="CO134" s="1047">
        <f t="shared" si="80"/>
        <v>1</v>
      </c>
      <c r="CP134" s="1047">
        <f t="shared" si="82"/>
        <v>1</v>
      </c>
      <c r="CQ134" s="1047">
        <f t="shared" si="84"/>
        <v>1</v>
      </c>
      <c r="CR134" s="1047">
        <f t="shared" si="81"/>
        <v>1</v>
      </c>
    </row>
    <row r="135" spans="1:96" ht="15" customHeight="1" x14ac:dyDescent="0.2">
      <c r="A135" s="1576" t="s">
        <v>996</v>
      </c>
      <c r="B135" s="838" t="s">
        <v>171</v>
      </c>
      <c r="C135" s="922" t="s">
        <v>1616</v>
      </c>
      <c r="D135" s="1194" t="s">
        <v>1617</v>
      </c>
      <c r="E135" s="1197" t="s">
        <v>1618</v>
      </c>
      <c r="F135" s="1189" t="s">
        <v>1619</v>
      </c>
      <c r="G135" s="1200" t="s">
        <v>1620</v>
      </c>
      <c r="H135" s="1197" t="s">
        <v>1621</v>
      </c>
      <c r="I135" s="1189" t="s">
        <v>1622</v>
      </c>
      <c r="J135" s="923" t="s">
        <v>1623</v>
      </c>
      <c r="K135" s="1194" t="s">
        <v>1624</v>
      </c>
      <c r="L135" s="923" t="s">
        <v>1625</v>
      </c>
      <c r="M135" s="108" t="str">
        <f t="shared" si="76"/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35" s="756"/>
      <c r="O135" s="756"/>
      <c r="P135" s="756"/>
      <c r="Q135" s="756"/>
      <c r="R135" s="756"/>
      <c r="T135" s="36"/>
      <c r="U135" s="36"/>
      <c r="V135" s="36"/>
      <c r="Y135" s="108"/>
      <c r="Z135" s="108"/>
      <c r="AA135" s="108"/>
      <c r="AB135" s="108"/>
      <c r="AC135" s="108"/>
      <c r="AD135" s="172"/>
      <c r="BK135" s="176"/>
      <c r="BL135" s="176"/>
      <c r="BM135" s="176"/>
      <c r="BN135" s="176"/>
      <c r="BO135" s="176"/>
      <c r="CB135" s="191" t="str">
        <f t="shared" si="77"/>
        <v xml:space="preserve">* La variable Pueblos Originarios Gestantes en control con resultado 1° VIH no puede superar el Total de Gestantes en control con resultado 1° VIH. </v>
      </c>
      <c r="CC135" s="191" t="str">
        <f t="shared" si="78"/>
        <v xml:space="preserve">* La variable Pueblos Originarios Gestantes en control con resultado 1° Tamizaje Sífilis  no puede superar el Total de Gestantes en control con resultado 1° VIH. </v>
      </c>
      <c r="CD135" s="191" t="str">
        <f t="shared" si="83"/>
        <v xml:space="preserve">* La variable Migrantes Gestantes en control con resultado 1° VIH no puede superar el Total de Gestantes en control con resultado 1° VIH. </v>
      </c>
      <c r="CE135" s="191" t="str">
        <f t="shared" si="79"/>
        <v xml:space="preserve">* La variable Migrantes de Gestantes Gestantes en control con resultado 1° Tamizaje Sífilis  no puede superar el Total de Gestantes en control con resultado 1° VIH. </v>
      </c>
      <c r="CO135" s="1047">
        <f t="shared" si="80"/>
        <v>1</v>
      </c>
      <c r="CP135" s="1047">
        <f t="shared" si="82"/>
        <v>1</v>
      </c>
      <c r="CQ135" s="1047">
        <f t="shared" si="84"/>
        <v>1</v>
      </c>
      <c r="CR135" s="1047">
        <f t="shared" si="81"/>
        <v>1</v>
      </c>
    </row>
    <row r="136" spans="1:96" ht="15" customHeight="1" x14ac:dyDescent="0.2">
      <c r="A136" s="1576" t="s">
        <v>997</v>
      </c>
      <c r="B136" s="832" t="s">
        <v>172</v>
      </c>
      <c r="C136" s="924" t="s">
        <v>1616</v>
      </c>
      <c r="D136" s="1195" t="s">
        <v>1617</v>
      </c>
      <c r="E136" s="1198" t="s">
        <v>1618</v>
      </c>
      <c r="F136" s="1190" t="s">
        <v>1619</v>
      </c>
      <c r="G136" s="1201" t="s">
        <v>1620</v>
      </c>
      <c r="H136" s="1198" t="s">
        <v>1621</v>
      </c>
      <c r="I136" s="1190" t="s">
        <v>1622</v>
      </c>
      <c r="J136" s="925" t="s">
        <v>1623</v>
      </c>
      <c r="K136" s="1195" t="s">
        <v>1624</v>
      </c>
      <c r="L136" s="925" t="s">
        <v>1625</v>
      </c>
      <c r="M136" s="108" t="str">
        <f t="shared" si="76"/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36" s="756"/>
      <c r="O136" s="756"/>
      <c r="P136" s="756"/>
      <c r="Q136" s="756"/>
      <c r="R136" s="756"/>
      <c r="T136" s="36"/>
      <c r="U136" s="36"/>
      <c r="V136" s="36"/>
      <c r="Y136" s="108"/>
      <c r="Z136" s="108"/>
      <c r="AA136" s="108"/>
      <c r="AB136" s="108"/>
      <c r="AC136" s="108"/>
      <c r="AD136" s="172"/>
      <c r="BK136" s="176"/>
      <c r="BL136" s="176"/>
      <c r="BM136" s="176"/>
      <c r="BN136" s="176"/>
      <c r="BO136" s="176"/>
      <c r="CB136" s="191" t="str">
        <f>IF(AND($D136&lt;&gt;0,I136=""),"* No olvide ingresar la variable Pueblos Originarios "&amp;I$127&amp;""&amp;". Digite Cero si no tiene.",IF(I136&gt;$D136,"* La variable Pueblos Originarios "&amp;I$127&amp;""&amp;" no puede superar el Total de Gestantes en control con resultado 1° VIH. ",""))</f>
        <v xml:space="preserve">* La variable Pueblos Originarios Gestantes en control con resultado 1° VIH no puede superar el Total de Gestantes en control con resultado 1° VIH. </v>
      </c>
      <c r="CC136" s="191" t="str">
        <f t="shared" si="78"/>
        <v xml:space="preserve">* La variable Pueblos Originarios Gestantes en control con resultado 1° Tamizaje Sífilis  no puede superar el Total de Gestantes en control con resultado 1° VIH. </v>
      </c>
      <c r="CD136" s="191" t="str">
        <f t="shared" si="83"/>
        <v xml:space="preserve">* La variable Migrantes Gestantes en control con resultado 1° VIH no puede superar el Total de Gestantes en control con resultado 1° VIH. </v>
      </c>
      <c r="CE136" s="191" t="str">
        <f t="shared" si="79"/>
        <v xml:space="preserve">* La variable Migrantes de Gestantes Gestantes en control con resultado 1° Tamizaje Sífilis  no puede superar el Total de Gestantes en control con resultado 1° VIH. </v>
      </c>
      <c r="CO136" s="1047">
        <f>IF(AND($D136&lt;&gt;0,I136=""),1,IF(I136&gt;$D136,1,0))</f>
        <v>1</v>
      </c>
      <c r="CP136" s="1047">
        <f>IF(AND($E136&lt;&gt;0,J136=""),1,IF(J136&gt;$E136,1,0))</f>
        <v>1</v>
      </c>
      <c r="CQ136" s="1047">
        <f>IF(AND($D136&lt;&gt;0,K136=""),1,IF(K136&gt;$D136,1,0))</f>
        <v>1</v>
      </c>
      <c r="CR136" s="1047">
        <f>IF(AND($E136&lt;&gt;0,L136=""),1,IF(L136&gt;$E136,1,0))</f>
        <v>1</v>
      </c>
    </row>
    <row r="137" spans="1:96" ht="15" customHeight="1" x14ac:dyDescent="0.15">
      <c r="A137" s="1578"/>
      <c r="B137" s="1430" t="s">
        <v>89</v>
      </c>
      <c r="C137" s="1431">
        <f>SUM(C128:C136)</f>
        <v>0</v>
      </c>
      <c r="D137" s="1230">
        <f t="shared" ref="D137:H137" si="85">SUM(D128:D136)</f>
        <v>0</v>
      </c>
      <c r="E137" s="1432">
        <f t="shared" si="85"/>
        <v>0</v>
      </c>
      <c r="F137" s="1202">
        <f t="shared" si="85"/>
        <v>0</v>
      </c>
      <c r="G137" s="1203">
        <f t="shared" si="85"/>
        <v>0</v>
      </c>
      <c r="H137" s="1433">
        <f t="shared" si="85"/>
        <v>0</v>
      </c>
      <c r="I137" s="1191">
        <f t="shared" ref="I137:J137" si="86">SUM(I128:I136)</f>
        <v>0</v>
      </c>
      <c r="J137" s="1434">
        <f t="shared" si="86"/>
        <v>0</v>
      </c>
      <c r="K137" s="1230">
        <f t="shared" ref="K137:L137" si="87">SUM(K128:K136)</f>
        <v>0</v>
      </c>
      <c r="L137" s="1434">
        <f t="shared" si="87"/>
        <v>0</v>
      </c>
      <c r="M137" s="756"/>
      <c r="N137" s="756"/>
      <c r="O137" s="756"/>
      <c r="P137" s="756"/>
      <c r="Q137" s="756"/>
      <c r="R137" s="756"/>
      <c r="T137" s="36"/>
      <c r="U137" s="36"/>
      <c r="V137" s="36"/>
      <c r="Y137" s="108"/>
      <c r="Z137" s="108"/>
      <c r="AA137" s="108"/>
      <c r="AB137" s="108"/>
      <c r="AC137" s="108"/>
      <c r="AD137" s="172"/>
      <c r="BK137" s="176"/>
      <c r="BL137" s="176"/>
      <c r="BM137" s="176"/>
      <c r="BN137" s="176"/>
      <c r="BO137" s="176"/>
      <c r="CB137" s="172"/>
      <c r="CC137" s="172"/>
      <c r="CD137" s="172"/>
      <c r="CE137" s="172"/>
    </row>
    <row r="138" spans="1:96" ht="15" customHeight="1" x14ac:dyDescent="0.2">
      <c r="A138" s="1576" t="s">
        <v>998</v>
      </c>
      <c r="B138" s="1430" t="s">
        <v>184</v>
      </c>
      <c r="C138" s="1435" t="s">
        <v>1616</v>
      </c>
      <c r="D138" s="1231" t="s">
        <v>1617</v>
      </c>
      <c r="E138" s="1436" t="s">
        <v>1618</v>
      </c>
      <c r="F138" s="1204" t="s">
        <v>1619</v>
      </c>
      <c r="G138" s="1205" t="s">
        <v>1620</v>
      </c>
      <c r="H138" s="1436" t="s">
        <v>1621</v>
      </c>
      <c r="I138" s="1192" t="s">
        <v>1622</v>
      </c>
      <c r="J138" s="1437" t="s">
        <v>1623</v>
      </c>
      <c r="K138" s="1231" t="s">
        <v>1624</v>
      </c>
      <c r="L138" s="1437" t="s">
        <v>1625</v>
      </c>
      <c r="M138" s="108" t="str">
        <f t="shared" si="76"/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38" s="756"/>
      <c r="O138" s="756"/>
      <c r="P138" s="756"/>
      <c r="Q138" s="756"/>
      <c r="R138" s="756"/>
      <c r="T138" s="36"/>
      <c r="U138" s="36"/>
      <c r="V138" s="36"/>
      <c r="Y138" s="108"/>
      <c r="Z138" s="108"/>
      <c r="AA138" s="108"/>
      <c r="AB138" s="108"/>
      <c r="AC138" s="108"/>
      <c r="AD138" s="172"/>
      <c r="BK138" s="176"/>
      <c r="BL138" s="176"/>
      <c r="BM138" s="176"/>
      <c r="BN138" s="176"/>
      <c r="BO138" s="176"/>
      <c r="CB138" s="191" t="str">
        <f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 xml:space="preserve">* La variable Pueblos Originarios Gestantes en control con resultado 1° VIH no puede superar el Total de Gestantes en control con resultado 1° VIH. </v>
      </c>
      <c r="CC138" s="191" t="str">
        <f t="shared" ref="CC138" si="88">IF(AND($E138&lt;&gt;0,J138=""),"* No olvide ingresar la variable Pueblos Originarios "&amp;J$127&amp;""&amp;". Digite Cero si no tiene.",IF(J138&gt;$E138,"* La variable Pueblos Originarios "&amp;J$127&amp;""&amp;" no puede superar el Total de Gestantes en control con resultado 1° VIH. ",""))</f>
        <v xml:space="preserve">* La variable Pueblos Originarios Gestantes en control con resultado 1° Tamizaje Sífilis  no puede superar el Total de Gestantes en control con resultado 1° VIH. </v>
      </c>
      <c r="CD138" s="191" t="str">
        <f t="shared" ref="CD138" si="89">IF(AND($D138&lt;&gt;0,K138=""),"* No olvide ingresar la variable Migrantes "&amp;K$127&amp;""&amp;". Digite Cero si no tiene.",IF(K138&gt;$D138,"* La variable Migrantes "&amp;K$127&amp;""&amp;" no puede superar el Total de Gestantes en control con resultado 1° VIH. ",""))</f>
        <v xml:space="preserve">* La variable Migrantes Gestantes en control con resultado 1° VIH no puede superar el Total de Gestantes en control con resultado 1° VIH. </v>
      </c>
      <c r="CE138" s="191" t="str">
        <f t="shared" ref="CE138" si="90">IF(AND($E138&lt;&gt;0,L138=""),"* No olvide ingresar la variable Migrantes "&amp;L$127&amp;""&amp;". Digite Cero si no tiene.",IF(L138&gt;$E138,"* La variable Migrantes de Gestantes "&amp;L$127&amp;""&amp;" no puede superar el Total de Gestantes en control con resultado 1° VIH. ",""))</f>
        <v xml:space="preserve">* La variable Migrantes de Gestantes Gestantes en control con resultado 1° Tamizaje Sífilis  no puede superar el Total de Gestantes en control con resultado 1° VIH. </v>
      </c>
      <c r="CO138" s="1047">
        <f>IF(AND($D138&lt;&gt;0,I138=""),1,IF(I138&gt;$D138,1,0))</f>
        <v>1</v>
      </c>
      <c r="CP138" s="1047">
        <f>IF(AND($E138&lt;&gt;0,J138=""),1,IF(J138&gt;$E138,1,0))</f>
        <v>1</v>
      </c>
      <c r="CQ138" s="1047">
        <f>IF(AND($D138&lt;&gt;0,K138=""),1,IF(K138&gt;$D138,1,0))</f>
        <v>1</v>
      </c>
      <c r="CR138" s="1047">
        <f>IF(AND($E138&lt;&gt;0,L138=""),1,IF(L138&gt;$E138,1,0))</f>
        <v>1</v>
      </c>
    </row>
    <row r="139" spans="1:96" ht="17.100000000000001" customHeight="1" x14ac:dyDescent="0.15">
      <c r="B139" s="1370" t="s">
        <v>185</v>
      </c>
      <c r="C139" s="1046"/>
      <c r="D139" s="1046"/>
      <c r="E139" s="1046"/>
      <c r="F139" s="1046"/>
      <c r="G139" s="1046"/>
      <c r="H139" s="1046"/>
      <c r="I139" s="1046"/>
      <c r="O139" s="36"/>
      <c r="P139" s="36"/>
      <c r="Q139" s="36"/>
    </row>
    <row r="140" spans="1:96" ht="17.100000000000001" customHeight="1" x14ac:dyDescent="0.15">
      <c r="B140" s="1653" t="s">
        <v>186</v>
      </c>
      <c r="C140" s="1654"/>
      <c r="D140" s="1654"/>
      <c r="E140" s="1116"/>
      <c r="F140" s="1116"/>
      <c r="G140" s="1116"/>
      <c r="H140" s="1116"/>
      <c r="I140" s="1116"/>
      <c r="O140" s="36"/>
      <c r="P140" s="36"/>
      <c r="Q140" s="36"/>
    </row>
    <row r="141" spans="1:96" ht="15" customHeight="1" x14ac:dyDescent="0.15">
      <c r="B141" s="1414" t="s">
        <v>187</v>
      </c>
      <c r="C141" s="1414" t="s">
        <v>49</v>
      </c>
      <c r="D141" s="1371"/>
      <c r="E141" s="54"/>
      <c r="F141" s="36"/>
      <c r="G141" s="36"/>
      <c r="H141" s="36"/>
      <c r="I141" s="55"/>
      <c r="O141" s="36"/>
      <c r="P141" s="36"/>
      <c r="Q141" s="36"/>
    </row>
    <row r="142" spans="1:96" ht="15" customHeight="1" x14ac:dyDescent="0.2">
      <c r="A142" s="1576" t="s">
        <v>999</v>
      </c>
      <c r="B142" s="56" t="s">
        <v>188</v>
      </c>
      <c r="C142" s="299" t="s">
        <v>1616</v>
      </c>
      <c r="E142" s="188"/>
      <c r="F142" s="36"/>
      <c r="G142" s="36"/>
      <c r="H142" s="36"/>
      <c r="O142" s="36"/>
    </row>
    <row r="143" spans="1:96" ht="15" customHeight="1" x14ac:dyDescent="0.2">
      <c r="A143" s="1576" t="s">
        <v>1000</v>
      </c>
      <c r="B143" s="57" t="s">
        <v>189</v>
      </c>
      <c r="C143" s="300" t="s">
        <v>1616</v>
      </c>
      <c r="F143" s="1326"/>
      <c r="G143" s="36"/>
      <c r="H143" s="36"/>
      <c r="O143" s="36"/>
    </row>
    <row r="144" spans="1:96" ht="21" customHeight="1" x14ac:dyDescent="0.2">
      <c r="A144" s="1576" t="s">
        <v>1001</v>
      </c>
      <c r="B144" s="58" t="s">
        <v>190</v>
      </c>
      <c r="C144" s="300" t="s">
        <v>1616</v>
      </c>
      <c r="E144" s="188"/>
      <c r="F144" s="36"/>
      <c r="G144" s="36"/>
      <c r="H144" s="36"/>
    </row>
    <row r="145" spans="1:9" ht="15" customHeight="1" x14ac:dyDescent="0.2">
      <c r="A145" s="1576" t="s">
        <v>1002</v>
      </c>
      <c r="B145" s="57" t="s">
        <v>191</v>
      </c>
      <c r="C145" s="300" t="s">
        <v>1616</v>
      </c>
      <c r="E145" s="188"/>
      <c r="F145" s="36"/>
      <c r="G145" s="36"/>
      <c r="H145" s="36"/>
    </row>
    <row r="146" spans="1:9" ht="15" customHeight="1" x14ac:dyDescent="0.2">
      <c r="A146" s="1576" t="s">
        <v>1003</v>
      </c>
      <c r="B146" s="57" t="s">
        <v>192</v>
      </c>
      <c r="C146" s="300" t="s">
        <v>1616</v>
      </c>
      <c r="E146" s="36"/>
      <c r="F146" s="36"/>
    </row>
    <row r="147" spans="1:9" ht="15" customHeight="1" x14ac:dyDescent="0.2">
      <c r="A147" s="1576" t="s">
        <v>1004</v>
      </c>
      <c r="B147" s="57" t="s">
        <v>193</v>
      </c>
      <c r="C147" s="300" t="s">
        <v>1616</v>
      </c>
      <c r="E147" s="188"/>
      <c r="F147" s="36"/>
      <c r="G147" s="36"/>
      <c r="H147" s="36"/>
    </row>
    <row r="148" spans="1:9" ht="15" customHeight="1" x14ac:dyDescent="0.2">
      <c r="A148" s="1576" t="s">
        <v>1005</v>
      </c>
      <c r="B148" s="57" t="s">
        <v>194</v>
      </c>
      <c r="C148" s="300" t="s">
        <v>1616</v>
      </c>
      <c r="E148" s="188"/>
      <c r="F148" s="36"/>
      <c r="G148" s="36"/>
      <c r="H148" s="36"/>
    </row>
    <row r="149" spans="1:9" ht="15" customHeight="1" x14ac:dyDescent="0.2">
      <c r="A149" s="1576" t="s">
        <v>1006</v>
      </c>
      <c r="B149" s="57" t="s">
        <v>195</v>
      </c>
      <c r="C149" s="300" t="s">
        <v>1616</v>
      </c>
      <c r="E149" s="188"/>
      <c r="F149" s="36"/>
      <c r="G149" s="36"/>
      <c r="H149" s="36"/>
    </row>
    <row r="150" spans="1:9" ht="15" customHeight="1" x14ac:dyDescent="0.2">
      <c r="A150" s="1576" t="s">
        <v>1007</v>
      </c>
      <c r="B150" s="57" t="s">
        <v>196</v>
      </c>
      <c r="C150" s="300" t="s">
        <v>1616</v>
      </c>
      <c r="E150" s="188"/>
      <c r="F150" s="36"/>
      <c r="G150" s="36"/>
      <c r="H150" s="36"/>
    </row>
    <row r="151" spans="1:9" ht="15" customHeight="1" x14ac:dyDescent="0.2">
      <c r="A151" s="1576" t="s">
        <v>1008</v>
      </c>
      <c r="B151" s="57" t="s">
        <v>197</v>
      </c>
      <c r="C151" s="300" t="s">
        <v>1616</v>
      </c>
      <c r="E151" s="188"/>
      <c r="F151" s="36"/>
      <c r="G151" s="36"/>
      <c r="H151" s="36"/>
    </row>
    <row r="152" spans="1:9" ht="15" customHeight="1" x14ac:dyDescent="0.2">
      <c r="A152" s="1576" t="s">
        <v>1009</v>
      </c>
      <c r="B152" s="57" t="s">
        <v>198</v>
      </c>
      <c r="C152" s="300" t="s">
        <v>1616</v>
      </c>
      <c r="E152" s="188"/>
      <c r="F152" s="36"/>
      <c r="G152" s="36"/>
      <c r="H152" s="36"/>
    </row>
    <row r="153" spans="1:9" ht="15" customHeight="1" x14ac:dyDescent="0.2">
      <c r="A153" s="1576" t="s">
        <v>1010</v>
      </c>
      <c r="B153" s="57" t="s">
        <v>199</v>
      </c>
      <c r="C153" s="300" t="s">
        <v>1616</v>
      </c>
      <c r="E153" s="188"/>
      <c r="F153" s="36"/>
      <c r="G153" s="36"/>
      <c r="H153" s="36"/>
    </row>
    <row r="154" spans="1:9" ht="15" customHeight="1" x14ac:dyDescent="0.2">
      <c r="A154" s="1576" t="s">
        <v>1011</v>
      </c>
      <c r="B154" s="57" t="s">
        <v>200</v>
      </c>
      <c r="C154" s="300" t="s">
        <v>1616</v>
      </c>
      <c r="E154" s="188"/>
      <c r="F154" s="36"/>
      <c r="G154" s="36"/>
      <c r="H154" s="36"/>
    </row>
    <row r="155" spans="1:9" ht="15" customHeight="1" x14ac:dyDescent="0.2">
      <c r="A155" s="1576" t="s">
        <v>1012</v>
      </c>
      <c r="B155" s="57" t="s">
        <v>201</v>
      </c>
      <c r="C155" s="300" t="s">
        <v>1616</v>
      </c>
      <c r="E155" s="188"/>
      <c r="F155" s="36"/>
      <c r="G155" s="36"/>
      <c r="H155" s="36"/>
    </row>
    <row r="156" spans="1:9" ht="15" customHeight="1" x14ac:dyDescent="0.2">
      <c r="A156" s="1576" t="s">
        <v>1013</v>
      </c>
      <c r="B156" s="57" t="s">
        <v>202</v>
      </c>
      <c r="C156" s="300" t="s">
        <v>1616</v>
      </c>
      <c r="E156" s="188"/>
      <c r="F156" s="36"/>
      <c r="G156" s="36"/>
      <c r="H156" s="36"/>
    </row>
    <row r="157" spans="1:9" ht="15" customHeight="1" x14ac:dyDescent="0.2">
      <c r="A157" s="1576" t="s">
        <v>1014</v>
      </c>
      <c r="B157" s="57" t="s">
        <v>203</v>
      </c>
      <c r="C157" s="300" t="s">
        <v>1616</v>
      </c>
      <c r="E157" s="188"/>
      <c r="F157" s="36"/>
      <c r="G157" s="36"/>
      <c r="H157" s="36"/>
    </row>
    <row r="158" spans="1:9" ht="15" customHeight="1" x14ac:dyDescent="0.2">
      <c r="A158" s="1576" t="s">
        <v>1015</v>
      </c>
      <c r="B158" s="57" t="s">
        <v>204</v>
      </c>
      <c r="C158" s="300" t="s">
        <v>1616</v>
      </c>
      <c r="E158" s="188"/>
      <c r="F158" s="36"/>
      <c r="G158" s="36"/>
      <c r="H158" s="36"/>
    </row>
    <row r="159" spans="1:9" ht="15" customHeight="1" x14ac:dyDescent="0.2">
      <c r="A159" s="1576" t="s">
        <v>1016</v>
      </c>
      <c r="B159" s="59" t="s">
        <v>205</v>
      </c>
      <c r="C159" s="306" t="s">
        <v>1616</v>
      </c>
      <c r="E159" s="188"/>
      <c r="F159" s="36"/>
      <c r="G159" s="36"/>
      <c r="H159" s="36"/>
      <c r="I159" s="36"/>
    </row>
    <row r="160" spans="1:9" ht="15" customHeight="1" x14ac:dyDescent="0.15">
      <c r="A160" s="1578"/>
      <c r="B160" s="1117" t="s">
        <v>89</v>
      </c>
      <c r="C160" s="1409">
        <f>SUM(C142:C159)</f>
        <v>0</v>
      </c>
      <c r="D160" s="1372"/>
    </row>
    <row r="161" spans="1:13" ht="15.75" customHeight="1" x14ac:dyDescent="0.15"/>
    <row r="163" spans="1:13" ht="10.5" customHeight="1" x14ac:dyDescent="0.15">
      <c r="A163" s="108" t="s">
        <v>1017</v>
      </c>
    </row>
    <row r="164" spans="1:13" ht="9" customHeight="1" x14ac:dyDescent="0.2">
      <c r="A164" s="1577" t="s">
        <v>921</v>
      </c>
    </row>
    <row r="165" spans="1:13" ht="12.75" x14ac:dyDescent="0.2">
      <c r="A165" s="1577" t="s">
        <v>962</v>
      </c>
    </row>
    <row r="166" spans="1:13" ht="12.75" x14ac:dyDescent="0.2">
      <c r="A166" s="1577" t="s">
        <v>963</v>
      </c>
    </row>
    <row r="167" spans="1:13" ht="12.75" x14ac:dyDescent="0.2">
      <c r="A167" s="1577" t="s">
        <v>966</v>
      </c>
    </row>
    <row r="168" spans="1:13" ht="12.75" x14ac:dyDescent="0.2">
      <c r="A168" s="1577" t="s">
        <v>984</v>
      </c>
    </row>
    <row r="171" spans="1:13" ht="13.5" customHeight="1" x14ac:dyDescent="0.15"/>
    <row r="172" spans="1:13" hidden="1" x14ac:dyDescent="0.15">
      <c r="B172" s="1438">
        <f>SUM(D11:D24,D26:D31,D35:D40,C44:G52,C57:C60,E57:E60,D65:D68,D70:D73,C77:C81,C84:D91,D96:D102,C106:F114,C116:F116,D120:D123,C128:H136,D138:E138,G138:H138,C142:C159)</f>
        <v>0</v>
      </c>
      <c r="C172" s="592" t="s">
        <v>206</v>
      </c>
      <c r="D172" s="193"/>
      <c r="E172" s="193"/>
      <c r="F172" s="193"/>
      <c r="G172" s="193"/>
      <c r="H172" s="193"/>
      <c r="I172" s="193"/>
      <c r="J172" s="193"/>
      <c r="K172" s="193"/>
      <c r="L172" s="193"/>
      <c r="M172" s="193"/>
    </row>
    <row r="173" spans="1:13" hidden="1" x14ac:dyDescent="0.15">
      <c r="B173" s="1438" t="e">
        <f>SUM(CO11:CW138)</f>
        <v>#VALUE!</v>
      </c>
      <c r="C173" s="592" t="s">
        <v>207</v>
      </c>
      <c r="D173" s="193"/>
      <c r="E173" s="193"/>
      <c r="F173" s="193"/>
      <c r="G173" s="193"/>
      <c r="H173" s="193"/>
      <c r="I173" s="193"/>
      <c r="J173" s="193"/>
      <c r="K173" s="193"/>
      <c r="L173" s="193"/>
      <c r="M173" s="193"/>
    </row>
  </sheetData>
  <mergeCells count="93">
    <mergeCell ref="E63:M63"/>
    <mergeCell ref="B102:C102"/>
    <mergeCell ref="B118:B119"/>
    <mergeCell ref="D118:D119"/>
    <mergeCell ref="B100:C100"/>
    <mergeCell ref="B101:C101"/>
    <mergeCell ref="E118:M118"/>
    <mergeCell ref="K94:K95"/>
    <mergeCell ref="E94:I94"/>
    <mergeCell ref="B92:C92"/>
    <mergeCell ref="B63:B64"/>
    <mergeCell ref="C63:C64"/>
    <mergeCell ref="D63:D64"/>
    <mergeCell ref="B65:B69"/>
    <mergeCell ref="B70:B74"/>
    <mergeCell ref="B62:M62"/>
    <mergeCell ref="I42:I43"/>
    <mergeCell ref="B55:B56"/>
    <mergeCell ref="B7:H7"/>
    <mergeCell ref="G42:G43"/>
    <mergeCell ref="F42:F43"/>
    <mergeCell ref="B42:B43"/>
    <mergeCell ref="C42:C43"/>
    <mergeCell ref="B35:B36"/>
    <mergeCell ref="B39:C39"/>
    <mergeCell ref="B27:B28"/>
    <mergeCell ref="E9:Q9"/>
    <mergeCell ref="B13:B19"/>
    <mergeCell ref="B9:C10"/>
    <mergeCell ref="B33:C34"/>
    <mergeCell ref="D33:D34"/>
    <mergeCell ref="E33:Q33"/>
    <mergeCell ref="B29:B30"/>
    <mergeCell ref="B24:C24"/>
    <mergeCell ref="B40:C40"/>
    <mergeCell ref="B22:B23"/>
    <mergeCell ref="D9:D10"/>
    <mergeCell ref="B11:C11"/>
    <mergeCell ref="B20:B21"/>
    <mergeCell ref="B25:C25"/>
    <mergeCell ref="B31:C31"/>
    <mergeCell ref="B26:C26"/>
    <mergeCell ref="H42:H43"/>
    <mergeCell ref="J42:K42"/>
    <mergeCell ref="L42:L43"/>
    <mergeCell ref="B37:B38"/>
    <mergeCell ref="C55:C56"/>
    <mergeCell ref="E42:E43"/>
    <mergeCell ref="E55:E56"/>
    <mergeCell ref="D42:D43"/>
    <mergeCell ref="D55:D56"/>
    <mergeCell ref="V9:X9"/>
    <mergeCell ref="Y9:Y10"/>
    <mergeCell ref="R33:R34"/>
    <mergeCell ref="U33:U34"/>
    <mergeCell ref="V33:X33"/>
    <mergeCell ref="Y33:Y34"/>
    <mergeCell ref="U9:U10"/>
    <mergeCell ref="S9:T9"/>
    <mergeCell ref="S33:T33"/>
    <mergeCell ref="R9:R10"/>
    <mergeCell ref="B6:Q6"/>
    <mergeCell ref="B8:N8"/>
    <mergeCell ref="B32:N32"/>
    <mergeCell ref="B54:F54"/>
    <mergeCell ref="G126:G127"/>
    <mergeCell ref="H126:H127"/>
    <mergeCell ref="I126:J126"/>
    <mergeCell ref="K126:L126"/>
    <mergeCell ref="B126:B127"/>
    <mergeCell ref="C126:C127"/>
    <mergeCell ref="D126:D127"/>
    <mergeCell ref="E126:E127"/>
    <mergeCell ref="F126:F127"/>
    <mergeCell ref="E104:E105"/>
    <mergeCell ref="F104:F105"/>
    <mergeCell ref="B98:C98"/>
    <mergeCell ref="B125:H125"/>
    <mergeCell ref="B140:D140"/>
    <mergeCell ref="B75:D75"/>
    <mergeCell ref="B82:D82"/>
    <mergeCell ref="B93:I93"/>
    <mergeCell ref="B103:F103"/>
    <mergeCell ref="B117:M117"/>
    <mergeCell ref="B99:C99"/>
    <mergeCell ref="B96:C96"/>
    <mergeCell ref="B120:B124"/>
    <mergeCell ref="C118:C119"/>
    <mergeCell ref="C104:D104"/>
    <mergeCell ref="B104:B105"/>
    <mergeCell ref="B94:C95"/>
    <mergeCell ref="D94:D95"/>
    <mergeCell ref="J94:J95"/>
  </mergeCells>
  <phoneticPr fontId="25" type="noConversion"/>
  <dataValidations count="5">
    <dataValidation allowBlank="1" showInputMessage="1" showErrorMessage="1" errorTitle="Error de ingreso" error="Debe ingresar sólo números enteros positivos." sqref="C118:C119 E119:G119 S127:XFD138 C160:C1048576 B29 B20:B27 B106:B116 D9:D30 F10:Q10 C25:C30 C76 T34 G103:XFD103 B139:B1048576 D141:D1048576 C20:C23 E9:E10 F34:Q34 E69:AA69 B33:E34 Y9:Y10 V9 V33 Y33:Y34 C35:D43 B35:B104 C55:C56 K43 L42:L43 E74:M82 E94:I95 E55:E59 E104:F104 E61:E64 C9:C18 R9:S10 U9:U10 T10 C115:F116 R33:S34 U33:U34 F55:F64 E42:J43 E41:XFD41 C31:D31 H104:BZ116 U32:Y32 M138 CV31:XFD31 N57:CJ59 AK69:CJ69 CO69:XFD69 N77:CJ79 M128:M136 CP84:XFD91 CK85:CN85 H84:CN84 CO85:CO89 H86:CN91 H85:CF85 L96:CJ102 C141 CO96:XFD102 C104:C105 C83:XFD83 N80:XFD82 N70:XFD76 N60:XFD68 CL57:XFD59 N54:XFD56 CB104:XFD116 M42:XFD53 CL77:XFD79 N117:XFD125 P126:XFD126 B1:B13 R1:XFD8 C1:Q5 O7:Q8 C7:N7 B31:B32 C53:L53 G54:M64 C61:C74 D55:D74 D76:D81 J92:XFD95 C92:I92 C94:D102 E139:XFD1048576 C139:D139 CE31:CI31 CE9:XFD30 Z9:CD31 Z32:XFD40" xr:uid="{00000000-0002-0000-0100-000000000000}"/>
    <dataValidation type="whole" operator="greaterThanOrEqual" allowBlank="1" showInputMessage="1" showErrorMessage="1" errorTitle="Error de ingreso" error="Debe ingresar sólo números enteros positivos." sqref="E35:Y40 E11:Y31 O32:T32" xr:uid="{00000000-0002-0000-0100-000001000000}">
      <formula1>0</formula1>
    </dataValidation>
    <dataValidation type="whole" operator="greaterThanOrEqual" allowBlank="1" showInputMessage="1" showErrorMessage="1" sqref="C57:C60 C44:L52 E65:M68 E70:M73 C77:C81 E96:K102 E120:M123 D138:E138 C142:C159 C128:L136 E60 C84:G91 C106:F114 G138:L138" xr:uid="{00000000-0002-0000-0100-000002000000}">
      <formula1>0</formula1>
    </dataValidation>
    <dataValidation type="whole" allowBlank="1" showInputMessage="1" showErrorMessage="1" sqref="C138" xr:uid="{4D5BD0B8-9E83-413B-8A49-CD63D694A1C4}">
      <formula1>0</formula1>
      <formula2>9.99999999999999E+32</formula2>
    </dataValidation>
    <dataValidation type="whole" allowBlank="1" showInputMessage="1" showErrorMessage="1" sqref="F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in="1" max="13" man="1"/>
  </rowBreaks>
  <ignoredErrors>
    <ignoredError sqref="CP128 CP129:CP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V224"/>
  <sheetViews>
    <sheetView showGridLines="0" zoomScaleNormal="100" workbookViewId="0"/>
  </sheetViews>
  <sheetFormatPr baseColWidth="10" defaultColWidth="11.42578125" defaultRowHeight="15" x14ac:dyDescent="0.25"/>
  <cols>
    <col min="1" max="1" width="16.28515625" style="108" customWidth="1"/>
    <col min="2" max="2" width="28.28515625" style="110" customWidth="1"/>
    <col min="3" max="3" width="39.85546875" style="110" customWidth="1"/>
    <col min="4" max="48" width="12.7109375" style="110" customWidth="1"/>
    <col min="49" max="49" width="10.42578125" style="110" customWidth="1"/>
    <col min="50" max="70" width="11.42578125" style="606" customWidth="1"/>
    <col min="71" max="74" width="10.42578125" style="108" customWidth="1"/>
    <col min="75" max="79" width="11.42578125" style="108" customWidth="1"/>
    <col min="80" max="90" width="10.42578125" style="108" hidden="1" customWidth="1"/>
    <col min="91" max="106" width="11.42578125" style="34" hidden="1" customWidth="1"/>
    <col min="107" max="116" width="10.42578125" style="108" hidden="1" customWidth="1"/>
    <col min="117" max="141" width="11.42578125" style="108" hidden="1" customWidth="1"/>
    <col min="142" max="152" width="0" style="108" hidden="1" customWidth="1"/>
    <col min="153" max="16384" width="11.42578125" style="108"/>
  </cols>
  <sheetData>
    <row r="1" spans="1:152" s="34" customFormat="1" ht="13.5" customHeight="1" x14ac:dyDescent="0.15">
      <c r="B1" s="33" t="s">
        <v>0</v>
      </c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BS1" s="108"/>
      <c r="DC1" s="108"/>
      <c r="DD1" s="108"/>
      <c r="DE1" s="108"/>
      <c r="DF1" s="108"/>
      <c r="DG1" s="108"/>
      <c r="DH1" s="108"/>
      <c r="DI1" s="108"/>
      <c r="DJ1" s="108"/>
      <c r="DK1" s="108"/>
      <c r="DL1" s="108"/>
      <c r="DM1" s="108"/>
      <c r="DN1" s="108"/>
      <c r="DO1" s="108"/>
      <c r="DP1" s="108"/>
      <c r="DQ1" s="108"/>
      <c r="DR1" s="108"/>
      <c r="DS1" s="108"/>
      <c r="DT1" s="108"/>
      <c r="DU1" s="108"/>
      <c r="DV1" s="108"/>
      <c r="DW1" s="108"/>
      <c r="DX1" s="108"/>
      <c r="DY1" s="108"/>
      <c r="DZ1" s="108"/>
      <c r="EA1" s="108"/>
      <c r="EB1" s="108"/>
    </row>
    <row r="2" spans="1:152" s="34" customFormat="1" ht="13.5" customHeight="1" x14ac:dyDescent="0.15">
      <c r="B2" s="33" t="str">
        <f>CONCATENATE("COMUNA: ",NOMBRE!$B$2,"   ","( ",NOMBRE!$C$2,NOMBRE!$D$2,NOMBRE!$E$2,NOMBRE!$F$2,NOMBRE!$G$2," )")</f>
        <v>COMUNA:    (  )</v>
      </c>
      <c r="C2" s="33"/>
      <c r="D2" s="33"/>
      <c r="E2" s="35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BS2" s="108"/>
      <c r="DC2" s="108"/>
      <c r="DD2" s="108"/>
      <c r="DE2" s="108"/>
      <c r="DF2" s="108"/>
      <c r="DG2" s="108"/>
      <c r="DH2" s="108"/>
      <c r="DI2" s="108"/>
      <c r="DJ2" s="108"/>
      <c r="DK2" s="108"/>
      <c r="DL2" s="108"/>
      <c r="DM2" s="108"/>
      <c r="DN2" s="108"/>
      <c r="DO2" s="108"/>
      <c r="DP2" s="108"/>
      <c r="DQ2" s="108"/>
      <c r="DR2" s="108"/>
      <c r="DS2" s="108"/>
      <c r="DT2" s="108"/>
      <c r="DU2" s="108"/>
      <c r="DV2" s="108"/>
      <c r="DW2" s="108"/>
      <c r="DX2" s="108"/>
      <c r="DY2" s="108"/>
      <c r="DZ2" s="108"/>
      <c r="EA2" s="108"/>
      <c r="EB2" s="108"/>
    </row>
    <row r="3" spans="1:152" s="34" customFormat="1" ht="13.5" customHeight="1" x14ac:dyDescent="0.15">
      <c r="B3" s="33" t="str">
        <f>CONCATENATE("ESTABLECIMIENTO/ESTRATEGIA: ",NOMBRE!$B$3,"   ","( ",NOMBRE!$C$3,NOMBRE!$D$3,NOMBRE!$E$3,NOMBRE!$F$3,NOMBRE!$G$3,NOMBRE!$H$3," )")</f>
        <v>ESTABLECIMIENTO/ESTRATEGIA:    (  )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BS3" s="108"/>
      <c r="DC3" s="108"/>
      <c r="DD3" s="108"/>
      <c r="DE3" s="108"/>
      <c r="DF3" s="108"/>
      <c r="DG3" s="108"/>
      <c r="DH3" s="108"/>
      <c r="DI3" s="108"/>
      <c r="DJ3" s="108"/>
      <c r="DK3" s="108"/>
      <c r="DL3" s="108"/>
      <c r="DM3" s="108"/>
      <c r="DN3" s="108"/>
      <c r="DO3" s="108"/>
      <c r="DP3" s="108"/>
      <c r="DQ3" s="108"/>
      <c r="DR3" s="108"/>
      <c r="DS3" s="108"/>
      <c r="DT3" s="108"/>
      <c r="DU3" s="108"/>
      <c r="DV3" s="108"/>
      <c r="DW3" s="108"/>
      <c r="DX3" s="108"/>
      <c r="DY3" s="108"/>
      <c r="DZ3" s="108"/>
      <c r="EA3" s="108"/>
      <c r="EB3" s="108"/>
    </row>
    <row r="4" spans="1:152" s="34" customFormat="1" ht="13.5" customHeight="1" x14ac:dyDescent="0.15">
      <c r="B4" s="33" t="str">
        <f>CONCATENATE("MES: ",NOMBRE!$B$6,"   ","( ",NOMBRE!$C$6,NOMBRE!$D$6," )")</f>
        <v>MES:    (  )</v>
      </c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BS4" s="108"/>
      <c r="DC4" s="108"/>
      <c r="DD4" s="108"/>
      <c r="DE4" s="108"/>
      <c r="DF4" s="108"/>
      <c r="DG4" s="108"/>
      <c r="DH4" s="108"/>
      <c r="DI4" s="108"/>
      <c r="DJ4" s="108"/>
      <c r="DK4" s="108"/>
      <c r="DL4" s="108"/>
      <c r="DM4" s="108"/>
      <c r="DN4" s="108"/>
      <c r="DO4" s="108"/>
      <c r="DP4" s="108"/>
      <c r="DQ4" s="108"/>
      <c r="DR4" s="108"/>
      <c r="DS4" s="108"/>
      <c r="DT4" s="108"/>
      <c r="DU4" s="108"/>
      <c r="DV4" s="108"/>
      <c r="DW4" s="108"/>
      <c r="DX4" s="108"/>
      <c r="DY4" s="108"/>
      <c r="DZ4" s="108"/>
      <c r="EA4" s="108"/>
      <c r="EB4" s="108"/>
    </row>
    <row r="5" spans="1:152" s="34" customFormat="1" ht="13.5" customHeight="1" x14ac:dyDescent="0.15">
      <c r="B5" s="33" t="str">
        <f>CONCATENATE("AÑO: ",NOMBRE!$B$7)</f>
        <v>AÑO: 2025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BS5" s="108"/>
      <c r="DC5" s="108"/>
      <c r="DD5" s="108"/>
      <c r="DE5" s="108"/>
      <c r="DF5" s="108"/>
      <c r="DG5" s="108"/>
      <c r="DH5" s="108"/>
      <c r="DI5" s="108"/>
      <c r="DJ5" s="108"/>
      <c r="DK5" s="108"/>
      <c r="DL5" s="108"/>
      <c r="DM5" s="108"/>
      <c r="DN5" s="108"/>
      <c r="DO5" s="108"/>
      <c r="DP5" s="108"/>
      <c r="DQ5" s="108"/>
      <c r="DR5" s="108"/>
      <c r="DS5" s="108"/>
      <c r="DT5" s="108"/>
      <c r="DU5" s="108"/>
      <c r="DV5" s="108"/>
      <c r="DW5" s="108"/>
      <c r="DX5" s="108"/>
      <c r="DY5" s="108"/>
      <c r="DZ5" s="108"/>
      <c r="EA5" s="108"/>
      <c r="EB5" s="108"/>
    </row>
    <row r="6" spans="1:152" ht="18" customHeight="1" x14ac:dyDescent="0.25">
      <c r="B6" s="1867" t="s">
        <v>208</v>
      </c>
      <c r="C6" s="1867"/>
      <c r="D6" s="1867"/>
      <c r="E6" s="1867"/>
      <c r="F6" s="1867"/>
      <c r="G6" s="1867"/>
      <c r="H6" s="1867"/>
      <c r="I6" s="1867"/>
      <c r="J6" s="1867"/>
      <c r="K6" s="1867"/>
      <c r="L6" s="1867"/>
      <c r="M6" s="1867"/>
      <c r="N6" s="1867"/>
      <c r="O6" s="1867"/>
      <c r="P6" s="1867"/>
      <c r="Q6" s="1867"/>
      <c r="R6" s="1867"/>
      <c r="S6" s="1867"/>
      <c r="T6" s="1867"/>
      <c r="U6" s="1867"/>
      <c r="V6" s="1867"/>
      <c r="W6" s="1867"/>
      <c r="X6" s="1867"/>
      <c r="Y6" s="1867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AW6" s="221"/>
      <c r="CB6" s="982"/>
    </row>
    <row r="7" spans="1:152" ht="18" customHeight="1" x14ac:dyDescent="0.25">
      <c r="B7" s="1048"/>
      <c r="C7" s="1048"/>
      <c r="D7" s="1048"/>
      <c r="E7" s="1048"/>
      <c r="F7" s="1048"/>
      <c r="G7" s="1048"/>
      <c r="H7" s="1048"/>
      <c r="I7" s="1048"/>
      <c r="J7" s="1048"/>
      <c r="K7" s="1048"/>
      <c r="L7" s="1048"/>
      <c r="M7" s="1048"/>
      <c r="N7" s="1048"/>
      <c r="O7" s="1048"/>
      <c r="P7" s="1048"/>
      <c r="Q7" s="1048"/>
      <c r="R7" s="1048"/>
      <c r="S7" s="1048"/>
      <c r="T7" s="1048"/>
      <c r="U7" s="1048"/>
      <c r="V7" s="1048"/>
      <c r="W7" s="1048"/>
      <c r="X7" s="1048"/>
      <c r="Y7" s="1048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AW7" s="221"/>
      <c r="CB7" s="982"/>
    </row>
    <row r="8" spans="1:152" ht="17.100000000000001" customHeight="1" x14ac:dyDescent="0.25">
      <c r="B8" s="1889" t="s">
        <v>209</v>
      </c>
      <c r="C8" s="1889"/>
      <c r="D8" s="1889"/>
      <c r="E8" s="1889"/>
      <c r="F8" s="1889"/>
      <c r="G8" s="1889"/>
      <c r="H8" s="1889"/>
      <c r="I8" s="1889"/>
      <c r="J8" s="1889"/>
      <c r="K8" s="1889"/>
      <c r="L8" s="1889"/>
      <c r="M8" s="1889"/>
      <c r="N8" s="1889"/>
      <c r="O8" s="1889"/>
      <c r="P8" s="1889"/>
      <c r="Q8" s="1889"/>
      <c r="R8" s="1889"/>
      <c r="S8" s="172"/>
      <c r="T8" s="172"/>
      <c r="U8" s="172"/>
      <c r="V8" s="172"/>
      <c r="W8" s="172"/>
      <c r="X8" s="172"/>
      <c r="Y8" s="172"/>
      <c r="Z8" s="172"/>
      <c r="AA8" s="172"/>
      <c r="AB8" s="172"/>
      <c r="AV8" s="223"/>
      <c r="AW8" s="172"/>
    </row>
    <row r="9" spans="1:152" ht="16.5" customHeight="1" x14ac:dyDescent="0.25">
      <c r="B9" s="1778" t="s">
        <v>210</v>
      </c>
      <c r="C9" s="1779"/>
      <c r="D9" s="1767" t="s">
        <v>49</v>
      </c>
      <c r="E9" s="1768"/>
      <c r="F9" s="1769"/>
      <c r="G9" s="1790" t="s">
        <v>211</v>
      </c>
      <c r="H9" s="1791"/>
      <c r="I9" s="1791"/>
      <c r="J9" s="1791"/>
      <c r="K9" s="1791"/>
      <c r="L9" s="1791"/>
      <c r="M9" s="1791"/>
      <c r="N9" s="1791"/>
      <c r="O9" s="1791"/>
      <c r="P9" s="1791"/>
      <c r="Q9" s="1791"/>
      <c r="R9" s="1791"/>
      <c r="S9" s="1791"/>
      <c r="T9" s="1791"/>
      <c r="U9" s="1791"/>
      <c r="V9" s="1791"/>
      <c r="W9" s="1791"/>
      <c r="X9" s="1791"/>
      <c r="Y9" s="1791"/>
      <c r="Z9" s="1791"/>
      <c r="AA9" s="1791"/>
      <c r="AB9" s="1791"/>
      <c r="AC9" s="1791"/>
      <c r="AD9" s="1791"/>
      <c r="AE9" s="1791"/>
      <c r="AF9" s="1791"/>
      <c r="AG9" s="1791"/>
      <c r="AH9" s="1797"/>
      <c r="AI9" s="1748" t="s">
        <v>51</v>
      </c>
      <c r="AJ9" s="1749"/>
      <c r="AK9" s="1752" t="s">
        <v>52</v>
      </c>
      <c r="AL9" s="1753"/>
      <c r="AM9" s="606"/>
      <c r="AN9" s="606"/>
      <c r="AO9" s="606"/>
      <c r="AP9" s="606"/>
      <c r="AQ9" s="606"/>
      <c r="AR9" s="606"/>
      <c r="AS9" s="606"/>
      <c r="AT9" s="606"/>
      <c r="AU9" s="606"/>
      <c r="AV9" s="606"/>
      <c r="AW9" s="606"/>
      <c r="BG9" s="108"/>
      <c r="BH9" s="110"/>
      <c r="BI9" s="108"/>
      <c r="BJ9" s="108"/>
      <c r="BK9" s="108"/>
      <c r="BL9" s="108"/>
      <c r="BM9" s="108"/>
      <c r="BN9" s="108"/>
      <c r="BO9" s="108"/>
      <c r="BS9" s="606"/>
      <c r="BT9" s="606"/>
      <c r="CD9" s="1053"/>
      <c r="CE9" s="1053"/>
      <c r="CF9" s="1053"/>
      <c r="CG9" s="1054"/>
      <c r="CH9" s="179"/>
      <c r="CI9" s="179"/>
      <c r="CJ9" s="179"/>
      <c r="CM9" s="108"/>
      <c r="CN9" s="108"/>
      <c r="DC9" s="34"/>
      <c r="DD9" s="34"/>
    </row>
    <row r="10" spans="1:152" ht="24" customHeight="1" x14ac:dyDescent="0.25">
      <c r="B10" s="1780"/>
      <c r="C10" s="1781"/>
      <c r="D10" s="1770"/>
      <c r="E10" s="1771"/>
      <c r="F10" s="1772"/>
      <c r="G10" s="1755" t="s">
        <v>212</v>
      </c>
      <c r="H10" s="1756"/>
      <c r="I10" s="1755" t="s">
        <v>213</v>
      </c>
      <c r="J10" s="1756"/>
      <c r="K10" s="1755" t="s">
        <v>214</v>
      </c>
      <c r="L10" s="1756"/>
      <c r="M10" s="1755" t="s">
        <v>215</v>
      </c>
      <c r="N10" s="1756"/>
      <c r="O10" s="1755" t="s">
        <v>216</v>
      </c>
      <c r="P10" s="1756"/>
      <c r="Q10" s="1755" t="s">
        <v>217</v>
      </c>
      <c r="R10" s="1756"/>
      <c r="S10" s="1755" t="s">
        <v>218</v>
      </c>
      <c r="T10" s="1756"/>
      <c r="U10" s="1755" t="s">
        <v>219</v>
      </c>
      <c r="V10" s="1756"/>
      <c r="W10" s="1755" t="s">
        <v>220</v>
      </c>
      <c r="X10" s="1756"/>
      <c r="Y10" s="1755" t="s">
        <v>221</v>
      </c>
      <c r="Z10" s="1756"/>
      <c r="AA10" s="1755" t="s">
        <v>222</v>
      </c>
      <c r="AB10" s="1756"/>
      <c r="AC10" s="1755" t="s">
        <v>223</v>
      </c>
      <c r="AD10" s="1757"/>
      <c r="AE10" s="1755" t="s">
        <v>224</v>
      </c>
      <c r="AF10" s="1756"/>
      <c r="AG10" s="1755" t="s">
        <v>225</v>
      </c>
      <c r="AH10" s="1756"/>
      <c r="AI10" s="1750"/>
      <c r="AJ10" s="1751"/>
      <c r="AK10" s="1754"/>
      <c r="AL10" s="1706"/>
      <c r="AM10" s="606"/>
      <c r="AN10" s="606"/>
      <c r="AO10" s="606"/>
      <c r="AP10" s="606"/>
      <c r="AQ10" s="606"/>
      <c r="AR10" s="606"/>
      <c r="AS10" s="606"/>
      <c r="AT10" s="606"/>
      <c r="AU10" s="606"/>
      <c r="AV10" s="606"/>
      <c r="AW10" s="606"/>
      <c r="BG10" s="108"/>
      <c r="BH10" s="110"/>
      <c r="BI10" s="108"/>
      <c r="BJ10" s="108"/>
      <c r="BK10" s="108"/>
      <c r="BL10" s="108"/>
      <c r="BM10" s="108"/>
      <c r="BN10" s="108"/>
      <c r="BO10" s="108"/>
      <c r="BS10" s="606"/>
      <c r="BT10" s="606"/>
      <c r="CD10" s="1055"/>
      <c r="CE10" s="1055"/>
      <c r="CF10" s="1055"/>
      <c r="CG10" s="81"/>
      <c r="CH10" s="179"/>
      <c r="CI10" s="179"/>
      <c r="CJ10" s="179"/>
      <c r="CM10" s="108"/>
      <c r="CN10" s="108"/>
      <c r="DC10" s="34"/>
      <c r="DD10" s="34"/>
    </row>
    <row r="11" spans="1:152" ht="30.75" customHeight="1" x14ac:dyDescent="0.25">
      <c r="B11" s="1782"/>
      <c r="C11" s="1783"/>
      <c r="D11" s="60" t="s">
        <v>226</v>
      </c>
      <c r="E11" s="1232" t="s">
        <v>86</v>
      </c>
      <c r="F11" s="1440" t="s">
        <v>227</v>
      </c>
      <c r="G11" s="1232" t="s">
        <v>86</v>
      </c>
      <c r="H11" s="1440" t="s">
        <v>227</v>
      </c>
      <c r="I11" s="1232" t="s">
        <v>86</v>
      </c>
      <c r="J11" s="892" t="s">
        <v>227</v>
      </c>
      <c r="K11" s="1232" t="s">
        <v>86</v>
      </c>
      <c r="L11" s="892" t="s">
        <v>227</v>
      </c>
      <c r="M11" s="1232" t="s">
        <v>86</v>
      </c>
      <c r="N11" s="892" t="s">
        <v>227</v>
      </c>
      <c r="O11" s="1232" t="s">
        <v>86</v>
      </c>
      <c r="P11" s="892" t="s">
        <v>227</v>
      </c>
      <c r="Q11" s="1232" t="s">
        <v>86</v>
      </c>
      <c r="R11" s="892" t="s">
        <v>227</v>
      </c>
      <c r="S11" s="1232" t="s">
        <v>86</v>
      </c>
      <c r="T11" s="892" t="s">
        <v>227</v>
      </c>
      <c r="U11" s="1232" t="s">
        <v>86</v>
      </c>
      <c r="V11" s="892" t="s">
        <v>227</v>
      </c>
      <c r="W11" s="1232" t="s">
        <v>86</v>
      </c>
      <c r="X11" s="892" t="s">
        <v>227</v>
      </c>
      <c r="Y11" s="1232" t="s">
        <v>86</v>
      </c>
      <c r="Z11" s="892" t="s">
        <v>227</v>
      </c>
      <c r="AA11" s="1232" t="s">
        <v>86</v>
      </c>
      <c r="AB11" s="892" t="s">
        <v>227</v>
      </c>
      <c r="AC11" s="1232" t="s">
        <v>86</v>
      </c>
      <c r="AD11" s="867" t="s">
        <v>227</v>
      </c>
      <c r="AE11" s="1439" t="s">
        <v>86</v>
      </c>
      <c r="AF11" s="892" t="s">
        <v>227</v>
      </c>
      <c r="AG11" s="1232" t="s">
        <v>86</v>
      </c>
      <c r="AH11" s="892" t="s">
        <v>227</v>
      </c>
      <c r="AI11" s="190" t="s">
        <v>86</v>
      </c>
      <c r="AJ11" s="1404" t="s">
        <v>227</v>
      </c>
      <c r="AK11" s="1404" t="s">
        <v>86</v>
      </c>
      <c r="AL11" s="1420" t="s">
        <v>227</v>
      </c>
      <c r="AM11" s="606"/>
      <c r="AN11" s="606"/>
      <c r="AO11" s="606"/>
      <c r="AP11" s="606"/>
      <c r="AQ11" s="606"/>
      <c r="AR11" s="606"/>
      <c r="AS11" s="606"/>
      <c r="AT11" s="606"/>
      <c r="AU11" s="606"/>
      <c r="AV11" s="606"/>
      <c r="AW11" s="606"/>
      <c r="BG11" s="108"/>
      <c r="BH11" s="108"/>
      <c r="BI11" s="108"/>
      <c r="BJ11" s="108"/>
      <c r="BK11" s="108"/>
      <c r="BL11" s="108"/>
      <c r="BM11" s="108"/>
      <c r="BN11" s="108"/>
      <c r="BO11" s="108"/>
      <c r="BS11" s="606"/>
      <c r="BT11" s="606"/>
      <c r="CD11" s="81"/>
      <c r="CE11" s="81"/>
      <c r="CF11" s="81"/>
      <c r="CG11" s="81"/>
      <c r="CH11" s="38"/>
      <c r="CI11" s="38"/>
      <c r="CJ11" s="38"/>
      <c r="CM11" s="108"/>
      <c r="CN11" s="108"/>
      <c r="DC11" s="34"/>
      <c r="DD11" s="34"/>
    </row>
    <row r="12" spans="1:152" ht="15" customHeight="1" x14ac:dyDescent="0.25">
      <c r="A12" s="1585" t="s">
        <v>1018</v>
      </c>
      <c r="B12" s="1865" t="s">
        <v>228</v>
      </c>
      <c r="C12" s="1866"/>
      <c r="D12" s="313" t="s">
        <v>1616</v>
      </c>
      <c r="E12" s="362" t="s">
        <v>1617</v>
      </c>
      <c r="F12" s="371" t="s">
        <v>1618</v>
      </c>
      <c r="G12" s="315" t="s">
        <v>1619</v>
      </c>
      <c r="H12" s="759" t="s">
        <v>1620</v>
      </c>
      <c r="I12" s="315" t="s">
        <v>1621</v>
      </c>
      <c r="J12" s="316" t="s">
        <v>1622</v>
      </c>
      <c r="K12" s="315" t="s">
        <v>1623</v>
      </c>
      <c r="L12" s="316" t="s">
        <v>1624</v>
      </c>
      <c r="M12" s="315" t="s">
        <v>1625</v>
      </c>
      <c r="N12" s="317" t="s">
        <v>1626</v>
      </c>
      <c r="O12" s="1233" t="s">
        <v>1627</v>
      </c>
      <c r="P12" s="957" t="s">
        <v>1628</v>
      </c>
      <c r="Q12" s="1233" t="s">
        <v>1629</v>
      </c>
      <c r="R12" s="957" t="s">
        <v>1630</v>
      </c>
      <c r="S12" s="318" t="s">
        <v>1631</v>
      </c>
      <c r="T12" s="316" t="s">
        <v>1632</v>
      </c>
      <c r="U12" s="315" t="s">
        <v>1633</v>
      </c>
      <c r="V12" s="317" t="s">
        <v>1634</v>
      </c>
      <c r="W12" s="1233" t="s">
        <v>1635</v>
      </c>
      <c r="X12" s="957" t="s">
        <v>1636</v>
      </c>
      <c r="Y12" s="1233" t="s">
        <v>1637</v>
      </c>
      <c r="Z12" s="957" t="s">
        <v>1638</v>
      </c>
      <c r="AA12" s="1233" t="s">
        <v>1639</v>
      </c>
      <c r="AB12" s="957" t="s">
        <v>1640</v>
      </c>
      <c r="AC12" s="1233" t="s">
        <v>1641</v>
      </c>
      <c r="AD12" s="750" t="s">
        <v>1642</v>
      </c>
      <c r="AE12" s="1441" t="s">
        <v>1643</v>
      </c>
      <c r="AF12" s="957" t="s">
        <v>1644</v>
      </c>
      <c r="AG12" s="1233" t="s">
        <v>1645</v>
      </c>
      <c r="AH12" s="957" t="s">
        <v>1646</v>
      </c>
      <c r="AI12" s="320" t="s">
        <v>1647</v>
      </c>
      <c r="AJ12" s="956" t="s">
        <v>1648</v>
      </c>
      <c r="AK12" s="1442" t="s">
        <v>1649</v>
      </c>
      <c r="AL12" s="957" t="s">
        <v>1650</v>
      </c>
      <c r="AM12" s="108" t="e">
        <f>($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&amp;DM12)</f>
        <v>#VALUE!</v>
      </c>
      <c r="AN12" s="606"/>
      <c r="AO12" s="606"/>
      <c r="AP12" s="606"/>
      <c r="AQ12" s="606"/>
      <c r="AR12" s="606"/>
      <c r="AS12" s="606"/>
      <c r="AT12" s="606"/>
      <c r="AU12" s="606"/>
      <c r="AV12" s="606"/>
      <c r="AW12" s="606"/>
      <c r="BG12" s="108"/>
      <c r="BH12" s="108"/>
      <c r="BI12" s="108"/>
      <c r="BJ12" s="108"/>
      <c r="BK12" s="108"/>
      <c r="BL12" s="108"/>
      <c r="BM12" s="108"/>
      <c r="BN12" s="108"/>
      <c r="BO12" s="108"/>
      <c r="BS12" s="606"/>
      <c r="BT12" s="606"/>
      <c r="CB12" s="191" t="e">
        <f>IF(I12&lt;&gt;I39,"* El Total de Hombres en Control de 1 mes debe ser igual al Total de Hombres según Diagnóstico Nutricional Integrado. ","")</f>
        <v>#VALUE!</v>
      </c>
      <c r="CC12" s="191" t="e">
        <f>IF(J12&lt;&gt;J39,"* El Total de Mujeres en Control de 1 mes debe ser igual al Total de Mujeres según Diagnóstico Nutricional Integrado. ","")</f>
        <v>#VALUE!</v>
      </c>
      <c r="CD12" s="191" t="e">
        <f>IF(K12&lt;&gt;K39,"* El Total de Hombres en Control de 2 meses debe ser igual al Total de Hombres según Diagnóstico Nutricional Integrado. ","")</f>
        <v>#VALUE!</v>
      </c>
      <c r="CE12" s="191" t="e">
        <f>IF(L12&lt;&gt;L39,"* El Total de Mujeres en Control de 2 meses debe ser igual al Total de Mujeres según Diagnóstico Nutricional Integrado. ","")</f>
        <v>#VALUE!</v>
      </c>
      <c r="CF12" s="191" t="e">
        <f>IF(M12&lt;&gt;M39,"* El Total de Hombres en Control de 3 meses debe ser igual al Total de Hombres según Diagnóstico Nutricional Integrado. ","")</f>
        <v>#VALUE!</v>
      </c>
      <c r="CG12" s="191" t="e">
        <f>IF(N12&lt;&gt;N39,"* El Total de Mujeres en Control de 3 meses debe ser igual al Total de Mujeres según Diagnóstico Nutricional Integrado. ","")</f>
        <v>#VALUE!</v>
      </c>
      <c r="CH12" s="191" t="e">
        <f>IF(O12&lt;&gt;O39,"* El Total de Hombres en Control de 4 meses debe ser igual al Total de Hombres según Diagnóstico Nutricional Integrado. ","")</f>
        <v>#VALUE!</v>
      </c>
      <c r="CI12" s="191" t="e">
        <f>IF(P12&lt;&gt;P39,"* El Total de Mujeres en Control de 4 meses debe ser igual al Total de Mujeres según Diagnóstico Nutricional Integrado. ","")</f>
        <v>#VALUE!</v>
      </c>
      <c r="CJ12" s="191" t="e">
        <f>IF(Q12&lt;&gt;Q39,"* El Total de Hombres en Control de 5 meses debe ser igual al Total de Hombres según Diagnóstico Nutricional Integrado. ","")</f>
        <v>#VALUE!</v>
      </c>
      <c r="CK12" s="191" t="e">
        <f>IF(R12&lt;&gt;R39,"* El Total de Mujeres en Control de 5 meses debe ser igual al Total de Mujeres según Diagnóstico Nutricional Integrado. ","")</f>
        <v>#VALUE!</v>
      </c>
      <c r="CL12" s="191" t="e">
        <f>IF(S12&lt;&gt;S39,"* El Total de Hombres en Control de 6 meses debe ser igual al Total de Hombres según Diagnóstico Nutricional Integrado. ","")</f>
        <v>#VALUE!</v>
      </c>
      <c r="CM12" s="191" t="e">
        <f>IF(T12&lt;&gt;T39,"* El Total de Mujeres en Control de 6 meses debe ser igual al Total de Mujeres según Diagnóstico Nutricional Integrado. ","")</f>
        <v>#VALUE!</v>
      </c>
      <c r="CN12" s="191" t="e">
        <f>IF(U12&lt;&gt;U39,"* El Total de Hombres en Control de 7 a 11 meses debe ser igual al Total de Hombres según Diagnóstico Nutricional Integrado. ","")</f>
        <v>#VALUE!</v>
      </c>
      <c r="CO12" s="191" t="e">
        <f>IF(V12&lt;&gt;V39,"* El Total de Mujeres en Control de 7 a 11 meses debe ser igual al Total de Mujeres según Diagnóstico Nutricional Integrado. ","")</f>
        <v>#VALUE!</v>
      </c>
      <c r="CP12" s="191" t="e">
        <f>IF(W12&lt;&gt;W39,"* El Total de Hombres en Control de 12 a 17 meses debe ser igual al Total de Hombres según Diagnóstico Nutricional Integrado. ","")</f>
        <v>#VALUE!</v>
      </c>
      <c r="CQ12" s="191" t="e">
        <f>IF(X12&lt;&gt;X39,"* El Total de Mujeres en Control de 12 a 17 meses debe ser igual al Total de Mujeres según Diagnóstico Nutricional Integrado. ","")</f>
        <v>#VALUE!</v>
      </c>
      <c r="CR12" s="191" t="e">
        <f>IF(Y12&lt;&gt;Y39,"* El Total de Hombres en Control de 18 a 23 meses debe ser igual al Total de Hombres según Diagnóstico Nutricional Integrado. ","")</f>
        <v>#VALUE!</v>
      </c>
      <c r="CS12" s="191" t="e">
        <f>IF(Z12&lt;&gt;Z39,"* El Total de Mujeres en Control de 18 a 23 meses debe ser igual al Total de Mujeres según Diagnóstico Nutricional Integrado. ","")</f>
        <v>#VALUE!</v>
      </c>
      <c r="CT12" s="191" t="e">
        <f>IF(AA12&lt;&gt;AA39,"* El Total de Hombres en Control de 24 a 35 meses debe ser igual al Total de Hombres según Diagnóstico Nutricional Integrado. ","")</f>
        <v>#VALUE!</v>
      </c>
      <c r="CU12" s="191" t="e">
        <f>IF(AB12&lt;&gt;AB39,"* El Total de Mujeres en Control de 24 a 35 meses debe ser igual al Total de Mujeres según Diagnóstico Nutricional Integrado. ","")</f>
        <v>#VALUE!</v>
      </c>
      <c r="CV12" s="191" t="e">
        <f>IF(AC12&lt;&gt;AC39,"* El Total de Hombres en Control de 36 a 41 meses debe ser igual al Total de Hombres según Diagnóstico Nutricional Integrado. ","")</f>
        <v>#VALUE!</v>
      </c>
      <c r="CW12" s="191" t="e">
        <f>IF(AD12&lt;&gt;AD39,"* El Total de Mujeres en Control de 36 a 41 meses debe ser igual al Total de Mujeres según Diagnóstico Nutricional Integrado. ","")</f>
        <v>#VALUE!</v>
      </c>
      <c r="CX12" s="191" t="e">
        <f>IF(AE12&lt;&gt;AE39,"* El Total de Hombres en Control de 42 a 47 meses debe ser igual al Total de Hombres según Diagnóstico Nutricional Integrado. ","")</f>
        <v>#VALUE!</v>
      </c>
      <c r="CY12" s="191" t="e">
        <f>IF(AF12&lt;&gt;AF39,"* El Total de Mujeres en Control de 42 a 47 meses debe ser igual al Total de Mujeres según Diagnóstico Nutricional Integrado. ","")</f>
        <v>#VALUE!</v>
      </c>
      <c r="CZ12" s="191" t="e">
        <f>IF(AG12&lt;&gt;AG39,"* El Total de Hombres en Control de 48 a 59 meses debe ser igual al Total de Hombres según Diagnóstico Nutricional Integrado. ","")</f>
        <v>#VALUE!</v>
      </c>
      <c r="DA12" s="191" t="e">
        <f>IF(AH12&lt;&gt;AH39,"* El Total de Mujeres en Control de 48 a 59 meses debe ser igual al Total de Mujeres según Diagnóstico Nutricional Integrado. ","")</f>
        <v>#VALUE!</v>
      </c>
      <c r="DB12" s="191" t="e">
        <f>IF($D12&gt;=$AI12+$AJ12,"","* La suma de Pueblos Originarios Hombres + Mujeres no debe ser mayor al Total de niños (as) en control. ")</f>
        <v>#VALUE!</v>
      </c>
      <c r="DC12" s="191" t="e">
        <f>IF($D12&gt;=$AK12+$AL12,"","* La suma de Población Migrantes Hombres + Mujeres no debe ser mayor al Total de niños (as) en control. ")</f>
        <v>#VALUE!</v>
      </c>
      <c r="DD12" s="191" t="e">
        <f>IF(AI12&lt;&gt;AI39,"* El Total de Hombres en Control de Pueblos Originarios debe ser igual al Total de Pueblos Originarios Hombres según Diagnóstico Nutricional Integrado. ","")</f>
        <v>#VALUE!</v>
      </c>
      <c r="DE12" s="191" t="e">
        <f>IF(AJ12&lt;&gt;AJ39,"* El Total de Mujeres en Control de Pueblos Originarios debe ser igual al Total de Pueblos Originarios Mujeres según Diagnóstico Nutricional Integrado. ","")</f>
        <v>#VALUE!</v>
      </c>
      <c r="DF12" s="191" t="e">
        <f>IF(AK12&lt;&gt;AK39,"* El Total de Hombres en Control de Población Migrantes debe ser igual al Total de Migrantes Hombres según Diagnóstico Nutricional Integrado. ","")</f>
        <v>#VALUE!</v>
      </c>
      <c r="DG12" s="191" t="e">
        <f>IF(AL12&lt;&gt;AL39,"* El Total de Mujeres en Control de Población Migrantes debe ser igual al Total de Migrantes Mujeres según Diagnóstico Nutricional Integrado. ","")</f>
        <v>#VALUE!</v>
      </c>
      <c r="DH12" s="191" t="str">
        <f>IF(AND(E12&gt;0,OR(AI12=""))," * No olvide digitar la variable Pueblos Originarios Hombres (Digite Cero si no tiene).",IF(AI12&gt;E12," * La variable Pueblos Originarios Hombres no puede ser Mayor al Total Hombres.",""))</f>
        <v xml:space="preserve"> * La variable Pueblos Originarios Hombres no puede ser Mayor al Total Hombres.</v>
      </c>
      <c r="DI12" s="191" t="str">
        <f>IF(AND(F12&gt;0,OR(AJ12=""))," * No olvide digitar la variable Pueblos Originarios Mujeres (Digite Cero si no tiene).",IF(AJ12&gt;F12," * La variable Pueblos Originarios Mujeres no puede ser Mayor al Total Mujeres.",""))</f>
        <v xml:space="preserve"> * La variable Pueblos Originarios Mujeres no puede ser Mayor al Total Mujeres.</v>
      </c>
      <c r="DJ12" s="191" t="str">
        <f>IF(AND(E12&gt;0,OR(AK12=""))," * No olvide digitar la variable Migrantes Hombres (Digite Cero si no tiene).",IF(AK12&gt;E12," * La variable Migrantes Hombres no puede ser Mayor al Total.",""))</f>
        <v xml:space="preserve"> * La variable Migrantes Hombres no puede ser Mayor al Total.</v>
      </c>
      <c r="DK12" s="191" t="str">
        <f>IF(AND(F12&gt;0,OR(AL12=""))," * No olvide digitar la variable Migrantes Mujeres (Digite Cero si no tiene).",IF(AL12&gt;F12," * La variable Migrantes Mujeres no puede ser Mayor al Total.",""))</f>
        <v xml:space="preserve"> * La variable Migrantes Mujeres no puede ser Mayor al Total.</v>
      </c>
      <c r="DN12" s="34"/>
      <c r="DO12" s="34"/>
      <c r="DP12" s="34"/>
      <c r="DQ12" s="1047" t="e">
        <f>IF(I12&lt;&gt;I39,1,0)</f>
        <v>#VALUE!</v>
      </c>
      <c r="DR12" s="1047" t="e">
        <f>IF(J12&lt;&gt;J39,1,0)</f>
        <v>#VALUE!</v>
      </c>
      <c r="DS12" s="1047" t="e">
        <f>IF(K12&lt;&gt;K39,1,0)</f>
        <v>#VALUE!</v>
      </c>
      <c r="DT12" s="1047" t="e">
        <f t="shared" ref="DT12:EM12" si="0">IF(L12&lt;&gt;L39,1,0)</f>
        <v>#VALUE!</v>
      </c>
      <c r="DU12" s="1047" t="e">
        <f t="shared" si="0"/>
        <v>#VALUE!</v>
      </c>
      <c r="DV12" s="1047" t="e">
        <f t="shared" si="0"/>
        <v>#VALUE!</v>
      </c>
      <c r="DW12" s="1047" t="e">
        <f t="shared" si="0"/>
        <v>#VALUE!</v>
      </c>
      <c r="DX12" s="1047" t="e">
        <f t="shared" si="0"/>
        <v>#VALUE!</v>
      </c>
      <c r="DY12" s="1047" t="e">
        <f t="shared" si="0"/>
        <v>#VALUE!</v>
      </c>
      <c r="DZ12" s="1047" t="e">
        <f t="shared" si="0"/>
        <v>#VALUE!</v>
      </c>
      <c r="EA12" s="1047" t="e">
        <f t="shared" si="0"/>
        <v>#VALUE!</v>
      </c>
      <c r="EB12" s="1047" t="e">
        <f t="shared" si="0"/>
        <v>#VALUE!</v>
      </c>
      <c r="EC12" s="1047" t="e">
        <f t="shared" si="0"/>
        <v>#VALUE!</v>
      </c>
      <c r="ED12" s="1047" t="e">
        <f t="shared" si="0"/>
        <v>#VALUE!</v>
      </c>
      <c r="EE12" s="1047" t="e">
        <f t="shared" si="0"/>
        <v>#VALUE!</v>
      </c>
      <c r="EF12" s="1047" t="e">
        <f t="shared" si="0"/>
        <v>#VALUE!</v>
      </c>
      <c r="EG12" s="1047" t="e">
        <f t="shared" si="0"/>
        <v>#VALUE!</v>
      </c>
      <c r="EH12" s="1047" t="e">
        <f t="shared" si="0"/>
        <v>#VALUE!</v>
      </c>
      <c r="EI12" s="1047" t="e">
        <f t="shared" si="0"/>
        <v>#VALUE!</v>
      </c>
      <c r="EJ12" s="1047" t="e">
        <f t="shared" si="0"/>
        <v>#VALUE!</v>
      </c>
      <c r="EK12" s="1047" t="e">
        <f t="shared" si="0"/>
        <v>#VALUE!</v>
      </c>
      <c r="EL12" s="1047" t="e">
        <f t="shared" si="0"/>
        <v>#VALUE!</v>
      </c>
      <c r="EM12" s="1047" t="e">
        <f t="shared" si="0"/>
        <v>#VALUE!</v>
      </c>
      <c r="EN12" s="1047" t="e">
        <f>IF(AF12&lt;&gt;AF39,1,0)</f>
        <v>#VALUE!</v>
      </c>
      <c r="EO12" s="1047" t="e">
        <f>IF(AG12&lt;&gt;AG39,1,0)</f>
        <v>#VALUE!</v>
      </c>
      <c r="EP12" s="1047" t="e">
        <f>IF(AH12&lt;&gt;AH39,1,0)</f>
        <v>#VALUE!</v>
      </c>
      <c r="EQ12" s="1047">
        <f>IF(AND(E12&gt;0,OR(AI12="")),1,IF(AI12&gt;E12,1,0))</f>
        <v>1</v>
      </c>
      <c r="ER12" s="1047">
        <f>IF(AND(F12&gt;0,OR(AJ12="")),1,IF(AJ12&gt;F12,1,0))</f>
        <v>1</v>
      </c>
      <c r="ES12" s="1047">
        <f>IF(AND(E12&gt;0,OR(AK12="")),1,IF(AK12&gt;E12,1,0))</f>
        <v>1</v>
      </c>
      <c r="ET12" s="1047">
        <f>IF(AND(F12&gt;0,OR(AL12="")),1,IF(AL12&gt;F12,1,0))</f>
        <v>1</v>
      </c>
      <c r="EU12" s="1047" t="e">
        <f>IF($AI$12+$AJ$12&lt;&gt;$AI$39+$AJ$39,1,0)</f>
        <v>#VALUE!</v>
      </c>
      <c r="EV12" s="1047" t="e">
        <f>IF($AK$12+$AL$12&lt;&gt;$AK$39+$AL$39,1,0)</f>
        <v>#VALUE!</v>
      </c>
    </row>
    <row r="13" spans="1:152" ht="15" customHeight="1" x14ac:dyDescent="0.25">
      <c r="A13" s="1585" t="s">
        <v>1019</v>
      </c>
      <c r="B13" s="1862" t="s">
        <v>229</v>
      </c>
      <c r="C13" s="61" t="s">
        <v>230</v>
      </c>
      <c r="D13" s="321" t="s">
        <v>1616</v>
      </c>
      <c r="E13" s="760" t="s">
        <v>1617</v>
      </c>
      <c r="F13" s="364" t="s">
        <v>1618</v>
      </c>
      <c r="G13" s="322" t="s">
        <v>1619</v>
      </c>
      <c r="H13" s="700" t="s">
        <v>1620</v>
      </c>
      <c r="I13" s="322" t="s">
        <v>1621</v>
      </c>
      <c r="J13" s="323" t="s">
        <v>1622</v>
      </c>
      <c r="K13" s="322" t="s">
        <v>1623</v>
      </c>
      <c r="L13" s="323" t="s">
        <v>1624</v>
      </c>
      <c r="M13" s="322" t="s">
        <v>1625</v>
      </c>
      <c r="N13" s="324" t="s">
        <v>1626</v>
      </c>
      <c r="O13" s="322" t="s">
        <v>1627</v>
      </c>
      <c r="P13" s="323" t="s">
        <v>1628</v>
      </c>
      <c r="Q13" s="322" t="s">
        <v>1629</v>
      </c>
      <c r="R13" s="323" t="s">
        <v>1630</v>
      </c>
      <c r="S13" s="325" t="s">
        <v>1631</v>
      </c>
      <c r="T13" s="323" t="s">
        <v>1632</v>
      </c>
      <c r="U13" s="322" t="s">
        <v>1633</v>
      </c>
      <c r="V13" s="324" t="s">
        <v>1634</v>
      </c>
      <c r="W13" s="322" t="s">
        <v>1635</v>
      </c>
      <c r="X13" s="323" t="s">
        <v>1636</v>
      </c>
      <c r="Y13" s="322" t="s">
        <v>1637</v>
      </c>
      <c r="Z13" s="323" t="s">
        <v>1638</v>
      </c>
      <c r="AA13" s="322" t="s">
        <v>1639</v>
      </c>
      <c r="AB13" s="323" t="s">
        <v>1640</v>
      </c>
      <c r="AC13" s="322" t="s">
        <v>1641</v>
      </c>
      <c r="AD13" s="336" t="s">
        <v>1642</v>
      </c>
      <c r="AE13" s="958" t="s">
        <v>1643</v>
      </c>
      <c r="AF13" s="323" t="s">
        <v>1644</v>
      </c>
      <c r="AG13" s="322" t="s">
        <v>1645</v>
      </c>
      <c r="AH13" s="323" t="s">
        <v>1646</v>
      </c>
      <c r="AI13" s="326" t="s">
        <v>1647</v>
      </c>
      <c r="AJ13" s="375" t="s">
        <v>1648</v>
      </c>
      <c r="AK13" s="325" t="s">
        <v>1649</v>
      </c>
      <c r="AL13" s="323" t="s">
        <v>1650</v>
      </c>
      <c r="AM13" s="108" t="str">
        <f>($DH13&amp;DI13&amp;DJ13&amp;DK13)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13" s="606"/>
      <c r="AO13" s="606"/>
      <c r="AP13" s="606"/>
      <c r="AQ13" s="606"/>
      <c r="AR13" s="606"/>
      <c r="AS13" s="606"/>
      <c r="AT13" s="606"/>
      <c r="AU13" s="606"/>
      <c r="AV13" s="606"/>
      <c r="AW13" s="606"/>
      <c r="BG13" s="108"/>
      <c r="BH13" s="108"/>
      <c r="BI13" s="108"/>
      <c r="BJ13" s="108"/>
      <c r="BK13" s="108"/>
      <c r="BL13" s="108"/>
      <c r="BM13" s="108"/>
      <c r="BN13" s="108"/>
      <c r="BO13" s="108"/>
      <c r="BS13" s="606"/>
      <c r="BT13" s="606"/>
      <c r="CL13" s="34"/>
      <c r="DC13" s="34"/>
      <c r="DH13" s="191" t="str">
        <f>IF(AND(E13&gt;0,OR(AI13=""))," * No olvide digitar la variable Pueblos Originarios Hombres (Digite Cero si no tiene).",IF(AI13&gt;E13," * La variable Pueblos Originarios Hombres no puede ser Mayor al Total Hombres.",""))</f>
        <v xml:space="preserve"> * La variable Pueblos Originarios Hombres no puede ser Mayor al Total Hombres.</v>
      </c>
      <c r="DI13" s="191" t="str">
        <f>IF(AND(F13&gt;0,OR(AJ13=""))," * No olvide digitar la variable Pueblos Originarios Mujeres (Digite Cero si no tiene).",IF(AJ13&gt;F13," * La variable Pueblos Originarios Mujeres no puede ser Mayor al Total Mujeres.",""))</f>
        <v xml:space="preserve"> * La variable Pueblos Originarios Mujeres no puede ser Mayor al Total Mujeres.</v>
      </c>
      <c r="DJ13" s="191" t="str">
        <f>IF(AND(E13&gt;0,OR(AK13=""))," * No olvide digitar la variable Migrantes Hombres (Digite Cero si no tiene).",IF(AK13&gt;E13," * La variable Migrantes Hombres no puede ser Mayor al Total.",""))</f>
        <v xml:space="preserve"> * La variable Migrantes Hombres no puede ser Mayor al Total.</v>
      </c>
      <c r="DK13" s="191" t="str">
        <f>IF(AND(F13&gt;0,OR(AL13=""))," * No olvide digitar la variable Migrantes Mujeres (Digite Cero si no tiene).",IF(AL13&gt;F13," * La variable Migrantes Mujeres no puede ser Mayor al Total.",""))</f>
        <v xml:space="preserve"> * La variable Migrantes Mujeres no puede ser Mayor al Total.</v>
      </c>
      <c r="ES13" s="1047">
        <f>IF(AND(E13&gt;0,OR(AI13="")),1,IF(AI13&gt;E13,1,0))</f>
        <v>1</v>
      </c>
      <c r="ET13" s="1047">
        <f>IF(AND(F13&gt;0,OR(AJ13="")),1,IF(AJ13&gt;F13,1,0))</f>
        <v>1</v>
      </c>
      <c r="EU13" s="1047">
        <f>IF(AND(E13&gt;0,OR(AK13="")),1,IF(AK13&gt;E13,1,0))</f>
        <v>1</v>
      </c>
      <c r="EV13" s="1047">
        <f>IF(AND(F13&gt;0,OR(AL13="")),1,IF(AL13&gt;F13,1,0))</f>
        <v>1</v>
      </c>
    </row>
    <row r="14" spans="1:152" ht="15" customHeight="1" x14ac:dyDescent="0.25">
      <c r="A14" s="1585" t="s">
        <v>1020</v>
      </c>
      <c r="B14" s="1863"/>
      <c r="C14" s="62" t="s">
        <v>231</v>
      </c>
      <c r="D14" s="327" t="s">
        <v>1616</v>
      </c>
      <c r="E14" s="362" t="s">
        <v>1617</v>
      </c>
      <c r="F14" s="371" t="s">
        <v>1618</v>
      </c>
      <c r="G14" s="328" t="s">
        <v>1619</v>
      </c>
      <c r="H14" s="705" t="s">
        <v>1620</v>
      </c>
      <c r="I14" s="328" t="s">
        <v>1621</v>
      </c>
      <c r="J14" s="329" t="s">
        <v>1622</v>
      </c>
      <c r="K14" s="328" t="s">
        <v>1623</v>
      </c>
      <c r="L14" s="329" t="s">
        <v>1624</v>
      </c>
      <c r="M14" s="328" t="s">
        <v>1625</v>
      </c>
      <c r="N14" s="330" t="s">
        <v>1626</v>
      </c>
      <c r="O14" s="328" t="s">
        <v>1627</v>
      </c>
      <c r="P14" s="329" t="s">
        <v>1628</v>
      </c>
      <c r="Q14" s="328" t="s">
        <v>1629</v>
      </c>
      <c r="R14" s="329" t="s">
        <v>1630</v>
      </c>
      <c r="S14" s="331" t="s">
        <v>1631</v>
      </c>
      <c r="T14" s="329" t="s">
        <v>1632</v>
      </c>
      <c r="U14" s="328" t="s">
        <v>1633</v>
      </c>
      <c r="V14" s="330" t="s">
        <v>1634</v>
      </c>
      <c r="W14" s="328" t="s">
        <v>1635</v>
      </c>
      <c r="X14" s="329" t="s">
        <v>1636</v>
      </c>
      <c r="Y14" s="328" t="s">
        <v>1637</v>
      </c>
      <c r="Z14" s="329" t="s">
        <v>1638</v>
      </c>
      <c r="AA14" s="328" t="s">
        <v>1639</v>
      </c>
      <c r="AB14" s="329" t="s">
        <v>1640</v>
      </c>
      <c r="AC14" s="328" t="s">
        <v>1641</v>
      </c>
      <c r="AD14" s="337" t="s">
        <v>1642</v>
      </c>
      <c r="AE14" s="959" t="s">
        <v>1643</v>
      </c>
      <c r="AF14" s="329" t="s">
        <v>1644</v>
      </c>
      <c r="AG14" s="328" t="s">
        <v>1645</v>
      </c>
      <c r="AH14" s="329" t="s">
        <v>1646</v>
      </c>
      <c r="AI14" s="332" t="s">
        <v>1647</v>
      </c>
      <c r="AJ14" s="379" t="s">
        <v>1648</v>
      </c>
      <c r="AK14" s="331" t="s">
        <v>1649</v>
      </c>
      <c r="AL14" s="329" t="s">
        <v>1650</v>
      </c>
      <c r="AM14" s="108" t="str">
        <f>($DH14&amp;DI14&amp;DJ14&amp;DK14)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14" s="606"/>
      <c r="AO14" s="606"/>
      <c r="AP14" s="606"/>
      <c r="AQ14" s="606"/>
      <c r="AR14" s="606"/>
      <c r="AS14" s="606"/>
      <c r="AT14" s="606"/>
      <c r="AU14" s="606"/>
      <c r="AV14" s="606"/>
      <c r="AW14" s="606"/>
      <c r="BG14" s="108"/>
      <c r="BH14" s="108"/>
      <c r="BI14" s="108"/>
      <c r="BJ14" s="108"/>
      <c r="BK14" s="108"/>
      <c r="BL14" s="108"/>
      <c r="BM14" s="108"/>
      <c r="BN14" s="108"/>
      <c r="BO14" s="108"/>
      <c r="BS14" s="606"/>
      <c r="BT14" s="606"/>
      <c r="CL14" s="34"/>
      <c r="DC14" s="34"/>
      <c r="DH14" s="191" t="str">
        <f>IF(AND(E14&gt;0,OR(AI14=""))," * No olvide digitar la variable Pueblos Originarios Hombres (Digite Cero si no tiene).",IF(AI14&gt;E14," * La variable Pueblos Originarios Hombres no puede ser Mayor al Total Hombres.",""))</f>
        <v xml:space="preserve"> * La variable Pueblos Originarios Hombres no puede ser Mayor al Total Hombres.</v>
      </c>
      <c r="DI14" s="191" t="str">
        <f>IF(AND(F14&gt;0,OR(AJ14=""))," * No olvide digitar la variable Pueblos Originarios Mujeres (Digite Cero si no tiene).",IF(AJ14&gt;F14," * La variable Pueblos Originarios Mujeres no puede ser Mayor al Total Mujeres.",""))</f>
        <v xml:space="preserve"> * La variable Pueblos Originarios Mujeres no puede ser Mayor al Total Mujeres.</v>
      </c>
      <c r="DJ14" s="191" t="str">
        <f>IF(AND(E14&gt;0,OR(AK14=""))," * No olvide digitar la variable Migrantes Hombres (Digite Cero si no tiene).",IF(AK14&gt;E14," * La variable Migrantes Hombres no puede ser Mayor al Total.",""))</f>
        <v xml:space="preserve"> * La variable Migrantes Hombres no puede ser Mayor al Total.</v>
      </c>
      <c r="DK14" s="191" t="str">
        <f>IF(AND(F14&gt;0,OR(AL14=""))," * No olvide digitar la variable Migrantes Mujeres (Digite Cero si no tiene).",IF(AL14&gt;F14," * La variable Migrantes Mujeres no puede ser Mayor al Total.",""))</f>
        <v xml:space="preserve"> * La variable Migrantes Mujeres no puede ser Mayor al Total.</v>
      </c>
      <c r="ES14" s="1047">
        <f>IF(AND(E14&gt;0,OR(AI14="")),1,IF(AI14&gt;E14,1,0))</f>
        <v>1</v>
      </c>
      <c r="ET14" s="1047">
        <f>IF(AND(F14&gt;0,OR(AJ14="")),1,IF(AJ14&gt;F14,1,0))</f>
        <v>1</v>
      </c>
      <c r="EU14" s="1047">
        <f>IF(AND(E14&gt;0,OR(AK14="")),1,IF(AK14&gt;E14,1,0))</f>
        <v>1</v>
      </c>
      <c r="EV14" s="1047">
        <f>IF(AND(F14&gt;0,OR(AL14="")),1,IF(AL14&gt;F14,1,0))</f>
        <v>1</v>
      </c>
    </row>
    <row r="15" spans="1:152" ht="15" customHeight="1" x14ac:dyDescent="0.25">
      <c r="A15" s="1586"/>
      <c r="B15" s="1863"/>
      <c r="C15" s="1443" t="s">
        <v>89</v>
      </c>
      <c r="D15" s="1444">
        <f t="shared" ref="D15:D39" si="1">SUM(E15:F15)</f>
        <v>0</v>
      </c>
      <c r="E15" s="362">
        <f t="shared" ref="E15:E30" si="2">+G15+I15+K15+M15+O15+Q15+S15+U15+W15+Y15+AA15+AC15+AE15+AG15</f>
        <v>0</v>
      </c>
      <c r="F15" s="371">
        <f t="shared" ref="F15:F30" si="3">+H15+J15+L15+N15+P15+R15+T15+V15+X15+Z15+AB15+AD15+AF15+AH15</f>
        <v>0</v>
      </c>
      <c r="G15" s="1234">
        <f>+SUM(G13:G14)</f>
        <v>0</v>
      </c>
      <c r="H15" s="1445">
        <f>+SUM(H13:H14)</f>
        <v>0</v>
      </c>
      <c r="I15" s="1234">
        <f>+SUM(I13:I14)</f>
        <v>0</v>
      </c>
      <c r="J15" s="940">
        <f t="shared" ref="J15:U15" si="4">+SUM(J13:J14)</f>
        <v>0</v>
      </c>
      <c r="K15" s="1234">
        <f t="shared" si="4"/>
        <v>0</v>
      </c>
      <c r="L15" s="940">
        <f t="shared" si="4"/>
        <v>0</v>
      </c>
      <c r="M15" s="1234">
        <f t="shared" si="4"/>
        <v>0</v>
      </c>
      <c r="N15" s="334">
        <f t="shared" si="4"/>
        <v>0</v>
      </c>
      <c r="O15" s="1234">
        <f t="shared" si="4"/>
        <v>0</v>
      </c>
      <c r="P15" s="940">
        <f t="shared" si="4"/>
        <v>0</v>
      </c>
      <c r="Q15" s="1234">
        <f t="shared" si="4"/>
        <v>0</v>
      </c>
      <c r="R15" s="940">
        <f t="shared" si="4"/>
        <v>0</v>
      </c>
      <c r="S15" s="1445">
        <f t="shared" si="4"/>
        <v>0</v>
      </c>
      <c r="T15" s="940">
        <f t="shared" si="4"/>
        <v>0</v>
      </c>
      <c r="U15" s="1234">
        <f t="shared" si="4"/>
        <v>0</v>
      </c>
      <c r="V15" s="334">
        <f>+SUM(V13:V14)</f>
        <v>0</v>
      </c>
      <c r="W15" s="1234">
        <f>SUM(W13:W14)</f>
        <v>0</v>
      </c>
      <c r="X15" s="940">
        <f t="shared" ref="X15:AH15" si="5">SUM(X13:X14)</f>
        <v>0</v>
      </c>
      <c r="Y15" s="1234">
        <f>SUM(Y13:Y14)</f>
        <v>0</v>
      </c>
      <c r="Z15" s="940">
        <f t="shared" si="5"/>
        <v>0</v>
      </c>
      <c r="AA15" s="1234">
        <f t="shared" si="5"/>
        <v>0</v>
      </c>
      <c r="AB15" s="940">
        <f t="shared" si="5"/>
        <v>0</v>
      </c>
      <c r="AC15" s="1445">
        <f t="shared" si="5"/>
        <v>0</v>
      </c>
      <c r="AD15" s="334">
        <f t="shared" si="5"/>
        <v>0</v>
      </c>
      <c r="AE15" s="1446">
        <f t="shared" si="5"/>
        <v>0</v>
      </c>
      <c r="AF15" s="940">
        <f t="shared" si="5"/>
        <v>0</v>
      </c>
      <c r="AG15" s="1234">
        <f>SUM(AG13:AG14)</f>
        <v>0</v>
      </c>
      <c r="AH15" s="940">
        <f t="shared" si="5"/>
        <v>0</v>
      </c>
      <c r="AI15" s="335">
        <f>+SUM(AI13:AI14)</f>
        <v>0</v>
      </c>
      <c r="AJ15" s="1211">
        <f>+SUM(AJ13:AJ14)</f>
        <v>0</v>
      </c>
      <c r="AK15" s="1445">
        <f>+SUM(AK13:AK14)</f>
        <v>0</v>
      </c>
      <c r="AL15" s="940">
        <f>+SUM(AL13:AL14)</f>
        <v>0</v>
      </c>
      <c r="AM15" s="108"/>
      <c r="AN15" s="606"/>
      <c r="AO15" s="606"/>
      <c r="AP15" s="606"/>
      <c r="AQ15" s="606"/>
      <c r="AR15" s="606"/>
      <c r="AS15" s="606"/>
      <c r="AT15" s="606"/>
      <c r="AU15" s="606"/>
      <c r="AV15" s="606"/>
      <c r="AW15" s="606"/>
      <c r="BG15" s="108"/>
      <c r="BH15" s="108"/>
      <c r="BI15" s="108"/>
      <c r="BJ15" s="108"/>
      <c r="BK15" s="108"/>
      <c r="BL15" s="108"/>
      <c r="BM15" s="108"/>
      <c r="BN15" s="108"/>
      <c r="BO15" s="108"/>
      <c r="BS15" s="606"/>
      <c r="BT15" s="606"/>
      <c r="CL15" s="34"/>
      <c r="DC15" s="34"/>
      <c r="DH15" s="34"/>
      <c r="DI15" s="34"/>
      <c r="DJ15" s="34"/>
      <c r="DK15" s="34"/>
      <c r="ES15" s="191"/>
      <c r="ET15" s="191"/>
      <c r="EU15" s="191"/>
      <c r="EV15" s="191"/>
    </row>
    <row r="16" spans="1:152" ht="15" customHeight="1" x14ac:dyDescent="0.25">
      <c r="A16" s="1585" t="s">
        <v>1021</v>
      </c>
      <c r="B16" s="1863"/>
      <c r="C16" s="64" t="s">
        <v>232</v>
      </c>
      <c r="D16" s="321" t="s">
        <v>1616</v>
      </c>
      <c r="E16" s="760" t="s">
        <v>1617</v>
      </c>
      <c r="F16" s="364" t="s">
        <v>1618</v>
      </c>
      <c r="G16" s="322" t="s">
        <v>1619</v>
      </c>
      <c r="H16" s="700" t="s">
        <v>1620</v>
      </c>
      <c r="I16" s="322" t="s">
        <v>1621</v>
      </c>
      <c r="J16" s="325" t="s">
        <v>1622</v>
      </c>
      <c r="K16" s="322" t="s">
        <v>1623</v>
      </c>
      <c r="L16" s="325" t="s">
        <v>1624</v>
      </c>
      <c r="M16" s="322" t="s">
        <v>1625</v>
      </c>
      <c r="N16" s="324" t="s">
        <v>1626</v>
      </c>
      <c r="O16" s="322" t="s">
        <v>1627</v>
      </c>
      <c r="P16" s="323" t="s">
        <v>1628</v>
      </c>
      <c r="Q16" s="322" t="s">
        <v>1629</v>
      </c>
      <c r="R16" s="323" t="s">
        <v>1630</v>
      </c>
      <c r="S16" s="325" t="s">
        <v>1631</v>
      </c>
      <c r="T16" s="325" t="s">
        <v>1632</v>
      </c>
      <c r="U16" s="322" t="s">
        <v>1633</v>
      </c>
      <c r="V16" s="336" t="s">
        <v>1634</v>
      </c>
      <c r="W16" s="322" t="s">
        <v>1635</v>
      </c>
      <c r="X16" s="323" t="s">
        <v>1636</v>
      </c>
      <c r="Y16" s="322" t="s">
        <v>1637</v>
      </c>
      <c r="Z16" s="323" t="s">
        <v>1638</v>
      </c>
      <c r="AA16" s="322" t="s">
        <v>1639</v>
      </c>
      <c r="AB16" s="323" t="s">
        <v>1640</v>
      </c>
      <c r="AC16" s="325" t="s">
        <v>1641</v>
      </c>
      <c r="AD16" s="336" t="s">
        <v>1642</v>
      </c>
      <c r="AE16" s="958" t="s">
        <v>1643</v>
      </c>
      <c r="AF16" s="323" t="s">
        <v>1644</v>
      </c>
      <c r="AG16" s="322" t="s">
        <v>1645</v>
      </c>
      <c r="AH16" s="323" t="s">
        <v>1646</v>
      </c>
      <c r="AI16" s="326" t="s">
        <v>1647</v>
      </c>
      <c r="AJ16" s="375" t="s">
        <v>1648</v>
      </c>
      <c r="AK16" s="325" t="s">
        <v>1649</v>
      </c>
      <c r="AL16" s="323" t="s">
        <v>1650</v>
      </c>
      <c r="AM16" s="108" t="str">
        <f>($DH16&amp;DI16&amp;DJ16&amp;DK16)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16" s="606"/>
      <c r="AO16" s="606"/>
      <c r="AP16" s="606"/>
      <c r="AQ16" s="606"/>
      <c r="AR16" s="606"/>
      <c r="AS16" s="606"/>
      <c r="AT16" s="606"/>
      <c r="AU16" s="606"/>
      <c r="AV16" s="606"/>
      <c r="AW16" s="606"/>
      <c r="BG16" s="108"/>
      <c r="BH16" s="108"/>
      <c r="BI16" s="108"/>
      <c r="BJ16" s="108"/>
      <c r="BK16" s="108"/>
      <c r="BL16" s="108"/>
      <c r="BM16" s="108"/>
      <c r="BN16" s="108"/>
      <c r="BO16" s="108"/>
      <c r="BS16" s="606"/>
      <c r="BT16" s="606"/>
      <c r="CL16" s="34"/>
      <c r="DC16" s="34"/>
      <c r="DH16" s="191" t="str">
        <f>IF(AND(E16&gt;0,OR(AI16=""))," * No olvide digitar la variable Pueblos Originarios Hombres (Digite Cero si no tiene).",IF(AI16&gt;E16," * La variable Pueblos Originarios Hombres no puede ser Mayor al Total Hombres.",""))</f>
        <v xml:space="preserve"> * La variable Pueblos Originarios Hombres no puede ser Mayor al Total Hombres.</v>
      </c>
      <c r="DI16" s="191" t="str">
        <f>IF(AND(F16&gt;0,OR(AJ16=""))," * No olvide digitar la variable Pueblos Originarios Mujeres (Digite Cero si no tiene).",IF(AJ16&gt;F16," * La variable Pueblos Originarios Mujeres no puede ser Mayor al Total Mujeres.",""))</f>
        <v xml:space="preserve"> * La variable Pueblos Originarios Mujeres no puede ser Mayor al Total Mujeres.</v>
      </c>
      <c r="DJ16" s="191" t="str">
        <f>IF(AND(E16&gt;0,OR(AK16=""))," * No olvide digitar la variable Migrantes Hombres (Digite Cero si no tiene).",IF(AK16&gt;E16," * La variable Migrantes Hombres no puede ser Mayor al Total.",""))</f>
        <v xml:space="preserve"> * La variable Migrantes Hombres no puede ser Mayor al Total.</v>
      </c>
      <c r="DK16" s="191" t="str">
        <f>IF(AND(F16&gt;0,OR(AL16=""))," * No olvide digitar la variable Migrantes Mujeres (Digite Cero si no tiene).",IF(AL16&gt;F16," * La variable Migrantes Mujeres no puede ser Mayor al Total.",""))</f>
        <v xml:space="preserve"> * La variable Migrantes Mujeres no puede ser Mayor al Total.</v>
      </c>
      <c r="ES16" s="1047">
        <f>IF(AND(E16&gt;0,OR(AI16="")),1,IF(AI16&gt;E16,1,0))</f>
        <v>1</v>
      </c>
      <c r="ET16" s="1047">
        <f>IF(AND(F16&gt;0,OR(AJ16="")),1,IF(AJ16&gt;F16,1,0))</f>
        <v>1</v>
      </c>
      <c r="EU16" s="1047">
        <f>IF(AND(E16&gt;0,OR(AK16="")),1,IF(AK16&gt;E16,1,0))</f>
        <v>1</v>
      </c>
      <c r="EV16" s="1047">
        <f>IF(AND(F16&gt;0,OR(AL16="")),1,IF(AL16&gt;F16,1,0))</f>
        <v>1</v>
      </c>
    </row>
    <row r="17" spans="1:152" ht="15" customHeight="1" x14ac:dyDescent="0.25">
      <c r="A17" s="1585" t="s">
        <v>1022</v>
      </c>
      <c r="B17" s="1863"/>
      <c r="C17" s="62" t="s">
        <v>233</v>
      </c>
      <c r="D17" s="1373" t="s">
        <v>1616</v>
      </c>
      <c r="E17" s="362" t="s">
        <v>1617</v>
      </c>
      <c r="F17" s="371" t="s">
        <v>1618</v>
      </c>
      <c r="G17" s="328" t="s">
        <v>1619</v>
      </c>
      <c r="H17" s="705" t="s">
        <v>1620</v>
      </c>
      <c r="I17" s="328" t="s">
        <v>1621</v>
      </c>
      <c r="J17" s="331" t="s">
        <v>1622</v>
      </c>
      <c r="K17" s="328" t="s">
        <v>1623</v>
      </c>
      <c r="L17" s="331" t="s">
        <v>1624</v>
      </c>
      <c r="M17" s="328" t="s">
        <v>1625</v>
      </c>
      <c r="N17" s="330" t="s">
        <v>1626</v>
      </c>
      <c r="O17" s="328" t="s">
        <v>1627</v>
      </c>
      <c r="P17" s="329" t="s">
        <v>1628</v>
      </c>
      <c r="Q17" s="328" t="s">
        <v>1629</v>
      </c>
      <c r="R17" s="329" t="s">
        <v>1630</v>
      </c>
      <c r="S17" s="331" t="s">
        <v>1631</v>
      </c>
      <c r="T17" s="331" t="s">
        <v>1632</v>
      </c>
      <c r="U17" s="328" t="s">
        <v>1633</v>
      </c>
      <c r="V17" s="337" t="s">
        <v>1634</v>
      </c>
      <c r="W17" s="328" t="s">
        <v>1635</v>
      </c>
      <c r="X17" s="329" t="s">
        <v>1636</v>
      </c>
      <c r="Y17" s="328" t="s">
        <v>1637</v>
      </c>
      <c r="Z17" s="329" t="s">
        <v>1638</v>
      </c>
      <c r="AA17" s="328" t="s">
        <v>1639</v>
      </c>
      <c r="AB17" s="329" t="s">
        <v>1640</v>
      </c>
      <c r="AC17" s="331" t="s">
        <v>1641</v>
      </c>
      <c r="AD17" s="337" t="s">
        <v>1642</v>
      </c>
      <c r="AE17" s="959" t="s">
        <v>1643</v>
      </c>
      <c r="AF17" s="329" t="s">
        <v>1644</v>
      </c>
      <c r="AG17" s="328" t="s">
        <v>1645</v>
      </c>
      <c r="AH17" s="329" t="s">
        <v>1646</v>
      </c>
      <c r="AI17" s="332" t="s">
        <v>1647</v>
      </c>
      <c r="AJ17" s="379" t="s">
        <v>1648</v>
      </c>
      <c r="AK17" s="331" t="s">
        <v>1649</v>
      </c>
      <c r="AL17" s="329" t="s">
        <v>1650</v>
      </c>
      <c r="AM17" s="108" t="str">
        <f>($DH17&amp;DI17&amp;DJ17&amp;DK17)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17" s="606"/>
      <c r="AO17" s="606"/>
      <c r="AP17" s="606"/>
      <c r="AQ17" s="606"/>
      <c r="AR17" s="606"/>
      <c r="AS17" s="606"/>
      <c r="AT17" s="606"/>
      <c r="AU17" s="606"/>
      <c r="AV17" s="606"/>
      <c r="AW17" s="606"/>
      <c r="BG17" s="108"/>
      <c r="BH17" s="108"/>
      <c r="BI17" s="108"/>
      <c r="BJ17" s="108"/>
      <c r="BK17" s="108"/>
      <c r="BL17" s="108"/>
      <c r="BM17" s="108"/>
      <c r="BN17" s="108"/>
      <c r="BO17" s="108"/>
      <c r="BS17" s="606"/>
      <c r="BT17" s="606"/>
      <c r="CL17" s="34"/>
      <c r="DC17" s="34"/>
      <c r="DH17" s="191" t="str">
        <f>IF(AND(E17&gt;0,OR(AI17=""))," * No olvide digitar la variable Pueblos Originarios Hombres (Digite Cero si no tiene).",IF(AI17&gt;E17," * La variable Pueblos Originarios Hombres no puede ser Mayor al Total Hombres.",""))</f>
        <v xml:space="preserve"> * La variable Pueblos Originarios Hombres no puede ser Mayor al Total Hombres.</v>
      </c>
      <c r="DI17" s="191" t="str">
        <f>IF(AND(F17&gt;0,OR(AJ17=""))," * No olvide digitar la variable Pueblos Originarios Mujeres (Digite Cero si no tiene).",IF(AJ17&gt;F17," * La variable Pueblos Originarios Mujeres no puede ser Mayor al Total Mujeres.",""))</f>
        <v xml:space="preserve"> * La variable Pueblos Originarios Mujeres no puede ser Mayor al Total Mujeres.</v>
      </c>
      <c r="DJ17" s="191" t="str">
        <f>IF(AND(E17&gt;0,OR(AK17=""))," * No olvide digitar la variable Migrantes Hombres (Digite Cero si no tiene).",IF(AK17&gt;E17," * La variable Migrantes Hombres no puede ser Mayor al Total.",""))</f>
        <v xml:space="preserve"> * La variable Migrantes Hombres no puede ser Mayor al Total.</v>
      </c>
      <c r="DK17" s="191" t="str">
        <f>IF(AND(F17&gt;0,OR(AL17=""))," * No olvide digitar la variable Migrantes Mujeres (Digite Cero si no tiene).",IF(AL17&gt;F17," * La variable Migrantes Mujeres no puede ser Mayor al Total.",""))</f>
        <v xml:space="preserve"> * La variable Migrantes Mujeres no puede ser Mayor al Total.</v>
      </c>
      <c r="ES17" s="1047">
        <f>IF(AND(E17&gt;0,OR(AI17="")),1,IF(AI17&gt;E17,1,0))</f>
        <v>1</v>
      </c>
      <c r="ET17" s="1047">
        <f>IF(AND(F17&gt;0,OR(AJ17="")),1,IF(AJ17&gt;F17,1,0))</f>
        <v>1</v>
      </c>
      <c r="EU17" s="1047">
        <f>IF(AND(E17&gt;0,OR(AK17="")),1,IF(AK17&gt;E17,1,0))</f>
        <v>1</v>
      </c>
      <c r="EV17" s="1047">
        <f>IF(AND(F17&gt;0,OR(AL17="")),1,IF(AL17&gt;F17,1,0))</f>
        <v>1</v>
      </c>
    </row>
    <row r="18" spans="1:152" ht="15" customHeight="1" x14ac:dyDescent="0.25">
      <c r="A18" s="1587"/>
      <c r="B18" s="1864"/>
      <c r="C18" s="1443" t="s">
        <v>89</v>
      </c>
      <c r="D18" s="1444">
        <f t="shared" si="1"/>
        <v>0</v>
      </c>
      <c r="E18" s="362">
        <f t="shared" si="2"/>
        <v>0</v>
      </c>
      <c r="F18" s="371">
        <f t="shared" si="3"/>
        <v>0</v>
      </c>
      <c r="G18" s="1234">
        <f t="shared" ref="G18:H18" si="6">+SUM(G16:G17)</f>
        <v>0</v>
      </c>
      <c r="H18" s="1445">
        <f t="shared" si="6"/>
        <v>0</v>
      </c>
      <c r="I18" s="1234">
        <f>SUM(I16:I17)</f>
        <v>0</v>
      </c>
      <c r="J18" s="940">
        <f t="shared" ref="J18:V18" si="7">SUM(J16:J17)</f>
        <v>0</v>
      </c>
      <c r="K18" s="1234">
        <f t="shared" si="7"/>
        <v>0</v>
      </c>
      <c r="L18" s="940">
        <f t="shared" si="7"/>
        <v>0</v>
      </c>
      <c r="M18" s="1234">
        <f t="shared" si="7"/>
        <v>0</v>
      </c>
      <c r="N18" s="334">
        <f t="shared" si="7"/>
        <v>0</v>
      </c>
      <c r="O18" s="1234">
        <f t="shared" si="7"/>
        <v>0</v>
      </c>
      <c r="P18" s="940">
        <f t="shared" si="7"/>
        <v>0</v>
      </c>
      <c r="Q18" s="1234">
        <f t="shared" si="7"/>
        <v>0</v>
      </c>
      <c r="R18" s="940">
        <f t="shared" si="7"/>
        <v>0</v>
      </c>
      <c r="S18" s="1445">
        <f t="shared" si="7"/>
        <v>0</v>
      </c>
      <c r="T18" s="940">
        <f t="shared" si="7"/>
        <v>0</v>
      </c>
      <c r="U18" s="1234">
        <f t="shared" si="7"/>
        <v>0</v>
      </c>
      <c r="V18" s="334">
        <f t="shared" si="7"/>
        <v>0</v>
      </c>
      <c r="W18" s="1234">
        <f>SUM(W16:W17)</f>
        <v>0</v>
      </c>
      <c r="X18" s="940">
        <f t="shared" ref="X18:AH18" si="8">SUM(X16:X17)</f>
        <v>0</v>
      </c>
      <c r="Y18" s="1234">
        <f t="shared" si="8"/>
        <v>0</v>
      </c>
      <c r="Z18" s="940">
        <f t="shared" si="8"/>
        <v>0</v>
      </c>
      <c r="AA18" s="1234">
        <f t="shared" si="8"/>
        <v>0</v>
      </c>
      <c r="AB18" s="940">
        <f t="shared" si="8"/>
        <v>0</v>
      </c>
      <c r="AC18" s="1445">
        <f t="shared" si="8"/>
        <v>0</v>
      </c>
      <c r="AD18" s="334">
        <f t="shared" si="8"/>
        <v>0</v>
      </c>
      <c r="AE18" s="1446">
        <f t="shared" si="8"/>
        <v>0</v>
      </c>
      <c r="AF18" s="940">
        <f t="shared" si="8"/>
        <v>0</v>
      </c>
      <c r="AG18" s="1234">
        <f t="shared" si="8"/>
        <v>0</v>
      </c>
      <c r="AH18" s="940">
        <f t="shared" si="8"/>
        <v>0</v>
      </c>
      <c r="AI18" s="335">
        <f>SUM(AI16:AI17)</f>
        <v>0</v>
      </c>
      <c r="AJ18" s="1211">
        <f>SUM(AJ16:AJ17)</f>
        <v>0</v>
      </c>
      <c r="AK18" s="1445">
        <f>SUM(AK16:AK17)</f>
        <v>0</v>
      </c>
      <c r="AL18" s="940">
        <f>SUM(AL16:AL17)</f>
        <v>0</v>
      </c>
      <c r="AM18" s="108"/>
      <c r="AN18" s="606"/>
      <c r="AO18" s="606"/>
      <c r="AP18" s="606"/>
      <c r="AQ18" s="606"/>
      <c r="AR18" s="606"/>
      <c r="AS18" s="606"/>
      <c r="AT18" s="606"/>
      <c r="AU18" s="606"/>
      <c r="AV18" s="606"/>
      <c r="AW18" s="606"/>
      <c r="BG18" s="108"/>
      <c r="BH18" s="108"/>
      <c r="BI18" s="108"/>
      <c r="BJ18" s="108"/>
      <c r="BK18" s="108"/>
      <c r="BL18" s="108"/>
      <c r="BM18" s="108"/>
      <c r="BN18" s="108"/>
      <c r="BO18" s="108"/>
      <c r="BS18" s="606"/>
      <c r="BT18" s="606"/>
      <c r="CL18" s="34"/>
      <c r="DC18" s="34"/>
      <c r="DH18" s="34"/>
      <c r="DI18" s="34"/>
      <c r="DJ18" s="34"/>
      <c r="DK18" s="34"/>
      <c r="ES18" s="191"/>
      <c r="ET18" s="191"/>
      <c r="EU18" s="191"/>
      <c r="EV18" s="191"/>
    </row>
    <row r="19" spans="1:152" ht="15" customHeight="1" x14ac:dyDescent="0.25">
      <c r="A19" s="1585" t="s">
        <v>1023</v>
      </c>
      <c r="B19" s="1862" t="s">
        <v>234</v>
      </c>
      <c r="C19" s="64" t="s">
        <v>230</v>
      </c>
      <c r="D19" s="338" t="s">
        <v>1616</v>
      </c>
      <c r="E19" s="760" t="s">
        <v>1617</v>
      </c>
      <c r="F19" s="364" t="s">
        <v>1618</v>
      </c>
      <c r="G19" s="322" t="s">
        <v>1619</v>
      </c>
      <c r="H19" s="700" t="s">
        <v>1620</v>
      </c>
      <c r="I19" s="322" t="s">
        <v>1621</v>
      </c>
      <c r="J19" s="325" t="s">
        <v>1622</v>
      </c>
      <c r="K19" s="322" t="s">
        <v>1623</v>
      </c>
      <c r="L19" s="325" t="s">
        <v>1624</v>
      </c>
      <c r="M19" s="322" t="s">
        <v>1625</v>
      </c>
      <c r="N19" s="324" t="s">
        <v>1626</v>
      </c>
      <c r="O19" s="322" t="s">
        <v>1627</v>
      </c>
      <c r="P19" s="323" t="s">
        <v>1628</v>
      </c>
      <c r="Q19" s="322" t="s">
        <v>1629</v>
      </c>
      <c r="R19" s="323" t="s">
        <v>1630</v>
      </c>
      <c r="S19" s="325" t="s">
        <v>1631</v>
      </c>
      <c r="T19" s="325" t="s">
        <v>1632</v>
      </c>
      <c r="U19" s="322" t="s">
        <v>1633</v>
      </c>
      <c r="V19" s="336" t="s">
        <v>1634</v>
      </c>
      <c r="W19" s="322" t="s">
        <v>1635</v>
      </c>
      <c r="X19" s="323" t="s">
        <v>1636</v>
      </c>
      <c r="Y19" s="322" t="s">
        <v>1637</v>
      </c>
      <c r="Z19" s="323" t="s">
        <v>1638</v>
      </c>
      <c r="AA19" s="322" t="s">
        <v>1639</v>
      </c>
      <c r="AB19" s="323" t="s">
        <v>1640</v>
      </c>
      <c r="AC19" s="325" t="s">
        <v>1641</v>
      </c>
      <c r="AD19" s="336" t="s">
        <v>1642</v>
      </c>
      <c r="AE19" s="958" t="s">
        <v>1643</v>
      </c>
      <c r="AF19" s="323" t="s">
        <v>1644</v>
      </c>
      <c r="AG19" s="322" t="s">
        <v>1645</v>
      </c>
      <c r="AH19" s="323" t="s">
        <v>1646</v>
      </c>
      <c r="AI19" s="326" t="s">
        <v>1647</v>
      </c>
      <c r="AJ19" s="375" t="s">
        <v>1648</v>
      </c>
      <c r="AK19" s="325" t="s">
        <v>1649</v>
      </c>
      <c r="AL19" s="323" t="s">
        <v>1650</v>
      </c>
      <c r="AM19" s="108" t="str">
        <f>($DH19&amp;DI19&amp;DJ19&amp;DK19)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19" s="606"/>
      <c r="AO19" s="606"/>
      <c r="AP19" s="606"/>
      <c r="AQ19" s="606"/>
      <c r="AR19" s="606"/>
      <c r="AS19" s="606"/>
      <c r="AT19" s="606"/>
      <c r="AU19" s="606"/>
      <c r="AV19" s="606"/>
      <c r="AW19" s="606"/>
      <c r="BG19" s="108"/>
      <c r="BH19" s="108"/>
      <c r="BI19" s="108"/>
      <c r="BJ19" s="108"/>
      <c r="BK19" s="108"/>
      <c r="BL19" s="108"/>
      <c r="BM19" s="108"/>
      <c r="BN19" s="108"/>
      <c r="BO19" s="108"/>
      <c r="BS19" s="606"/>
      <c r="BT19" s="606"/>
      <c r="CL19" s="34"/>
      <c r="DC19" s="34"/>
      <c r="DH19" s="191" t="str">
        <f>IF(AND(E19&gt;0,OR(AI19=""))," * No olvide digitar la variable Pueblos Originarios Hombres (Digite Cero si no tiene).",IF(AI19&gt;E19," * La variable Pueblos Originarios Hombres no puede ser Mayor al Total Hombres.",""))</f>
        <v xml:space="preserve"> * La variable Pueblos Originarios Hombres no puede ser Mayor al Total Hombres.</v>
      </c>
      <c r="DI19" s="191" t="str">
        <f>IF(AND(F19&gt;0,OR(AJ19=""))," * No olvide digitar la variable Pueblos Originarios Mujeres (Digite Cero si no tiene).",IF(AJ19&gt;F19," * La variable Pueblos Originarios Mujeres no puede ser Mayor al Total Mujeres.",""))</f>
        <v xml:space="preserve"> * La variable Pueblos Originarios Mujeres no puede ser Mayor al Total Mujeres.</v>
      </c>
      <c r="DJ19" s="191" t="str">
        <f>IF(AND(E19&gt;0,OR(AK19=""))," * No olvide digitar la variable Migrantes Hombres (Digite Cero si no tiene).",IF(AK19&gt;E19," * La variable Migrantes Hombres no puede ser Mayor al Total.",""))</f>
        <v xml:space="preserve"> * La variable Migrantes Hombres no puede ser Mayor al Total.</v>
      </c>
      <c r="DK19" s="191" t="str">
        <f>IF(AND(F19&gt;0,OR(AL19=""))," * No olvide digitar la variable Migrantes Mujeres (Digite Cero si no tiene).",IF(AL19&gt;F19," * La variable Migrantes Mujeres no puede ser Mayor al Total.",""))</f>
        <v xml:space="preserve"> * La variable Migrantes Mujeres no puede ser Mayor al Total.</v>
      </c>
      <c r="ES19" s="1047">
        <f>IF(AND(E19&gt;0,OR(AI19="")),1,IF(AI19&gt;E19,1,0))</f>
        <v>1</v>
      </c>
      <c r="ET19" s="1047">
        <f>IF(AND(F19&gt;0,OR(AJ19="")),1,IF(AJ19&gt;F19,1,0))</f>
        <v>1</v>
      </c>
      <c r="EU19" s="1047">
        <f>IF(AND(E19&gt;0,OR(AK19="")),1,IF(AK19&gt;E19,1,0))</f>
        <v>1</v>
      </c>
      <c r="EV19" s="1047">
        <f>IF(AND(F19&gt;0,OR(AL19="")),1,IF(AL19&gt;F19,1,0))</f>
        <v>1</v>
      </c>
    </row>
    <row r="20" spans="1:152" ht="15" customHeight="1" x14ac:dyDescent="0.25">
      <c r="A20" s="1585" t="s">
        <v>1024</v>
      </c>
      <c r="B20" s="1863"/>
      <c r="C20" s="62" t="s">
        <v>231</v>
      </c>
      <c r="D20" s="327" t="s">
        <v>1616</v>
      </c>
      <c r="E20" s="362" t="s">
        <v>1617</v>
      </c>
      <c r="F20" s="371" t="s">
        <v>1618</v>
      </c>
      <c r="G20" s="328" t="s">
        <v>1619</v>
      </c>
      <c r="H20" s="705" t="s">
        <v>1620</v>
      </c>
      <c r="I20" s="328" t="s">
        <v>1621</v>
      </c>
      <c r="J20" s="331" t="s">
        <v>1622</v>
      </c>
      <c r="K20" s="328" t="s">
        <v>1623</v>
      </c>
      <c r="L20" s="331" t="s">
        <v>1624</v>
      </c>
      <c r="M20" s="328" t="s">
        <v>1625</v>
      </c>
      <c r="N20" s="330" t="s">
        <v>1626</v>
      </c>
      <c r="O20" s="328" t="s">
        <v>1627</v>
      </c>
      <c r="P20" s="329" t="s">
        <v>1628</v>
      </c>
      <c r="Q20" s="328" t="s">
        <v>1629</v>
      </c>
      <c r="R20" s="329" t="s">
        <v>1630</v>
      </c>
      <c r="S20" s="331" t="s">
        <v>1631</v>
      </c>
      <c r="T20" s="331" t="s">
        <v>1632</v>
      </c>
      <c r="U20" s="328" t="s">
        <v>1633</v>
      </c>
      <c r="V20" s="337" t="s">
        <v>1634</v>
      </c>
      <c r="W20" s="328" t="s">
        <v>1635</v>
      </c>
      <c r="X20" s="329" t="s">
        <v>1636</v>
      </c>
      <c r="Y20" s="328" t="s">
        <v>1637</v>
      </c>
      <c r="Z20" s="329" t="s">
        <v>1638</v>
      </c>
      <c r="AA20" s="328" t="s">
        <v>1639</v>
      </c>
      <c r="AB20" s="329" t="s">
        <v>1640</v>
      </c>
      <c r="AC20" s="331" t="s">
        <v>1641</v>
      </c>
      <c r="AD20" s="337" t="s">
        <v>1642</v>
      </c>
      <c r="AE20" s="959" t="s">
        <v>1643</v>
      </c>
      <c r="AF20" s="329" t="s">
        <v>1644</v>
      </c>
      <c r="AG20" s="328" t="s">
        <v>1645</v>
      </c>
      <c r="AH20" s="329" t="s">
        <v>1646</v>
      </c>
      <c r="AI20" s="332" t="s">
        <v>1647</v>
      </c>
      <c r="AJ20" s="379" t="s">
        <v>1648</v>
      </c>
      <c r="AK20" s="331" t="s">
        <v>1649</v>
      </c>
      <c r="AL20" s="329" t="s">
        <v>1650</v>
      </c>
      <c r="AM20" s="108" t="str">
        <f>($DH20&amp;DI20&amp;DJ20&amp;DK20)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0" s="606"/>
      <c r="AO20" s="606"/>
      <c r="AP20" s="606"/>
      <c r="AQ20" s="606"/>
      <c r="AR20" s="606"/>
      <c r="AS20" s="606"/>
      <c r="AT20" s="606"/>
      <c r="AU20" s="606"/>
      <c r="AV20" s="606"/>
      <c r="AW20" s="606"/>
      <c r="BG20" s="108"/>
      <c r="BH20" s="108"/>
      <c r="BI20" s="108"/>
      <c r="BJ20" s="108"/>
      <c r="BK20" s="108"/>
      <c r="BL20" s="108"/>
      <c r="BM20" s="108"/>
      <c r="BN20" s="108"/>
      <c r="BO20" s="108"/>
      <c r="BS20" s="606"/>
      <c r="BT20" s="606"/>
      <c r="CB20" s="972"/>
      <c r="CC20" s="972"/>
      <c r="CD20" s="972"/>
      <c r="CE20" s="972"/>
      <c r="CF20" s="972"/>
      <c r="CG20" s="972"/>
      <c r="CH20" s="972"/>
      <c r="CL20" s="34"/>
      <c r="DC20" s="34"/>
      <c r="DH20" s="191" t="str">
        <f>IF(AND(E20&gt;0,OR(AI20=""))," * No olvide digitar la variable Pueblos Originarios Hombres (Digite Cero si no tiene).",IF(AI20&gt;E20," * La variable Pueblos Originarios Hombres no puede ser Mayor al Total Hombres.",""))</f>
        <v xml:space="preserve"> * La variable Pueblos Originarios Hombres no puede ser Mayor al Total Hombres.</v>
      </c>
      <c r="DI20" s="191" t="str">
        <f>IF(AND(F20&gt;0,OR(AJ20=""))," * No olvide digitar la variable Pueblos Originarios Mujeres (Digite Cero si no tiene).",IF(AJ20&gt;F20," * La variable Pueblos Originarios Mujeres no puede ser Mayor al Total Mujeres.",""))</f>
        <v xml:space="preserve"> * La variable Pueblos Originarios Mujeres no puede ser Mayor al Total Mujeres.</v>
      </c>
      <c r="DJ20" s="191" t="str">
        <f>IF(AND(E20&gt;0,OR(AK20=""))," * No olvide digitar la variable Migrantes Hombres (Digite Cero si no tiene).",IF(AK20&gt;E20," * La variable Migrantes Hombres no puede ser Mayor al Total.",""))</f>
        <v xml:space="preserve"> * La variable Migrantes Hombres no puede ser Mayor al Total.</v>
      </c>
      <c r="DK20" s="191" t="str">
        <f>IF(AND(F20&gt;0,OR(AL20=""))," * No olvide digitar la variable Migrantes Mujeres (Digite Cero si no tiene).",IF(AL20&gt;F20," * La variable Migrantes Mujeres no puede ser Mayor al Total.",""))</f>
        <v xml:space="preserve"> * La variable Migrantes Mujeres no puede ser Mayor al Total.</v>
      </c>
      <c r="ES20" s="1047">
        <f>IF(AND(E20&gt;0,OR(AI20="")),1,IF(AI20&gt;E20,1,0))</f>
        <v>1</v>
      </c>
      <c r="ET20" s="1047">
        <f>IF(AND(F20&gt;0,OR(AJ20="")),1,IF(AJ20&gt;F20,1,0))</f>
        <v>1</v>
      </c>
      <c r="EU20" s="1047">
        <f>IF(AND(E20&gt;0,OR(AK20="")),1,IF(AK20&gt;E20,1,0))</f>
        <v>1</v>
      </c>
      <c r="EV20" s="1047">
        <f>IF(AND(F20&gt;0,OR(AL20="")),1,IF(AL20&gt;F20,1,0))</f>
        <v>1</v>
      </c>
    </row>
    <row r="21" spans="1:152" ht="15" customHeight="1" x14ac:dyDescent="0.25">
      <c r="A21" s="1587"/>
      <c r="B21" s="1863"/>
      <c r="C21" s="1443" t="s">
        <v>89</v>
      </c>
      <c r="D21" s="1444">
        <f t="shared" si="1"/>
        <v>0</v>
      </c>
      <c r="E21" s="362">
        <f t="shared" si="2"/>
        <v>0</v>
      </c>
      <c r="F21" s="371">
        <f t="shared" si="3"/>
        <v>0</v>
      </c>
      <c r="G21" s="1234">
        <f>SUM(G19:G20)</f>
        <v>0</v>
      </c>
      <c r="H21" s="1445">
        <f t="shared" ref="H21" si="9">SUM(H19:H20)</f>
        <v>0</v>
      </c>
      <c r="I21" s="1234">
        <f>+SUM(I19:I20)</f>
        <v>0</v>
      </c>
      <c r="J21" s="940">
        <f>+SUM(J19:J20)</f>
        <v>0</v>
      </c>
      <c r="K21" s="1234">
        <f t="shared" ref="K21:AL21" si="10">+SUM(K19:K20)</f>
        <v>0</v>
      </c>
      <c r="L21" s="940">
        <f t="shared" si="10"/>
        <v>0</v>
      </c>
      <c r="M21" s="1234">
        <f t="shared" si="10"/>
        <v>0</v>
      </c>
      <c r="N21" s="334">
        <f t="shared" si="10"/>
        <v>0</v>
      </c>
      <c r="O21" s="1234">
        <f t="shared" si="10"/>
        <v>0</v>
      </c>
      <c r="P21" s="940">
        <f t="shared" si="10"/>
        <v>0</v>
      </c>
      <c r="Q21" s="1234">
        <f t="shared" si="10"/>
        <v>0</v>
      </c>
      <c r="R21" s="940">
        <f t="shared" si="10"/>
        <v>0</v>
      </c>
      <c r="S21" s="1445">
        <f t="shared" si="10"/>
        <v>0</v>
      </c>
      <c r="T21" s="940">
        <f t="shared" si="10"/>
        <v>0</v>
      </c>
      <c r="U21" s="1234">
        <f t="shared" si="10"/>
        <v>0</v>
      </c>
      <c r="V21" s="334">
        <f t="shared" si="10"/>
        <v>0</v>
      </c>
      <c r="W21" s="1234">
        <f t="shared" si="10"/>
        <v>0</v>
      </c>
      <c r="X21" s="940">
        <f t="shared" si="10"/>
        <v>0</v>
      </c>
      <c r="Y21" s="1234">
        <f t="shared" si="10"/>
        <v>0</v>
      </c>
      <c r="Z21" s="940">
        <f t="shared" si="10"/>
        <v>0</v>
      </c>
      <c r="AA21" s="1234">
        <f t="shared" si="10"/>
        <v>0</v>
      </c>
      <c r="AB21" s="940">
        <f t="shared" si="10"/>
        <v>0</v>
      </c>
      <c r="AC21" s="1445">
        <f t="shared" si="10"/>
        <v>0</v>
      </c>
      <c r="AD21" s="334">
        <f t="shared" si="10"/>
        <v>0</v>
      </c>
      <c r="AE21" s="1446">
        <f t="shared" si="10"/>
        <v>0</v>
      </c>
      <c r="AF21" s="940">
        <f t="shared" si="10"/>
        <v>0</v>
      </c>
      <c r="AG21" s="1234">
        <f t="shared" si="10"/>
        <v>0</v>
      </c>
      <c r="AH21" s="940">
        <f t="shared" si="10"/>
        <v>0</v>
      </c>
      <c r="AI21" s="335">
        <f t="shared" si="10"/>
        <v>0</v>
      </c>
      <c r="AJ21" s="1211">
        <f t="shared" si="10"/>
        <v>0</v>
      </c>
      <c r="AK21" s="1445">
        <f t="shared" si="10"/>
        <v>0</v>
      </c>
      <c r="AL21" s="940">
        <f t="shared" si="10"/>
        <v>0</v>
      </c>
      <c r="AM21" s="108"/>
      <c r="AN21" s="606"/>
      <c r="AO21" s="606"/>
      <c r="AP21" s="606"/>
      <c r="AQ21" s="606"/>
      <c r="AR21" s="606"/>
      <c r="AS21" s="606"/>
      <c r="AT21" s="606"/>
      <c r="AU21" s="606"/>
      <c r="AV21" s="606"/>
      <c r="AW21" s="606"/>
      <c r="BG21" s="108"/>
      <c r="BH21" s="108"/>
      <c r="BI21" s="108"/>
      <c r="BJ21" s="108"/>
      <c r="BK21" s="108"/>
      <c r="BL21" s="108"/>
      <c r="BM21" s="108"/>
      <c r="BN21" s="108"/>
      <c r="BO21" s="108"/>
      <c r="BS21" s="606"/>
      <c r="BT21" s="606"/>
      <c r="CL21" s="34"/>
      <c r="DC21" s="34"/>
      <c r="DH21" s="34"/>
      <c r="DI21" s="34"/>
      <c r="DJ21" s="34"/>
      <c r="DK21" s="34"/>
      <c r="ES21" s="191"/>
      <c r="ET21" s="191"/>
      <c r="EU21" s="191"/>
      <c r="EV21" s="191"/>
    </row>
    <row r="22" spans="1:152" ht="15" customHeight="1" x14ac:dyDescent="0.25">
      <c r="A22" s="1585" t="s">
        <v>1025</v>
      </c>
      <c r="B22" s="1863"/>
      <c r="C22" s="64" t="s">
        <v>232</v>
      </c>
      <c r="D22" s="338" t="s">
        <v>1616</v>
      </c>
      <c r="E22" s="760" t="s">
        <v>1617</v>
      </c>
      <c r="F22" s="364" t="s">
        <v>1618</v>
      </c>
      <c r="G22" s="322" t="s">
        <v>1619</v>
      </c>
      <c r="H22" s="700" t="s">
        <v>1620</v>
      </c>
      <c r="I22" s="322" t="s">
        <v>1621</v>
      </c>
      <c r="J22" s="325" t="s">
        <v>1622</v>
      </c>
      <c r="K22" s="322" t="s">
        <v>1623</v>
      </c>
      <c r="L22" s="325" t="s">
        <v>1624</v>
      </c>
      <c r="M22" s="322" t="s">
        <v>1625</v>
      </c>
      <c r="N22" s="324" t="s">
        <v>1626</v>
      </c>
      <c r="O22" s="322" t="s">
        <v>1627</v>
      </c>
      <c r="P22" s="323" t="s">
        <v>1628</v>
      </c>
      <c r="Q22" s="322" t="s">
        <v>1629</v>
      </c>
      <c r="R22" s="323" t="s">
        <v>1630</v>
      </c>
      <c r="S22" s="325" t="s">
        <v>1631</v>
      </c>
      <c r="T22" s="325" t="s">
        <v>1632</v>
      </c>
      <c r="U22" s="322" t="s">
        <v>1633</v>
      </c>
      <c r="V22" s="336" t="s">
        <v>1634</v>
      </c>
      <c r="W22" s="322" t="s">
        <v>1635</v>
      </c>
      <c r="X22" s="323" t="s">
        <v>1636</v>
      </c>
      <c r="Y22" s="322" t="s">
        <v>1637</v>
      </c>
      <c r="Z22" s="323" t="s">
        <v>1638</v>
      </c>
      <c r="AA22" s="322" t="s">
        <v>1639</v>
      </c>
      <c r="AB22" s="323" t="s">
        <v>1640</v>
      </c>
      <c r="AC22" s="325" t="s">
        <v>1641</v>
      </c>
      <c r="AD22" s="336" t="s">
        <v>1642</v>
      </c>
      <c r="AE22" s="958" t="s">
        <v>1643</v>
      </c>
      <c r="AF22" s="323" t="s">
        <v>1644</v>
      </c>
      <c r="AG22" s="322" t="s">
        <v>1645</v>
      </c>
      <c r="AH22" s="323" t="s">
        <v>1646</v>
      </c>
      <c r="AI22" s="326" t="s">
        <v>1647</v>
      </c>
      <c r="AJ22" s="375" t="s">
        <v>1648</v>
      </c>
      <c r="AK22" s="325" t="s">
        <v>1649</v>
      </c>
      <c r="AL22" s="323" t="s">
        <v>1650</v>
      </c>
      <c r="AM22" s="108" t="str">
        <f>($DH22&amp;DI22&amp;DJ22&amp;DK22)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2" s="606"/>
      <c r="AO22" s="606"/>
      <c r="AP22" s="606"/>
      <c r="AQ22" s="606"/>
      <c r="AR22" s="606"/>
      <c r="AS22" s="606"/>
      <c r="AT22" s="606"/>
      <c r="AU22" s="606"/>
      <c r="AV22" s="606"/>
      <c r="AW22" s="606"/>
      <c r="BG22" s="108"/>
      <c r="BH22" s="108"/>
      <c r="BI22" s="108"/>
      <c r="BJ22" s="108"/>
      <c r="BK22" s="108"/>
      <c r="BL22" s="108"/>
      <c r="BM22" s="108"/>
      <c r="BN22" s="108"/>
      <c r="BO22" s="108"/>
      <c r="BS22" s="606"/>
      <c r="BT22" s="606"/>
      <c r="CL22" s="34"/>
      <c r="DC22" s="34"/>
      <c r="DH22" s="191" t="str">
        <f>IF(AND(E22&gt;0,OR(AI22=""))," * No olvide digitar la variable Pueblos Originarios Hombres (Digite Cero si no tiene).",IF(AI22&gt;E22," * La variable Pueblos Originarios Hombres no puede ser Mayor al Total Hombres.",""))</f>
        <v xml:space="preserve"> * La variable Pueblos Originarios Hombres no puede ser Mayor al Total Hombres.</v>
      </c>
      <c r="DI22" s="191" t="str">
        <f>IF(AND(F22&gt;0,OR(AJ22=""))," * No olvide digitar la variable Pueblos Originarios Mujeres (Digite Cero si no tiene).",IF(AJ22&gt;F22," * La variable Pueblos Originarios Mujeres no puede ser Mayor al Total Mujeres.",""))</f>
        <v xml:space="preserve"> * La variable Pueblos Originarios Mujeres no puede ser Mayor al Total Mujeres.</v>
      </c>
      <c r="DJ22" s="191" t="str">
        <f>IF(AND(E22&gt;0,OR(AK22=""))," * No olvide digitar la variable Migrantes Hombres (Digite Cero si no tiene).",IF(AK22&gt;E22," * La variable Migrantes Hombres no puede ser Mayor al Total.",""))</f>
        <v xml:space="preserve"> * La variable Migrantes Hombres no puede ser Mayor al Total.</v>
      </c>
      <c r="DK22" s="191" t="str">
        <f>IF(AND(F22&gt;0,OR(AL22=""))," * No olvide digitar la variable Migrantes Mujeres (Digite Cero si no tiene).",IF(AL22&gt;F22," * La variable Migrantes Mujeres no puede ser Mayor al Total.",""))</f>
        <v xml:space="preserve"> * La variable Migrantes Mujeres no puede ser Mayor al Total.</v>
      </c>
      <c r="ES22" s="1047">
        <f>IF(AND(E22&gt;0,OR(AI22="")),1,IF(AI22&gt;E22,1,0))</f>
        <v>1</v>
      </c>
      <c r="ET22" s="1047">
        <f>IF(AND(F22&gt;0,OR(AJ22="")),1,IF(AJ22&gt;F22,1,0))</f>
        <v>1</v>
      </c>
      <c r="EU22" s="1047">
        <f>IF(AND(E22&gt;0,OR(AK22="")),1,IF(AK22&gt;E22,1,0))</f>
        <v>1</v>
      </c>
      <c r="EV22" s="1047">
        <f>IF(AND(F22&gt;0,OR(AL22="")),1,IF(AL22&gt;F22,1,0))</f>
        <v>1</v>
      </c>
    </row>
    <row r="23" spans="1:152" ht="15" customHeight="1" x14ac:dyDescent="0.25">
      <c r="A23" s="1585" t="s">
        <v>1026</v>
      </c>
      <c r="B23" s="1863"/>
      <c r="C23" s="62" t="s">
        <v>233</v>
      </c>
      <c r="D23" s="327" t="s">
        <v>1616</v>
      </c>
      <c r="E23" s="362" t="s">
        <v>1617</v>
      </c>
      <c r="F23" s="371" t="s">
        <v>1618</v>
      </c>
      <c r="G23" s="328" t="s">
        <v>1619</v>
      </c>
      <c r="H23" s="705" t="s">
        <v>1620</v>
      </c>
      <c r="I23" s="328" t="s">
        <v>1621</v>
      </c>
      <c r="J23" s="331" t="s">
        <v>1622</v>
      </c>
      <c r="K23" s="328" t="s">
        <v>1623</v>
      </c>
      <c r="L23" s="331" t="s">
        <v>1624</v>
      </c>
      <c r="M23" s="328" t="s">
        <v>1625</v>
      </c>
      <c r="N23" s="330" t="s">
        <v>1626</v>
      </c>
      <c r="O23" s="328" t="s">
        <v>1627</v>
      </c>
      <c r="P23" s="329" t="s">
        <v>1628</v>
      </c>
      <c r="Q23" s="328" t="s">
        <v>1629</v>
      </c>
      <c r="R23" s="329" t="s">
        <v>1630</v>
      </c>
      <c r="S23" s="331" t="s">
        <v>1631</v>
      </c>
      <c r="T23" s="331" t="s">
        <v>1632</v>
      </c>
      <c r="U23" s="328" t="s">
        <v>1633</v>
      </c>
      <c r="V23" s="337" t="s">
        <v>1634</v>
      </c>
      <c r="W23" s="328" t="s">
        <v>1635</v>
      </c>
      <c r="X23" s="329" t="s">
        <v>1636</v>
      </c>
      <c r="Y23" s="328" t="s">
        <v>1637</v>
      </c>
      <c r="Z23" s="329" t="s">
        <v>1638</v>
      </c>
      <c r="AA23" s="328" t="s">
        <v>1639</v>
      </c>
      <c r="AB23" s="329" t="s">
        <v>1640</v>
      </c>
      <c r="AC23" s="331" t="s">
        <v>1641</v>
      </c>
      <c r="AD23" s="337" t="s">
        <v>1642</v>
      </c>
      <c r="AE23" s="959" t="s">
        <v>1643</v>
      </c>
      <c r="AF23" s="329" t="s">
        <v>1644</v>
      </c>
      <c r="AG23" s="328" t="s">
        <v>1645</v>
      </c>
      <c r="AH23" s="329" t="s">
        <v>1646</v>
      </c>
      <c r="AI23" s="332" t="s">
        <v>1647</v>
      </c>
      <c r="AJ23" s="379" t="s">
        <v>1648</v>
      </c>
      <c r="AK23" s="331" t="s">
        <v>1649</v>
      </c>
      <c r="AL23" s="329" t="s">
        <v>1650</v>
      </c>
      <c r="AM23" s="108" t="str">
        <f>($DH23&amp;DI23&amp;DJ23&amp;DK23)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3" s="606"/>
      <c r="AO23" s="606"/>
      <c r="AP23" s="606"/>
      <c r="AQ23" s="606"/>
      <c r="AR23" s="606"/>
      <c r="AS23" s="606"/>
      <c r="AT23" s="606"/>
      <c r="AU23" s="606"/>
      <c r="AV23" s="606"/>
      <c r="AW23" s="606"/>
      <c r="BG23" s="108"/>
      <c r="BH23" s="108"/>
      <c r="BI23" s="108"/>
      <c r="BJ23" s="108"/>
      <c r="BK23" s="108"/>
      <c r="BL23" s="108"/>
      <c r="BM23" s="108"/>
      <c r="BN23" s="108"/>
      <c r="BO23" s="108"/>
      <c r="BS23" s="606"/>
      <c r="BT23" s="606"/>
      <c r="CB23" s="972"/>
      <c r="CC23" s="972"/>
      <c r="CD23" s="972"/>
      <c r="CE23" s="972"/>
      <c r="CF23" s="972"/>
      <c r="CG23" s="972"/>
      <c r="CH23" s="972"/>
      <c r="CL23" s="34"/>
      <c r="DC23" s="34"/>
      <c r="DH23" s="191" t="str">
        <f>IF(AND(E23&gt;0,OR(AI23=""))," * No olvide digitar la variable Pueblos Originarios Hombres (Digite Cero si no tiene).",IF(AI23&gt;E23," * La variable Pueblos Originarios Hombres no puede ser Mayor al Total Hombres.",""))</f>
        <v xml:space="preserve"> * La variable Pueblos Originarios Hombres no puede ser Mayor al Total Hombres.</v>
      </c>
      <c r="DI23" s="191" t="str">
        <f>IF(AND(F23&gt;0,OR(AJ23=""))," * No olvide digitar la variable Pueblos Originarios Mujeres (Digite Cero si no tiene).",IF(AJ23&gt;F23," * La variable Pueblos Originarios Mujeres no puede ser Mayor al Total Mujeres.",""))</f>
        <v xml:space="preserve"> * La variable Pueblos Originarios Mujeres no puede ser Mayor al Total Mujeres.</v>
      </c>
      <c r="DJ23" s="191" t="str">
        <f>IF(AND(E23&gt;0,OR(AK23=""))," * No olvide digitar la variable Migrantes Hombres (Digite Cero si no tiene).",IF(AK23&gt;E23," * La variable Migrantes Hombres no puede ser Mayor al Total.",""))</f>
        <v xml:space="preserve"> * La variable Migrantes Hombres no puede ser Mayor al Total.</v>
      </c>
      <c r="DK23" s="191" t="str">
        <f>IF(AND(F23&gt;0,OR(AL23=""))," * No olvide digitar la variable Migrantes Mujeres (Digite Cero si no tiene).",IF(AL23&gt;F23," * La variable Migrantes Mujeres no puede ser Mayor al Total.",""))</f>
        <v xml:space="preserve"> * La variable Migrantes Mujeres no puede ser Mayor al Total.</v>
      </c>
      <c r="ES23" s="1047">
        <f>IF(AND(E23&gt;0,OR(AI23="")),1,IF(AI23&gt;E23,1,0))</f>
        <v>1</v>
      </c>
      <c r="ET23" s="1047">
        <f>IF(AND(F23&gt;0,OR(AJ23="")),1,IF(AJ23&gt;F23,1,0))</f>
        <v>1</v>
      </c>
      <c r="EU23" s="1047">
        <f>IF(AND(E23&gt;0,OR(AK23="")),1,IF(AK23&gt;E23,1,0))</f>
        <v>1</v>
      </c>
      <c r="EV23" s="1047">
        <f>IF(AND(F23&gt;0,OR(AL23="")),1,IF(AL23&gt;F23,1,0))</f>
        <v>1</v>
      </c>
    </row>
    <row r="24" spans="1:152" ht="15" customHeight="1" x14ac:dyDescent="0.25">
      <c r="A24" s="1587"/>
      <c r="B24" s="1864"/>
      <c r="C24" s="1443" t="s">
        <v>89</v>
      </c>
      <c r="D24" s="1444">
        <f t="shared" si="1"/>
        <v>0</v>
      </c>
      <c r="E24" s="362">
        <f t="shared" si="2"/>
        <v>0</v>
      </c>
      <c r="F24" s="371">
        <f t="shared" si="3"/>
        <v>0</v>
      </c>
      <c r="G24" s="1234">
        <f t="shared" ref="G24:H24" si="11">SUM(G22:G23)</f>
        <v>0</v>
      </c>
      <c r="H24" s="1445">
        <f t="shared" si="11"/>
        <v>0</v>
      </c>
      <c r="I24" s="1234">
        <f>SUM(I22:I23)</f>
        <v>0</v>
      </c>
      <c r="J24" s="940">
        <f>SUM(J22:J23)</f>
        <v>0</v>
      </c>
      <c r="K24" s="1234">
        <f t="shared" ref="K24:AK24" si="12">SUM(K22:K23)</f>
        <v>0</v>
      </c>
      <c r="L24" s="940">
        <f t="shared" si="12"/>
        <v>0</v>
      </c>
      <c r="M24" s="1234">
        <f t="shared" si="12"/>
        <v>0</v>
      </c>
      <c r="N24" s="334">
        <f t="shared" si="12"/>
        <v>0</v>
      </c>
      <c r="O24" s="1234">
        <f t="shared" si="12"/>
        <v>0</v>
      </c>
      <c r="P24" s="940">
        <f t="shared" si="12"/>
        <v>0</v>
      </c>
      <c r="Q24" s="1234">
        <f t="shared" si="12"/>
        <v>0</v>
      </c>
      <c r="R24" s="940">
        <f t="shared" si="12"/>
        <v>0</v>
      </c>
      <c r="S24" s="1445">
        <f t="shared" si="12"/>
        <v>0</v>
      </c>
      <c r="T24" s="940">
        <f t="shared" si="12"/>
        <v>0</v>
      </c>
      <c r="U24" s="1234">
        <f t="shared" si="12"/>
        <v>0</v>
      </c>
      <c r="V24" s="334">
        <f t="shared" si="12"/>
        <v>0</v>
      </c>
      <c r="W24" s="1234">
        <f t="shared" si="12"/>
        <v>0</v>
      </c>
      <c r="X24" s="940">
        <f t="shared" si="12"/>
        <v>0</v>
      </c>
      <c r="Y24" s="1234">
        <f t="shared" si="12"/>
        <v>0</v>
      </c>
      <c r="Z24" s="940">
        <f t="shared" si="12"/>
        <v>0</v>
      </c>
      <c r="AA24" s="1234">
        <f t="shared" si="12"/>
        <v>0</v>
      </c>
      <c r="AB24" s="940">
        <f t="shared" si="12"/>
        <v>0</v>
      </c>
      <c r="AC24" s="1234">
        <f t="shared" si="12"/>
        <v>0</v>
      </c>
      <c r="AD24" s="1235">
        <f t="shared" si="12"/>
        <v>0</v>
      </c>
      <c r="AE24" s="1446">
        <f t="shared" si="12"/>
        <v>0</v>
      </c>
      <c r="AF24" s="940">
        <f t="shared" si="12"/>
        <v>0</v>
      </c>
      <c r="AG24" s="1234">
        <f t="shared" si="12"/>
        <v>0</v>
      </c>
      <c r="AH24" s="940">
        <f t="shared" si="12"/>
        <v>0</v>
      </c>
      <c r="AI24" s="335">
        <f t="shared" si="12"/>
        <v>0</v>
      </c>
      <c r="AJ24" s="1211">
        <f t="shared" si="12"/>
        <v>0</v>
      </c>
      <c r="AK24" s="1445">
        <f t="shared" si="12"/>
        <v>0</v>
      </c>
      <c r="AL24" s="940">
        <f>SUM(AL22:AL23)</f>
        <v>0</v>
      </c>
      <c r="AM24" s="108"/>
      <c r="AN24" s="606"/>
      <c r="AO24" s="606"/>
      <c r="AP24" s="606"/>
      <c r="AQ24" s="606"/>
      <c r="AR24" s="606"/>
      <c r="AS24" s="606"/>
      <c r="AT24" s="606"/>
      <c r="AU24" s="606"/>
      <c r="AV24" s="606"/>
      <c r="AW24" s="606"/>
      <c r="BG24" s="108"/>
      <c r="BH24" s="108"/>
      <c r="BI24" s="108"/>
      <c r="BJ24" s="108"/>
      <c r="BK24" s="108"/>
      <c r="BL24" s="108"/>
      <c r="BM24" s="108"/>
      <c r="BN24" s="108"/>
      <c r="BO24" s="108"/>
      <c r="BS24" s="606"/>
      <c r="BT24" s="606"/>
      <c r="CL24" s="34"/>
      <c r="DC24" s="34"/>
      <c r="DH24" s="34"/>
      <c r="DI24" s="34"/>
      <c r="DJ24" s="34"/>
      <c r="DK24" s="34"/>
      <c r="ES24" s="191"/>
      <c r="ET24" s="191"/>
      <c r="EU24" s="191"/>
      <c r="EV24" s="191"/>
    </row>
    <row r="25" spans="1:152" ht="15" customHeight="1" x14ac:dyDescent="0.25">
      <c r="A25" s="1585" t="s">
        <v>1027</v>
      </c>
      <c r="B25" s="1851" t="s">
        <v>235</v>
      </c>
      <c r="C25" s="61" t="s">
        <v>230</v>
      </c>
      <c r="D25" s="339" t="s">
        <v>1616</v>
      </c>
      <c r="E25" s="760" t="s">
        <v>1617</v>
      </c>
      <c r="F25" s="364" t="s">
        <v>1618</v>
      </c>
      <c r="G25" s="322" t="s">
        <v>1619</v>
      </c>
      <c r="H25" s="700" t="s">
        <v>1620</v>
      </c>
      <c r="I25" s="322" t="s">
        <v>1621</v>
      </c>
      <c r="J25" s="325" t="s">
        <v>1622</v>
      </c>
      <c r="K25" s="322" t="s">
        <v>1623</v>
      </c>
      <c r="L25" s="325" t="s">
        <v>1624</v>
      </c>
      <c r="M25" s="322" t="s">
        <v>1625</v>
      </c>
      <c r="N25" s="324" t="s">
        <v>1626</v>
      </c>
      <c r="O25" s="322" t="s">
        <v>1627</v>
      </c>
      <c r="P25" s="323" t="s">
        <v>1628</v>
      </c>
      <c r="Q25" s="322" t="s">
        <v>1629</v>
      </c>
      <c r="R25" s="323" t="s">
        <v>1630</v>
      </c>
      <c r="S25" s="325" t="s">
        <v>1631</v>
      </c>
      <c r="T25" s="325" t="s">
        <v>1632</v>
      </c>
      <c r="U25" s="322" t="s">
        <v>1633</v>
      </c>
      <c r="V25" s="336" t="s">
        <v>1634</v>
      </c>
      <c r="W25" s="322" t="s">
        <v>1635</v>
      </c>
      <c r="X25" s="323" t="s">
        <v>1636</v>
      </c>
      <c r="Y25" s="322" t="s">
        <v>1637</v>
      </c>
      <c r="Z25" s="323" t="s">
        <v>1638</v>
      </c>
      <c r="AA25" s="322" t="s">
        <v>1639</v>
      </c>
      <c r="AB25" s="323" t="s">
        <v>1640</v>
      </c>
      <c r="AC25" s="325" t="s">
        <v>1641</v>
      </c>
      <c r="AD25" s="336" t="s">
        <v>1642</v>
      </c>
      <c r="AE25" s="958" t="s">
        <v>1643</v>
      </c>
      <c r="AF25" s="323" t="s">
        <v>1644</v>
      </c>
      <c r="AG25" s="322" t="s">
        <v>1645</v>
      </c>
      <c r="AH25" s="323" t="s">
        <v>1646</v>
      </c>
      <c r="AI25" s="326" t="s">
        <v>1647</v>
      </c>
      <c r="AJ25" s="375" t="s">
        <v>1648</v>
      </c>
      <c r="AK25" s="325" t="s">
        <v>1649</v>
      </c>
      <c r="AL25" s="323" t="s">
        <v>1650</v>
      </c>
      <c r="AM25" s="108" t="str">
        <f>($DH25&amp;DI25&amp;DJ25&amp;DK25)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5" s="606"/>
      <c r="AO25" s="606"/>
      <c r="AP25" s="606"/>
      <c r="AQ25" s="606"/>
      <c r="AR25" s="606"/>
      <c r="AS25" s="606"/>
      <c r="AT25" s="606"/>
      <c r="AU25" s="606"/>
      <c r="AV25" s="606"/>
      <c r="AW25" s="606"/>
      <c r="BG25" s="108"/>
      <c r="BH25" s="108"/>
      <c r="BI25" s="108"/>
      <c r="BJ25" s="108"/>
      <c r="BK25" s="108"/>
      <c r="BL25" s="108"/>
      <c r="BM25" s="108"/>
      <c r="BN25" s="108"/>
      <c r="BO25" s="108"/>
      <c r="BS25" s="606"/>
      <c r="BT25" s="606"/>
      <c r="CL25" s="34"/>
      <c r="DC25" s="34"/>
      <c r="DH25" s="191" t="str">
        <f>IF(AND(E25&gt;0,OR(AI25=""))," * No olvide digitar la variable Pueblos Originarios Hombres (Digite Cero si no tiene).",IF(AI25&gt;E25," * La variable Pueblos Originarios Hombres no puede ser Mayor al Total Hombres.",""))</f>
        <v xml:space="preserve"> * La variable Pueblos Originarios Hombres no puede ser Mayor al Total Hombres.</v>
      </c>
      <c r="DI25" s="191" t="str">
        <f>IF(AND(F25&gt;0,OR(AJ25=""))," * No olvide digitar la variable Pueblos Originarios Mujeres (Digite Cero si no tiene).",IF(AJ25&gt;F25," * La variable Pueblos Originarios Mujeres no puede ser Mayor al Total Mujeres.",""))</f>
        <v xml:space="preserve"> * La variable Pueblos Originarios Mujeres no puede ser Mayor al Total Mujeres.</v>
      </c>
      <c r="DJ25" s="191" t="str">
        <f>IF(AND(E25&gt;0,OR(AK25=""))," * No olvide digitar la variable Migrantes Hombres (Digite Cero si no tiene).",IF(AK25&gt;E25," * La variable Migrantes Hombres no puede ser Mayor al Total.",""))</f>
        <v xml:space="preserve"> * La variable Migrantes Hombres no puede ser Mayor al Total.</v>
      </c>
      <c r="DK25" s="191" t="str">
        <f>IF(AND(F25&gt;0,OR(AL25=""))," * No olvide digitar la variable Migrantes Mujeres (Digite Cero si no tiene).",IF(AL25&gt;F25," * La variable Migrantes Mujeres no puede ser Mayor al Total.",""))</f>
        <v xml:space="preserve"> * La variable Migrantes Mujeres no puede ser Mayor al Total.</v>
      </c>
      <c r="ES25" s="1047">
        <f>IF(AND(E25&gt;0,OR(AI25="")),1,IF(AI25&gt;E25,1,0))</f>
        <v>1</v>
      </c>
      <c r="ET25" s="1047">
        <f>IF(AND(F25&gt;0,OR(AJ25="")),1,IF(AJ25&gt;F25,1,0))</f>
        <v>1</v>
      </c>
      <c r="EU25" s="1047">
        <f>IF(AND(E25&gt;0,OR(AK25="")),1,IF(AK25&gt;E25,1,0))</f>
        <v>1</v>
      </c>
      <c r="EV25" s="1047">
        <f>IF(AND(F25&gt;0,OR(AL25="")),1,IF(AL25&gt;F25,1,0))</f>
        <v>1</v>
      </c>
    </row>
    <row r="26" spans="1:152" ht="15" customHeight="1" x14ac:dyDescent="0.25">
      <c r="A26" s="1585" t="s">
        <v>1028</v>
      </c>
      <c r="B26" s="1851"/>
      <c r="C26" s="62" t="s">
        <v>231</v>
      </c>
      <c r="D26" s="1374" t="s">
        <v>1616</v>
      </c>
      <c r="E26" s="362" t="s">
        <v>1617</v>
      </c>
      <c r="F26" s="371" t="s">
        <v>1618</v>
      </c>
      <c r="G26" s="328" t="s">
        <v>1619</v>
      </c>
      <c r="H26" s="705" t="s">
        <v>1620</v>
      </c>
      <c r="I26" s="328" t="s">
        <v>1621</v>
      </c>
      <c r="J26" s="331" t="s">
        <v>1622</v>
      </c>
      <c r="K26" s="328" t="s">
        <v>1623</v>
      </c>
      <c r="L26" s="331" t="s">
        <v>1624</v>
      </c>
      <c r="M26" s="328" t="s">
        <v>1625</v>
      </c>
      <c r="N26" s="330" t="s">
        <v>1626</v>
      </c>
      <c r="O26" s="328" t="s">
        <v>1627</v>
      </c>
      <c r="P26" s="329" t="s">
        <v>1628</v>
      </c>
      <c r="Q26" s="328" t="s">
        <v>1629</v>
      </c>
      <c r="R26" s="329" t="s">
        <v>1630</v>
      </c>
      <c r="S26" s="331" t="s">
        <v>1631</v>
      </c>
      <c r="T26" s="331" t="s">
        <v>1632</v>
      </c>
      <c r="U26" s="328" t="s">
        <v>1633</v>
      </c>
      <c r="V26" s="337" t="s">
        <v>1634</v>
      </c>
      <c r="W26" s="328" t="s">
        <v>1635</v>
      </c>
      <c r="X26" s="329" t="s">
        <v>1636</v>
      </c>
      <c r="Y26" s="328" t="s">
        <v>1637</v>
      </c>
      <c r="Z26" s="329" t="s">
        <v>1638</v>
      </c>
      <c r="AA26" s="328" t="s">
        <v>1639</v>
      </c>
      <c r="AB26" s="329" t="s">
        <v>1640</v>
      </c>
      <c r="AC26" s="331" t="s">
        <v>1641</v>
      </c>
      <c r="AD26" s="337" t="s">
        <v>1642</v>
      </c>
      <c r="AE26" s="959" t="s">
        <v>1643</v>
      </c>
      <c r="AF26" s="329" t="s">
        <v>1644</v>
      </c>
      <c r="AG26" s="328" t="s">
        <v>1645</v>
      </c>
      <c r="AH26" s="329" t="s">
        <v>1646</v>
      </c>
      <c r="AI26" s="332" t="s">
        <v>1647</v>
      </c>
      <c r="AJ26" s="379" t="s">
        <v>1648</v>
      </c>
      <c r="AK26" s="331" t="s">
        <v>1649</v>
      </c>
      <c r="AL26" s="329" t="s">
        <v>1650</v>
      </c>
      <c r="AM26" s="108" t="str">
        <f>($DH26&amp;DI26&amp;DJ26&amp;DK26)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6" s="606"/>
      <c r="AO26" s="606"/>
      <c r="AP26" s="606"/>
      <c r="AQ26" s="606"/>
      <c r="AR26" s="606"/>
      <c r="AS26" s="606"/>
      <c r="AT26" s="606"/>
      <c r="AU26" s="606"/>
      <c r="AV26" s="606"/>
      <c r="AW26" s="606"/>
      <c r="BG26" s="108"/>
      <c r="BH26" s="108"/>
      <c r="BI26" s="108"/>
      <c r="BJ26" s="108"/>
      <c r="BK26" s="108"/>
      <c r="BL26" s="108"/>
      <c r="BM26" s="108"/>
      <c r="BN26" s="108"/>
      <c r="BO26" s="108"/>
      <c r="BS26" s="606"/>
      <c r="BT26" s="606"/>
      <c r="CL26" s="34"/>
      <c r="DC26" s="34"/>
      <c r="DH26" s="191" t="str">
        <f>IF(AND(E26&gt;0,OR(AI26=""))," * No olvide digitar la variable Pueblos Originarios Hombres (Digite Cero si no tiene).",IF(AI26&gt;E26," * La variable Pueblos Originarios Hombres no puede ser Mayor al Total Hombres.",""))</f>
        <v xml:space="preserve"> * La variable Pueblos Originarios Hombres no puede ser Mayor al Total Hombres.</v>
      </c>
      <c r="DI26" s="191" t="str">
        <f>IF(AND(F26&gt;0,OR(AJ26=""))," * No olvide digitar la variable Pueblos Originarios Mujeres (Digite Cero si no tiene).",IF(AJ26&gt;F26," * La variable Pueblos Originarios Mujeres no puede ser Mayor al Total Mujeres.",""))</f>
        <v xml:space="preserve"> * La variable Pueblos Originarios Mujeres no puede ser Mayor al Total Mujeres.</v>
      </c>
      <c r="DJ26" s="191" t="str">
        <f>IF(AND(E26&gt;0,OR(AK26=""))," * No olvide digitar la variable Migrantes Hombres (Digite Cero si no tiene).",IF(AK26&gt;E26," * La variable Migrantes Hombres no puede ser Mayor al Total.",""))</f>
        <v xml:space="preserve"> * La variable Migrantes Hombres no puede ser Mayor al Total.</v>
      </c>
      <c r="DK26" s="191" t="str">
        <f>IF(AND(F26&gt;0,OR(AL26=""))," * No olvide digitar la variable Migrantes Mujeres (Digite Cero si no tiene).",IF(AL26&gt;F26," * La variable Migrantes Mujeres no puede ser Mayor al Total.",""))</f>
        <v xml:space="preserve"> * La variable Migrantes Mujeres no puede ser Mayor al Total.</v>
      </c>
      <c r="ES26" s="1047">
        <f>IF(AND(E26&gt;0,OR(AI26="")),1,IF(AI26&gt;E26,1,0))</f>
        <v>1</v>
      </c>
      <c r="ET26" s="1047">
        <f>IF(AND(F26&gt;0,OR(AJ26="")),1,IF(AJ26&gt;F26,1,0))</f>
        <v>1</v>
      </c>
      <c r="EU26" s="1047">
        <f>IF(AND(E26&gt;0,OR(AK26="")),1,IF(AK26&gt;E26,1,0))</f>
        <v>1</v>
      </c>
      <c r="EV26" s="1047">
        <f>IF(AND(F26&gt;0,OR(AL26="")),1,IF(AL26&gt;F26,1,0))</f>
        <v>1</v>
      </c>
    </row>
    <row r="27" spans="1:152" ht="15" customHeight="1" x14ac:dyDescent="0.25">
      <c r="A27" s="1587"/>
      <c r="B27" s="1851"/>
      <c r="C27" s="1447" t="s">
        <v>49</v>
      </c>
      <c r="D27" s="1446">
        <f t="shared" si="1"/>
        <v>0</v>
      </c>
      <c r="E27" s="362">
        <f t="shared" si="2"/>
        <v>0</v>
      </c>
      <c r="F27" s="371">
        <f t="shared" si="3"/>
        <v>0</v>
      </c>
      <c r="G27" s="1234">
        <f t="shared" ref="G27:H27" si="13">SUM(G25:G26)</f>
        <v>0</v>
      </c>
      <c r="H27" s="1445">
        <f t="shared" si="13"/>
        <v>0</v>
      </c>
      <c r="I27" s="1236">
        <f>SUM(I25:I26)</f>
        <v>0</v>
      </c>
      <c r="J27" s="1448">
        <f t="shared" ref="J27:AL27" si="14">SUM(J25:J26)</f>
        <v>0</v>
      </c>
      <c r="K27" s="1236">
        <f t="shared" si="14"/>
        <v>0</v>
      </c>
      <c r="L27" s="1448">
        <f t="shared" si="14"/>
        <v>0</v>
      </c>
      <c r="M27" s="1236">
        <f t="shared" si="14"/>
        <v>0</v>
      </c>
      <c r="N27" s="340">
        <f t="shared" si="14"/>
        <v>0</v>
      </c>
      <c r="O27" s="1236">
        <f t="shared" si="14"/>
        <v>0</v>
      </c>
      <c r="P27" s="963">
        <f t="shared" si="14"/>
        <v>0</v>
      </c>
      <c r="Q27" s="1236">
        <f t="shared" si="14"/>
        <v>0</v>
      </c>
      <c r="R27" s="963">
        <f t="shared" si="14"/>
        <v>0</v>
      </c>
      <c r="S27" s="1449">
        <f t="shared" si="14"/>
        <v>0</v>
      </c>
      <c r="T27" s="1448">
        <f t="shared" si="14"/>
        <v>0</v>
      </c>
      <c r="U27" s="1236">
        <f t="shared" si="14"/>
        <v>0</v>
      </c>
      <c r="V27" s="1237">
        <f t="shared" si="14"/>
        <v>0</v>
      </c>
      <c r="W27" s="1236">
        <f t="shared" si="14"/>
        <v>0</v>
      </c>
      <c r="X27" s="963">
        <f t="shared" si="14"/>
        <v>0</v>
      </c>
      <c r="Y27" s="1236">
        <f t="shared" si="14"/>
        <v>0</v>
      </c>
      <c r="Z27" s="963">
        <f t="shared" si="14"/>
        <v>0</v>
      </c>
      <c r="AA27" s="1236">
        <f t="shared" si="14"/>
        <v>0</v>
      </c>
      <c r="AB27" s="963">
        <f t="shared" si="14"/>
        <v>0</v>
      </c>
      <c r="AC27" s="1449">
        <f t="shared" si="14"/>
        <v>0</v>
      </c>
      <c r="AD27" s="1237">
        <f t="shared" si="14"/>
        <v>0</v>
      </c>
      <c r="AE27" s="1450">
        <f t="shared" si="14"/>
        <v>0</v>
      </c>
      <c r="AF27" s="963">
        <f t="shared" si="14"/>
        <v>0</v>
      </c>
      <c r="AG27" s="1236">
        <f t="shared" si="14"/>
        <v>0</v>
      </c>
      <c r="AH27" s="963">
        <f t="shared" si="14"/>
        <v>0</v>
      </c>
      <c r="AI27" s="341">
        <f t="shared" si="14"/>
        <v>0</v>
      </c>
      <c r="AJ27" s="1212">
        <f t="shared" si="14"/>
        <v>0</v>
      </c>
      <c r="AK27" s="1449">
        <f t="shared" si="14"/>
        <v>0</v>
      </c>
      <c r="AL27" s="963">
        <f t="shared" si="14"/>
        <v>0</v>
      </c>
      <c r="AM27" s="108"/>
      <c r="AN27" s="606"/>
      <c r="AO27" s="606"/>
      <c r="AP27" s="606"/>
      <c r="AQ27" s="606"/>
      <c r="AR27" s="606"/>
      <c r="AS27" s="606"/>
      <c r="AT27" s="606"/>
      <c r="AU27" s="606"/>
      <c r="AV27" s="606"/>
      <c r="AW27" s="606"/>
      <c r="BG27" s="108"/>
      <c r="BH27" s="108"/>
      <c r="BI27" s="108"/>
      <c r="BJ27" s="108"/>
      <c r="BK27" s="108"/>
      <c r="BL27" s="108"/>
      <c r="BM27" s="108"/>
      <c r="BN27" s="108"/>
      <c r="BO27" s="108"/>
      <c r="BS27" s="606"/>
      <c r="BT27" s="606"/>
      <c r="CL27" s="34"/>
      <c r="DC27" s="34"/>
      <c r="DH27" s="34"/>
      <c r="DI27" s="34"/>
      <c r="DJ27" s="34"/>
      <c r="DK27" s="34"/>
      <c r="ES27" s="191"/>
      <c r="ET27" s="191"/>
      <c r="EU27" s="191"/>
      <c r="EV27" s="191"/>
    </row>
    <row r="28" spans="1:152" ht="15" customHeight="1" x14ac:dyDescent="0.25">
      <c r="A28" s="1585" t="s">
        <v>1029</v>
      </c>
      <c r="B28" s="1851"/>
      <c r="C28" s="64" t="s">
        <v>232</v>
      </c>
      <c r="D28" s="339" t="s">
        <v>1616</v>
      </c>
      <c r="E28" s="760" t="s">
        <v>1617</v>
      </c>
      <c r="F28" s="364" t="s">
        <v>1618</v>
      </c>
      <c r="G28" s="322" t="s">
        <v>1619</v>
      </c>
      <c r="H28" s="700" t="s">
        <v>1620</v>
      </c>
      <c r="I28" s="342" t="s">
        <v>1621</v>
      </c>
      <c r="J28" s="343" t="s">
        <v>1622</v>
      </c>
      <c r="K28" s="342" t="s">
        <v>1623</v>
      </c>
      <c r="L28" s="343" t="s">
        <v>1624</v>
      </c>
      <c r="M28" s="342" t="s">
        <v>1625</v>
      </c>
      <c r="N28" s="344" t="s">
        <v>1626</v>
      </c>
      <c r="O28" s="342" t="s">
        <v>1627</v>
      </c>
      <c r="P28" s="345" t="s">
        <v>1628</v>
      </c>
      <c r="Q28" s="322" t="s">
        <v>1629</v>
      </c>
      <c r="R28" s="323" t="s">
        <v>1630</v>
      </c>
      <c r="S28" s="343" t="s">
        <v>1631</v>
      </c>
      <c r="T28" s="343" t="s">
        <v>1632</v>
      </c>
      <c r="U28" s="342" t="s">
        <v>1633</v>
      </c>
      <c r="V28" s="346" t="s">
        <v>1634</v>
      </c>
      <c r="W28" s="342" t="s">
        <v>1635</v>
      </c>
      <c r="X28" s="345" t="s">
        <v>1636</v>
      </c>
      <c r="Y28" s="342" t="s">
        <v>1637</v>
      </c>
      <c r="Z28" s="345" t="s">
        <v>1638</v>
      </c>
      <c r="AA28" s="342" t="s">
        <v>1639</v>
      </c>
      <c r="AB28" s="345" t="s">
        <v>1640</v>
      </c>
      <c r="AC28" s="343" t="s">
        <v>1641</v>
      </c>
      <c r="AD28" s="346" t="s">
        <v>1642</v>
      </c>
      <c r="AE28" s="960" t="s">
        <v>1643</v>
      </c>
      <c r="AF28" s="345" t="s">
        <v>1644</v>
      </c>
      <c r="AG28" s="342" t="s">
        <v>1645</v>
      </c>
      <c r="AH28" s="345" t="s">
        <v>1646</v>
      </c>
      <c r="AI28" s="347" t="s">
        <v>1647</v>
      </c>
      <c r="AJ28" s="645" t="s">
        <v>1648</v>
      </c>
      <c r="AK28" s="343" t="s">
        <v>1649</v>
      </c>
      <c r="AL28" s="345" t="s">
        <v>1650</v>
      </c>
      <c r="AM28" s="108" t="str">
        <f>($DH28&amp;DI28&amp;DJ28&amp;DK28)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8" s="606"/>
      <c r="AO28" s="606"/>
      <c r="AP28" s="606"/>
      <c r="AQ28" s="606"/>
      <c r="AR28" s="606"/>
      <c r="AS28" s="606"/>
      <c r="AT28" s="606"/>
      <c r="AU28" s="606"/>
      <c r="AV28" s="606"/>
      <c r="AW28" s="606"/>
      <c r="BG28" s="108"/>
      <c r="BH28" s="108"/>
      <c r="BI28" s="108"/>
      <c r="BJ28" s="108"/>
      <c r="BK28" s="108"/>
      <c r="BL28" s="108"/>
      <c r="BM28" s="108"/>
      <c r="BN28" s="108"/>
      <c r="BO28" s="108"/>
      <c r="BS28" s="606"/>
      <c r="BT28" s="606"/>
      <c r="CL28" s="34"/>
      <c r="DC28" s="34"/>
      <c r="DH28" s="191" t="str">
        <f>IF(AND(E28&gt;0,OR(AI28=""))," * No olvide digitar la variable Pueblos Originarios Hombres (Digite Cero si no tiene).",IF(AI28&gt;E28," * La variable Pueblos Originarios Hombres no puede ser Mayor al Total Hombres.",""))</f>
        <v xml:space="preserve"> * La variable Pueblos Originarios Hombres no puede ser Mayor al Total Hombres.</v>
      </c>
      <c r="DI28" s="191" t="str">
        <f>IF(AND(F28&gt;0,OR(AJ28=""))," * No olvide digitar la variable Pueblos Originarios Mujeres (Digite Cero si no tiene).",IF(AJ28&gt;F28," * La variable Pueblos Originarios Mujeres no puede ser Mayor al Total Mujeres.",""))</f>
        <v xml:space="preserve"> * La variable Pueblos Originarios Mujeres no puede ser Mayor al Total Mujeres.</v>
      </c>
      <c r="DJ28" s="191" t="str">
        <f>IF(AND(E28&gt;0,OR(AK28=""))," * No olvide digitar la variable Migrantes Hombres (Digite Cero si no tiene).",IF(AK28&gt;E28," * La variable Migrantes Hombres no puede ser Mayor al Total.",""))</f>
        <v xml:space="preserve"> * La variable Migrantes Hombres no puede ser Mayor al Total.</v>
      </c>
      <c r="DK28" s="191" t="str">
        <f>IF(AND(F28&gt;0,OR(AL28=""))," * No olvide digitar la variable Migrantes Mujeres (Digite Cero si no tiene).",IF(AL28&gt;F28," * La variable Migrantes Mujeres no puede ser Mayor al Total.",""))</f>
        <v xml:space="preserve"> * La variable Migrantes Mujeres no puede ser Mayor al Total.</v>
      </c>
      <c r="ES28" s="1047">
        <f>IF(AND(E28&gt;0,OR(AI28="")),1,IF(AI28&gt;E28,1,0))</f>
        <v>1</v>
      </c>
      <c r="ET28" s="1047">
        <f>IF(AND(F28&gt;0,OR(AJ28="")),1,IF(AJ28&gt;F28,1,0))</f>
        <v>1</v>
      </c>
      <c r="EU28" s="1047">
        <f>IF(AND(E28&gt;0,OR(AK28="")),1,IF(AK28&gt;E28,1,0))</f>
        <v>1</v>
      </c>
      <c r="EV28" s="1047">
        <f>IF(AND(F28&gt;0,OR(AL28="")),1,IF(AL28&gt;F28,1,0))</f>
        <v>1</v>
      </c>
    </row>
    <row r="29" spans="1:152" ht="15" customHeight="1" x14ac:dyDescent="0.25">
      <c r="A29" s="1585" t="s">
        <v>1030</v>
      </c>
      <c r="B29" s="1851"/>
      <c r="C29" s="62" t="s">
        <v>233</v>
      </c>
      <c r="D29" s="1374" t="s">
        <v>1616</v>
      </c>
      <c r="E29" s="362" t="s">
        <v>1617</v>
      </c>
      <c r="F29" s="371" t="s">
        <v>1618</v>
      </c>
      <c r="G29" s="328" t="s">
        <v>1619</v>
      </c>
      <c r="H29" s="705" t="s">
        <v>1620</v>
      </c>
      <c r="I29" s="328" t="s">
        <v>1621</v>
      </c>
      <c r="J29" s="331" t="s">
        <v>1622</v>
      </c>
      <c r="K29" s="328" t="s">
        <v>1623</v>
      </c>
      <c r="L29" s="331" t="s">
        <v>1624</v>
      </c>
      <c r="M29" s="328" t="s">
        <v>1625</v>
      </c>
      <c r="N29" s="330" t="s">
        <v>1626</v>
      </c>
      <c r="O29" s="328" t="s">
        <v>1627</v>
      </c>
      <c r="P29" s="329" t="s">
        <v>1628</v>
      </c>
      <c r="Q29" s="328" t="s">
        <v>1629</v>
      </c>
      <c r="R29" s="329" t="s">
        <v>1630</v>
      </c>
      <c r="S29" s="331" t="s">
        <v>1631</v>
      </c>
      <c r="T29" s="331" t="s">
        <v>1632</v>
      </c>
      <c r="U29" s="328" t="s">
        <v>1633</v>
      </c>
      <c r="V29" s="337" t="s">
        <v>1634</v>
      </c>
      <c r="W29" s="328" t="s">
        <v>1635</v>
      </c>
      <c r="X29" s="329" t="s">
        <v>1636</v>
      </c>
      <c r="Y29" s="328" t="s">
        <v>1637</v>
      </c>
      <c r="Z29" s="329" t="s">
        <v>1638</v>
      </c>
      <c r="AA29" s="328" t="s">
        <v>1639</v>
      </c>
      <c r="AB29" s="329" t="s">
        <v>1640</v>
      </c>
      <c r="AC29" s="331" t="s">
        <v>1641</v>
      </c>
      <c r="AD29" s="337" t="s">
        <v>1642</v>
      </c>
      <c r="AE29" s="959" t="s">
        <v>1643</v>
      </c>
      <c r="AF29" s="329" t="s">
        <v>1644</v>
      </c>
      <c r="AG29" s="328" t="s">
        <v>1645</v>
      </c>
      <c r="AH29" s="329" t="s">
        <v>1646</v>
      </c>
      <c r="AI29" s="332" t="s">
        <v>1647</v>
      </c>
      <c r="AJ29" s="379" t="s">
        <v>1648</v>
      </c>
      <c r="AK29" s="331" t="s">
        <v>1649</v>
      </c>
      <c r="AL29" s="329" t="s">
        <v>1650</v>
      </c>
      <c r="AM29" s="108" t="str">
        <f>($DH29&amp;DI29&amp;DJ29&amp;DK29)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9" s="606"/>
      <c r="AO29" s="606"/>
      <c r="AP29" s="606"/>
      <c r="AQ29" s="606"/>
      <c r="AR29" s="606"/>
      <c r="AS29" s="606"/>
      <c r="AT29" s="606"/>
      <c r="AU29" s="606"/>
      <c r="AV29" s="606"/>
      <c r="AW29" s="606"/>
      <c r="BG29" s="108"/>
      <c r="BH29" s="108"/>
      <c r="BI29" s="108"/>
      <c r="BJ29" s="108"/>
      <c r="BK29" s="108"/>
      <c r="BL29" s="108"/>
      <c r="BM29" s="108"/>
      <c r="BN29" s="108"/>
      <c r="BO29" s="108"/>
      <c r="BS29" s="606"/>
      <c r="BT29" s="606"/>
      <c r="CL29" s="34"/>
      <c r="DC29" s="34"/>
      <c r="DH29" s="191" t="str">
        <f>IF(AND(E29&gt;0,OR(AI29=""))," * No olvide digitar la variable Pueblos Originarios Hombres (Digite Cero si no tiene).",IF(AI29&gt;E29," * La variable Pueblos Originarios Hombres no puede ser Mayor al Total Hombres.",""))</f>
        <v xml:space="preserve"> * La variable Pueblos Originarios Hombres no puede ser Mayor al Total Hombres.</v>
      </c>
      <c r="DI29" s="191" t="str">
        <f>IF(AND(F29&gt;0,OR(AJ29=""))," * No olvide digitar la variable Pueblos Originarios Mujeres (Digite Cero si no tiene).",IF(AJ29&gt;F29," * La variable Pueblos Originarios Mujeres no puede ser Mayor al Total Mujeres.",""))</f>
        <v xml:space="preserve"> * La variable Pueblos Originarios Mujeres no puede ser Mayor al Total Mujeres.</v>
      </c>
      <c r="DJ29" s="191" t="str">
        <f>IF(AND(E29&gt;0,OR(AK29=""))," * No olvide digitar la variable Migrantes Hombres (Digite Cero si no tiene).",IF(AK29&gt;E29," * La variable Migrantes Hombres no puede ser Mayor al Total.",""))</f>
        <v xml:space="preserve"> * La variable Migrantes Hombres no puede ser Mayor al Total.</v>
      </c>
      <c r="DK29" s="191" t="str">
        <f>IF(AND(F29&gt;0,OR(AL29=""))," * No olvide digitar la variable Migrantes Mujeres (Digite Cero si no tiene).",IF(AL29&gt;F29," * La variable Migrantes Mujeres no puede ser Mayor al Total.",""))</f>
        <v xml:space="preserve"> * La variable Migrantes Mujeres no puede ser Mayor al Total.</v>
      </c>
      <c r="ES29" s="1047">
        <f>IF(AND(E29&gt;0,OR(AI29="")),1,IF(AI29&gt;E29,1,0))</f>
        <v>1</v>
      </c>
      <c r="ET29" s="1047">
        <f>IF(AND(F29&gt;0,OR(AJ29="")),1,IF(AJ29&gt;F29,1,0))</f>
        <v>1</v>
      </c>
      <c r="EU29" s="1047">
        <f>IF(AND(E29&gt;0,OR(AK29="")),1,IF(AK29&gt;E29,1,0))</f>
        <v>1</v>
      </c>
      <c r="EV29" s="1047">
        <f>IF(AND(F29&gt;0,OR(AL29="")),1,IF(AL29&gt;F29,1,0))</f>
        <v>1</v>
      </c>
    </row>
    <row r="30" spans="1:152" ht="15" customHeight="1" x14ac:dyDescent="0.25">
      <c r="A30" s="1587"/>
      <c r="B30" s="1851"/>
      <c r="C30" s="1443" t="s">
        <v>89</v>
      </c>
      <c r="D30" s="1446">
        <f>SUM(E30:F30)</f>
        <v>0</v>
      </c>
      <c r="E30" s="362">
        <f t="shared" si="2"/>
        <v>0</v>
      </c>
      <c r="F30" s="371">
        <f t="shared" si="3"/>
        <v>0</v>
      </c>
      <c r="G30" s="1234">
        <f>SUM(G28:G29)</f>
        <v>0</v>
      </c>
      <c r="H30" s="1445">
        <f t="shared" ref="H30" si="15">SUM(H28:H29)</f>
        <v>0</v>
      </c>
      <c r="I30" s="1236">
        <f>SUM(I28:I29)</f>
        <v>0</v>
      </c>
      <c r="J30" s="1448">
        <f t="shared" ref="J30:AL30" si="16">SUM(J28:J29)</f>
        <v>0</v>
      </c>
      <c r="K30" s="1236">
        <f t="shared" si="16"/>
        <v>0</v>
      </c>
      <c r="L30" s="1448">
        <f t="shared" si="16"/>
        <v>0</v>
      </c>
      <c r="M30" s="1236">
        <f t="shared" si="16"/>
        <v>0</v>
      </c>
      <c r="N30" s="340">
        <f t="shared" si="16"/>
        <v>0</v>
      </c>
      <c r="O30" s="1236">
        <f t="shared" si="16"/>
        <v>0</v>
      </c>
      <c r="P30" s="963">
        <f t="shared" si="16"/>
        <v>0</v>
      </c>
      <c r="Q30" s="1236">
        <f t="shared" si="16"/>
        <v>0</v>
      </c>
      <c r="R30" s="963">
        <f t="shared" si="16"/>
        <v>0</v>
      </c>
      <c r="S30" s="1449">
        <f t="shared" si="16"/>
        <v>0</v>
      </c>
      <c r="T30" s="1448">
        <f t="shared" si="16"/>
        <v>0</v>
      </c>
      <c r="U30" s="1236">
        <f t="shared" si="16"/>
        <v>0</v>
      </c>
      <c r="V30" s="1237">
        <f t="shared" si="16"/>
        <v>0</v>
      </c>
      <c r="W30" s="1236">
        <f t="shared" si="16"/>
        <v>0</v>
      </c>
      <c r="X30" s="963">
        <f t="shared" si="16"/>
        <v>0</v>
      </c>
      <c r="Y30" s="1236">
        <f t="shared" si="16"/>
        <v>0</v>
      </c>
      <c r="Z30" s="963">
        <f t="shared" si="16"/>
        <v>0</v>
      </c>
      <c r="AA30" s="1236">
        <f t="shared" si="16"/>
        <v>0</v>
      </c>
      <c r="AB30" s="963">
        <f t="shared" si="16"/>
        <v>0</v>
      </c>
      <c r="AC30" s="1449">
        <f t="shared" si="16"/>
        <v>0</v>
      </c>
      <c r="AD30" s="1237">
        <f t="shared" si="16"/>
        <v>0</v>
      </c>
      <c r="AE30" s="1450">
        <f t="shared" si="16"/>
        <v>0</v>
      </c>
      <c r="AF30" s="963">
        <f t="shared" si="16"/>
        <v>0</v>
      </c>
      <c r="AG30" s="1236">
        <f t="shared" si="16"/>
        <v>0</v>
      </c>
      <c r="AH30" s="963">
        <f t="shared" si="16"/>
        <v>0</v>
      </c>
      <c r="AI30" s="341">
        <f t="shared" si="16"/>
        <v>0</v>
      </c>
      <c r="AJ30" s="1212">
        <f t="shared" si="16"/>
        <v>0</v>
      </c>
      <c r="AK30" s="1449">
        <f t="shared" si="16"/>
        <v>0</v>
      </c>
      <c r="AL30" s="963">
        <f t="shared" si="16"/>
        <v>0</v>
      </c>
      <c r="AM30" s="108"/>
      <c r="AN30" s="606"/>
      <c r="AO30" s="606"/>
      <c r="AP30" s="606"/>
      <c r="AQ30" s="606"/>
      <c r="AR30" s="606"/>
      <c r="AS30" s="606"/>
      <c r="AT30" s="606"/>
      <c r="AU30" s="606"/>
      <c r="AV30" s="606"/>
      <c r="AW30" s="606"/>
      <c r="BG30" s="108"/>
      <c r="BH30" s="108"/>
      <c r="BI30" s="108"/>
      <c r="BJ30" s="108"/>
      <c r="BK30" s="108"/>
      <c r="BL30" s="108"/>
      <c r="BM30" s="108"/>
      <c r="BN30" s="108"/>
      <c r="BO30" s="108"/>
      <c r="BS30" s="606"/>
      <c r="BT30" s="606"/>
      <c r="CL30" s="34"/>
      <c r="DC30" s="34"/>
      <c r="DH30" s="34"/>
      <c r="DI30" s="34"/>
      <c r="DJ30" s="34"/>
      <c r="DK30" s="34"/>
      <c r="ES30" s="191"/>
      <c r="ET30" s="191"/>
      <c r="EU30" s="191"/>
      <c r="EV30" s="191"/>
    </row>
    <row r="31" spans="1:152" ht="15" customHeight="1" x14ac:dyDescent="0.25">
      <c r="A31" s="1585" t="s">
        <v>1031</v>
      </c>
      <c r="B31" s="1852"/>
      <c r="C31" s="65" t="s">
        <v>236</v>
      </c>
      <c r="D31" s="349" t="s">
        <v>1616</v>
      </c>
      <c r="E31" s="362" t="s">
        <v>1617</v>
      </c>
      <c r="F31" s="371" t="s">
        <v>1618</v>
      </c>
      <c r="G31" s="1233" t="s">
        <v>1619</v>
      </c>
      <c r="H31" s="1451" t="s">
        <v>1620</v>
      </c>
      <c r="I31" s="1233" t="s">
        <v>1621</v>
      </c>
      <c r="J31" s="957" t="s">
        <v>1622</v>
      </c>
      <c r="K31" s="1233" t="s">
        <v>1623</v>
      </c>
      <c r="L31" s="957" t="s">
        <v>1624</v>
      </c>
      <c r="M31" s="1233" t="s">
        <v>1625</v>
      </c>
      <c r="N31" s="319" t="s">
        <v>1626</v>
      </c>
      <c r="O31" s="1233" t="s">
        <v>1627</v>
      </c>
      <c r="P31" s="957" t="s">
        <v>1628</v>
      </c>
      <c r="Q31" s="1233" t="s">
        <v>1629</v>
      </c>
      <c r="R31" s="957" t="s">
        <v>1630</v>
      </c>
      <c r="S31" s="1442" t="s">
        <v>1631</v>
      </c>
      <c r="T31" s="957" t="s">
        <v>1632</v>
      </c>
      <c r="U31" s="1233" t="s">
        <v>1633</v>
      </c>
      <c r="V31" s="319" t="s">
        <v>1634</v>
      </c>
      <c r="W31" s="1233" t="s">
        <v>1635</v>
      </c>
      <c r="X31" s="957" t="s">
        <v>1636</v>
      </c>
      <c r="Y31" s="315" t="s">
        <v>1637</v>
      </c>
      <c r="Z31" s="316" t="s">
        <v>1638</v>
      </c>
      <c r="AA31" s="315" t="s">
        <v>1639</v>
      </c>
      <c r="AB31" s="316" t="s">
        <v>1640</v>
      </c>
      <c r="AC31" s="1233" t="s">
        <v>1641</v>
      </c>
      <c r="AD31" s="750" t="s">
        <v>1642</v>
      </c>
      <c r="AE31" s="961" t="s">
        <v>1643</v>
      </c>
      <c r="AF31" s="316" t="s">
        <v>1644</v>
      </c>
      <c r="AG31" s="315" t="s">
        <v>1645</v>
      </c>
      <c r="AH31" s="316" t="s">
        <v>1646</v>
      </c>
      <c r="AI31" s="350" t="s">
        <v>1647</v>
      </c>
      <c r="AJ31" s="647" t="s">
        <v>1648</v>
      </c>
      <c r="AK31" s="318" t="s">
        <v>1649</v>
      </c>
      <c r="AL31" s="316" t="s">
        <v>1650</v>
      </c>
      <c r="AM31" s="108" t="str">
        <f t="shared" ref="AM31:AM36" si="17">($DH31&amp;DI31&amp;DJ31&amp;DK31)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1" s="606"/>
      <c r="AO31" s="606"/>
      <c r="AP31" s="606"/>
      <c r="AQ31" s="606"/>
      <c r="AR31" s="606"/>
      <c r="AS31" s="606"/>
      <c r="AT31" s="606"/>
      <c r="AU31" s="606"/>
      <c r="AV31" s="606"/>
      <c r="AW31" s="606"/>
      <c r="BG31" s="108"/>
      <c r="BH31" s="108"/>
      <c r="BI31" s="108"/>
      <c r="BJ31" s="108"/>
      <c r="BK31" s="108"/>
      <c r="BL31" s="108"/>
      <c r="BM31" s="108"/>
      <c r="BN31" s="108"/>
      <c r="BO31" s="108"/>
      <c r="BS31" s="606"/>
      <c r="BT31" s="606"/>
      <c r="CL31" s="34"/>
      <c r="DC31" s="34"/>
      <c r="DH31" s="191" t="str">
        <f t="shared" ref="DH31:DH36" si="18">IF(AND(E31&gt;0,OR(AI31=""))," * No olvide digitar la variable Pueblos Originarios Hombres (Digite Cero si no tiene).",IF(AI31&gt;E31," * La variable Pueblos Originarios Hombres no puede ser Mayor al Total Hombres.",""))</f>
        <v xml:space="preserve"> * La variable Pueblos Originarios Hombres no puede ser Mayor al Total Hombres.</v>
      </c>
      <c r="DI31" s="191" t="str">
        <f t="shared" ref="DI31:DI36" si="19">IF(AND(F31&gt;0,OR(AJ31=""))," * No olvide digitar la variable Pueblos Originarios Mujeres (Digite Cero si no tiene).",IF(AJ31&gt;F31," * La variable Pueblos Originarios Mujeres no puede ser Mayor al Total Mujeres.",""))</f>
        <v xml:space="preserve"> * La variable Pueblos Originarios Mujeres no puede ser Mayor al Total Mujeres.</v>
      </c>
      <c r="DJ31" s="191" t="str">
        <f t="shared" ref="DJ31:DJ36" si="20">IF(AND(E31&gt;0,OR(AK31=""))," * No olvide digitar la variable Migrantes Hombres (Digite Cero si no tiene).",IF(AK31&gt;E31," * La variable Migrantes Hombres no puede ser Mayor al Total.",""))</f>
        <v xml:space="preserve"> * La variable Migrantes Hombres no puede ser Mayor al Total.</v>
      </c>
      <c r="DK31" s="191" t="str">
        <f t="shared" ref="DK31:DK36" si="21">IF(AND(F31&gt;0,OR(AL31=""))," * No olvide digitar la variable Migrantes Mujeres (Digite Cero si no tiene).",IF(AL31&gt;F31," * La variable Migrantes Mujeres no puede ser Mayor al Total.",""))</f>
        <v xml:space="preserve"> * La variable Migrantes Mujeres no puede ser Mayor al Total.</v>
      </c>
      <c r="ES31" s="1047">
        <f t="shared" ref="ES31:ET36" si="22">IF(AND(E31&gt;0,OR(AI31="")),1,IF(AI31&gt;E31,1,0))</f>
        <v>1</v>
      </c>
      <c r="ET31" s="1047">
        <f t="shared" si="22"/>
        <v>1</v>
      </c>
      <c r="EU31" s="1047">
        <f t="shared" ref="EU31:EV36" si="23">IF(AND(E31&gt;0,OR(AK31="")),1,IF(AK31&gt;E31,1,0))</f>
        <v>1</v>
      </c>
      <c r="EV31" s="1047">
        <f t="shared" si="23"/>
        <v>1</v>
      </c>
    </row>
    <row r="32" spans="1:152" ht="15" customHeight="1" x14ac:dyDescent="0.25">
      <c r="A32" s="1585" t="s">
        <v>1032</v>
      </c>
      <c r="B32" s="1758" t="s">
        <v>237</v>
      </c>
      <c r="C32" s="64" t="s">
        <v>238</v>
      </c>
      <c r="D32" s="351" t="s">
        <v>1616</v>
      </c>
      <c r="E32" s="760" t="s">
        <v>1617</v>
      </c>
      <c r="F32" s="364" t="s">
        <v>1618</v>
      </c>
      <c r="G32" s="926" t="s">
        <v>1619</v>
      </c>
      <c r="H32" s="927" t="s">
        <v>1620</v>
      </c>
      <c r="I32" s="322" t="s">
        <v>1621</v>
      </c>
      <c r="J32" s="323" t="s">
        <v>1622</v>
      </c>
      <c r="K32" s="322" t="s">
        <v>1623</v>
      </c>
      <c r="L32" s="323" t="s">
        <v>1624</v>
      </c>
      <c r="M32" s="322" t="s">
        <v>1625</v>
      </c>
      <c r="N32" s="324" t="s">
        <v>1626</v>
      </c>
      <c r="O32" s="322" t="s">
        <v>1627</v>
      </c>
      <c r="P32" s="323" t="s">
        <v>1628</v>
      </c>
      <c r="Q32" s="322" t="s">
        <v>1629</v>
      </c>
      <c r="R32" s="323" t="s">
        <v>1630</v>
      </c>
      <c r="S32" s="325" t="s">
        <v>1631</v>
      </c>
      <c r="T32" s="323" t="s">
        <v>1632</v>
      </c>
      <c r="U32" s="322" t="s">
        <v>1633</v>
      </c>
      <c r="V32" s="324" t="s">
        <v>1634</v>
      </c>
      <c r="W32" s="322" t="s">
        <v>1635</v>
      </c>
      <c r="X32" s="323" t="s">
        <v>1636</v>
      </c>
      <c r="Y32" s="322" t="s">
        <v>1637</v>
      </c>
      <c r="Z32" s="323" t="s">
        <v>1638</v>
      </c>
      <c r="AA32" s="322" t="s">
        <v>1639</v>
      </c>
      <c r="AB32" s="323" t="s">
        <v>1640</v>
      </c>
      <c r="AC32" s="325" t="s">
        <v>1641</v>
      </c>
      <c r="AD32" s="324" t="s">
        <v>1642</v>
      </c>
      <c r="AE32" s="958" t="s">
        <v>1643</v>
      </c>
      <c r="AF32" s="323" t="s">
        <v>1644</v>
      </c>
      <c r="AG32" s="322" t="s">
        <v>1645</v>
      </c>
      <c r="AH32" s="323" t="s">
        <v>1646</v>
      </c>
      <c r="AI32" s="326" t="s">
        <v>1647</v>
      </c>
      <c r="AJ32" s="375" t="s">
        <v>1648</v>
      </c>
      <c r="AK32" s="325" t="s">
        <v>1649</v>
      </c>
      <c r="AL32" s="323" t="s">
        <v>1650</v>
      </c>
      <c r="AM32" s="108" t="str">
        <f t="shared" si="17"/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2" s="606"/>
      <c r="AO32" s="606"/>
      <c r="AP32" s="606"/>
      <c r="AQ32" s="606"/>
      <c r="AR32" s="606"/>
      <c r="AS32" s="606"/>
      <c r="AT32" s="606"/>
      <c r="AU32" s="606"/>
      <c r="AV32" s="606"/>
      <c r="AW32" s="606"/>
      <c r="BG32" s="108"/>
      <c r="BH32" s="108"/>
      <c r="BI32" s="108"/>
      <c r="BJ32" s="108"/>
      <c r="BK32" s="108"/>
      <c r="BL32" s="108"/>
      <c r="BM32" s="108"/>
      <c r="BN32" s="108"/>
      <c r="BO32" s="108"/>
      <c r="BS32" s="606"/>
      <c r="BT32" s="606"/>
      <c r="CL32" s="34"/>
      <c r="DC32" s="34"/>
      <c r="DH32" s="191" t="str">
        <f t="shared" si="18"/>
        <v xml:space="preserve"> * La variable Pueblos Originarios Hombres no puede ser Mayor al Total Hombres.</v>
      </c>
      <c r="DI32" s="191" t="str">
        <f t="shared" si="19"/>
        <v xml:space="preserve"> * La variable Pueblos Originarios Mujeres no puede ser Mayor al Total Mujeres.</v>
      </c>
      <c r="DJ32" s="191" t="str">
        <f t="shared" si="20"/>
        <v xml:space="preserve"> * La variable Migrantes Hombres no puede ser Mayor al Total.</v>
      </c>
      <c r="DK32" s="191" t="str">
        <f t="shared" si="21"/>
        <v xml:space="preserve"> * La variable Migrantes Mujeres no puede ser Mayor al Total.</v>
      </c>
      <c r="ES32" s="1047">
        <f t="shared" si="22"/>
        <v>1</v>
      </c>
      <c r="ET32" s="1047">
        <f t="shared" si="22"/>
        <v>1</v>
      </c>
      <c r="EU32" s="1047">
        <f t="shared" si="23"/>
        <v>1</v>
      </c>
      <c r="EV32" s="1047">
        <f t="shared" si="23"/>
        <v>1</v>
      </c>
    </row>
    <row r="33" spans="1:152" ht="15" customHeight="1" x14ac:dyDescent="0.25">
      <c r="A33" s="1585" t="s">
        <v>1033</v>
      </c>
      <c r="B33" s="1759"/>
      <c r="C33" s="61" t="s">
        <v>239</v>
      </c>
      <c r="D33" s="352" t="s">
        <v>1616</v>
      </c>
      <c r="E33" s="761" t="s">
        <v>1617</v>
      </c>
      <c r="F33" s="366" t="s">
        <v>1618</v>
      </c>
      <c r="G33" s="928" t="s">
        <v>1619</v>
      </c>
      <c r="H33" s="929" t="s">
        <v>1620</v>
      </c>
      <c r="I33" s="354" t="s">
        <v>1621</v>
      </c>
      <c r="J33" s="355" t="s">
        <v>1622</v>
      </c>
      <c r="K33" s="354" t="s">
        <v>1623</v>
      </c>
      <c r="L33" s="355" t="s">
        <v>1624</v>
      </c>
      <c r="M33" s="354" t="s">
        <v>1625</v>
      </c>
      <c r="N33" s="356" t="s">
        <v>1626</v>
      </c>
      <c r="O33" s="354" t="s">
        <v>1627</v>
      </c>
      <c r="P33" s="355" t="s">
        <v>1628</v>
      </c>
      <c r="Q33" s="354" t="s">
        <v>1629</v>
      </c>
      <c r="R33" s="355" t="s">
        <v>1630</v>
      </c>
      <c r="S33" s="357" t="s">
        <v>1631</v>
      </c>
      <c r="T33" s="355" t="s">
        <v>1632</v>
      </c>
      <c r="U33" s="354" t="s">
        <v>1633</v>
      </c>
      <c r="V33" s="356" t="s">
        <v>1634</v>
      </c>
      <c r="W33" s="354" t="s">
        <v>1635</v>
      </c>
      <c r="X33" s="355" t="s">
        <v>1636</v>
      </c>
      <c r="Y33" s="354" t="s">
        <v>1637</v>
      </c>
      <c r="Z33" s="355" t="s">
        <v>1638</v>
      </c>
      <c r="AA33" s="354" t="s">
        <v>1639</v>
      </c>
      <c r="AB33" s="355" t="s">
        <v>1640</v>
      </c>
      <c r="AC33" s="357" t="s">
        <v>1641</v>
      </c>
      <c r="AD33" s="356" t="s">
        <v>1642</v>
      </c>
      <c r="AE33" s="962" t="s">
        <v>1643</v>
      </c>
      <c r="AF33" s="355" t="s">
        <v>1644</v>
      </c>
      <c r="AG33" s="354" t="s">
        <v>1645</v>
      </c>
      <c r="AH33" s="355" t="s">
        <v>1646</v>
      </c>
      <c r="AI33" s="358" t="s">
        <v>1647</v>
      </c>
      <c r="AJ33" s="376" t="s">
        <v>1648</v>
      </c>
      <c r="AK33" s="357" t="s">
        <v>1649</v>
      </c>
      <c r="AL33" s="355" t="s">
        <v>1650</v>
      </c>
      <c r="AM33" s="108" t="str">
        <f t="shared" si="17"/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3" s="606"/>
      <c r="AO33" s="606"/>
      <c r="AP33" s="606"/>
      <c r="AQ33" s="606"/>
      <c r="AR33" s="606"/>
      <c r="AS33" s="606"/>
      <c r="AT33" s="606"/>
      <c r="AU33" s="606"/>
      <c r="AV33" s="606"/>
      <c r="AW33" s="606"/>
      <c r="BG33" s="108"/>
      <c r="BH33" s="108"/>
      <c r="BI33" s="108"/>
      <c r="BJ33" s="108"/>
      <c r="BK33" s="108"/>
      <c r="BL33" s="108"/>
      <c r="BM33" s="108"/>
      <c r="BN33" s="108"/>
      <c r="BO33" s="108"/>
      <c r="BS33" s="606"/>
      <c r="BT33" s="606"/>
      <c r="CL33" s="34"/>
      <c r="DC33" s="34"/>
      <c r="DH33" s="191" t="str">
        <f t="shared" si="18"/>
        <v xml:space="preserve"> * La variable Pueblos Originarios Hombres no puede ser Mayor al Total Hombres.</v>
      </c>
      <c r="DI33" s="191" t="str">
        <f t="shared" si="19"/>
        <v xml:space="preserve"> * La variable Pueblos Originarios Mujeres no puede ser Mayor al Total Mujeres.</v>
      </c>
      <c r="DJ33" s="191" t="str">
        <f t="shared" si="20"/>
        <v xml:space="preserve"> * La variable Migrantes Hombres no puede ser Mayor al Total.</v>
      </c>
      <c r="DK33" s="191" t="str">
        <f t="shared" si="21"/>
        <v xml:space="preserve"> * La variable Migrantes Mujeres no puede ser Mayor al Total.</v>
      </c>
      <c r="ES33" s="1047">
        <f t="shared" si="22"/>
        <v>1</v>
      </c>
      <c r="ET33" s="1047">
        <f t="shared" si="22"/>
        <v>1</v>
      </c>
      <c r="EU33" s="1047">
        <f t="shared" si="23"/>
        <v>1</v>
      </c>
      <c r="EV33" s="1047">
        <f t="shared" si="23"/>
        <v>1</v>
      </c>
    </row>
    <row r="34" spans="1:152" ht="15" customHeight="1" x14ac:dyDescent="0.25">
      <c r="A34" s="1585" t="s">
        <v>1034</v>
      </c>
      <c r="B34" s="1759"/>
      <c r="C34" s="61" t="s">
        <v>240</v>
      </c>
      <c r="D34" s="352" t="s">
        <v>1616</v>
      </c>
      <c r="E34" s="761" t="s">
        <v>1617</v>
      </c>
      <c r="F34" s="366" t="s">
        <v>1618</v>
      </c>
      <c r="G34" s="928" t="s">
        <v>1619</v>
      </c>
      <c r="H34" s="929" t="s">
        <v>1620</v>
      </c>
      <c r="I34" s="354" t="s">
        <v>1621</v>
      </c>
      <c r="J34" s="355" t="s">
        <v>1622</v>
      </c>
      <c r="K34" s="354" t="s">
        <v>1623</v>
      </c>
      <c r="L34" s="355" t="s">
        <v>1624</v>
      </c>
      <c r="M34" s="354" t="s">
        <v>1625</v>
      </c>
      <c r="N34" s="356" t="s">
        <v>1626</v>
      </c>
      <c r="O34" s="354" t="s">
        <v>1627</v>
      </c>
      <c r="P34" s="355" t="s">
        <v>1628</v>
      </c>
      <c r="Q34" s="354" t="s">
        <v>1629</v>
      </c>
      <c r="R34" s="355" t="s">
        <v>1630</v>
      </c>
      <c r="S34" s="357" t="s">
        <v>1631</v>
      </c>
      <c r="T34" s="355" t="s">
        <v>1632</v>
      </c>
      <c r="U34" s="354" t="s">
        <v>1633</v>
      </c>
      <c r="V34" s="356" t="s">
        <v>1634</v>
      </c>
      <c r="W34" s="354" t="s">
        <v>1635</v>
      </c>
      <c r="X34" s="355" t="s">
        <v>1636</v>
      </c>
      <c r="Y34" s="354" t="s">
        <v>1637</v>
      </c>
      <c r="Z34" s="355" t="s">
        <v>1638</v>
      </c>
      <c r="AA34" s="354" t="s">
        <v>1639</v>
      </c>
      <c r="AB34" s="355" t="s">
        <v>1640</v>
      </c>
      <c r="AC34" s="357" t="s">
        <v>1641</v>
      </c>
      <c r="AD34" s="356" t="s">
        <v>1642</v>
      </c>
      <c r="AE34" s="962" t="s">
        <v>1643</v>
      </c>
      <c r="AF34" s="355" t="s">
        <v>1644</v>
      </c>
      <c r="AG34" s="354" t="s">
        <v>1645</v>
      </c>
      <c r="AH34" s="355" t="s">
        <v>1646</v>
      </c>
      <c r="AI34" s="358" t="s">
        <v>1647</v>
      </c>
      <c r="AJ34" s="376" t="s">
        <v>1648</v>
      </c>
      <c r="AK34" s="357" t="s">
        <v>1649</v>
      </c>
      <c r="AL34" s="355" t="s">
        <v>1650</v>
      </c>
      <c r="AM34" s="108" t="str">
        <f t="shared" si="17"/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4" s="606"/>
      <c r="AO34" s="606"/>
      <c r="AP34" s="606"/>
      <c r="AQ34" s="606"/>
      <c r="AR34" s="606"/>
      <c r="AS34" s="606"/>
      <c r="AT34" s="606"/>
      <c r="AU34" s="606"/>
      <c r="AV34" s="606"/>
      <c r="AW34" s="606"/>
      <c r="BG34" s="108"/>
      <c r="BH34" s="108"/>
      <c r="BI34" s="108"/>
      <c r="BJ34" s="108"/>
      <c r="BK34" s="108"/>
      <c r="BL34" s="108"/>
      <c r="BM34" s="108"/>
      <c r="BN34" s="108"/>
      <c r="BO34" s="108"/>
      <c r="BS34" s="606"/>
      <c r="BT34" s="606"/>
      <c r="CL34" s="34"/>
      <c r="DC34" s="34"/>
      <c r="DH34" s="191" t="str">
        <f t="shared" si="18"/>
        <v xml:space="preserve"> * La variable Pueblos Originarios Hombres no puede ser Mayor al Total Hombres.</v>
      </c>
      <c r="DI34" s="191" t="str">
        <f t="shared" si="19"/>
        <v xml:space="preserve"> * La variable Pueblos Originarios Mujeres no puede ser Mayor al Total Mujeres.</v>
      </c>
      <c r="DJ34" s="191" t="str">
        <f t="shared" si="20"/>
        <v xml:space="preserve"> * La variable Migrantes Hombres no puede ser Mayor al Total.</v>
      </c>
      <c r="DK34" s="191" t="str">
        <f t="shared" si="21"/>
        <v xml:space="preserve"> * La variable Migrantes Mujeres no puede ser Mayor al Total.</v>
      </c>
      <c r="ES34" s="1047">
        <f t="shared" si="22"/>
        <v>1</v>
      </c>
      <c r="ET34" s="1047">
        <f t="shared" si="22"/>
        <v>1</v>
      </c>
      <c r="EU34" s="1047">
        <f t="shared" si="23"/>
        <v>1</v>
      </c>
      <c r="EV34" s="1047">
        <f t="shared" si="23"/>
        <v>1</v>
      </c>
    </row>
    <row r="35" spans="1:152" ht="15" customHeight="1" x14ac:dyDescent="0.25">
      <c r="A35" s="1585" t="s">
        <v>1035</v>
      </c>
      <c r="B35" s="1759"/>
      <c r="C35" s="61" t="s">
        <v>241</v>
      </c>
      <c r="D35" s="352" t="s">
        <v>1616</v>
      </c>
      <c r="E35" s="761" t="s">
        <v>1617</v>
      </c>
      <c r="F35" s="366" t="s">
        <v>1618</v>
      </c>
      <c r="G35" s="928" t="s">
        <v>1619</v>
      </c>
      <c r="H35" s="929" t="s">
        <v>1620</v>
      </c>
      <c r="I35" s="354" t="s">
        <v>1621</v>
      </c>
      <c r="J35" s="355" t="s">
        <v>1622</v>
      </c>
      <c r="K35" s="354" t="s">
        <v>1623</v>
      </c>
      <c r="L35" s="355" t="s">
        <v>1624</v>
      </c>
      <c r="M35" s="354" t="s">
        <v>1625</v>
      </c>
      <c r="N35" s="356" t="s">
        <v>1626</v>
      </c>
      <c r="O35" s="354" t="s">
        <v>1627</v>
      </c>
      <c r="P35" s="355" t="s">
        <v>1628</v>
      </c>
      <c r="Q35" s="354" t="s">
        <v>1629</v>
      </c>
      <c r="R35" s="355" t="s">
        <v>1630</v>
      </c>
      <c r="S35" s="357" t="s">
        <v>1631</v>
      </c>
      <c r="T35" s="355" t="s">
        <v>1632</v>
      </c>
      <c r="U35" s="354" t="s">
        <v>1633</v>
      </c>
      <c r="V35" s="356" t="s">
        <v>1634</v>
      </c>
      <c r="W35" s="354" t="s">
        <v>1635</v>
      </c>
      <c r="X35" s="355" t="s">
        <v>1636</v>
      </c>
      <c r="Y35" s="354" t="s">
        <v>1637</v>
      </c>
      <c r="Z35" s="355" t="s">
        <v>1638</v>
      </c>
      <c r="AA35" s="354" t="s">
        <v>1639</v>
      </c>
      <c r="AB35" s="355" t="s">
        <v>1640</v>
      </c>
      <c r="AC35" s="357" t="s">
        <v>1641</v>
      </c>
      <c r="AD35" s="356" t="s">
        <v>1642</v>
      </c>
      <c r="AE35" s="962" t="s">
        <v>1643</v>
      </c>
      <c r="AF35" s="355" t="s">
        <v>1644</v>
      </c>
      <c r="AG35" s="354" t="s">
        <v>1645</v>
      </c>
      <c r="AH35" s="355" t="s">
        <v>1646</v>
      </c>
      <c r="AI35" s="358" t="s">
        <v>1647</v>
      </c>
      <c r="AJ35" s="376" t="s">
        <v>1648</v>
      </c>
      <c r="AK35" s="357" t="s">
        <v>1649</v>
      </c>
      <c r="AL35" s="355" t="s">
        <v>1650</v>
      </c>
      <c r="AM35" s="108" t="str">
        <f t="shared" si="17"/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5" s="606"/>
      <c r="AO35" s="606"/>
      <c r="AP35" s="606"/>
      <c r="AQ35" s="606"/>
      <c r="AR35" s="606"/>
      <c r="AS35" s="606"/>
      <c r="AT35" s="606"/>
      <c r="AU35" s="606"/>
      <c r="AV35" s="606"/>
      <c r="AW35" s="606"/>
      <c r="BG35" s="108"/>
      <c r="BH35" s="108"/>
      <c r="BI35" s="108"/>
      <c r="BJ35" s="108"/>
      <c r="BK35" s="108"/>
      <c r="BL35" s="108"/>
      <c r="BM35" s="108"/>
      <c r="BN35" s="108"/>
      <c r="BO35" s="108"/>
      <c r="BS35" s="606"/>
      <c r="BT35" s="606"/>
      <c r="CL35" s="34"/>
      <c r="DC35" s="34"/>
      <c r="DH35" s="191" t="str">
        <f t="shared" si="18"/>
        <v xml:space="preserve"> * La variable Pueblos Originarios Hombres no puede ser Mayor al Total Hombres.</v>
      </c>
      <c r="DI35" s="191" t="str">
        <f t="shared" si="19"/>
        <v xml:space="preserve"> * La variable Pueblos Originarios Mujeres no puede ser Mayor al Total Mujeres.</v>
      </c>
      <c r="DJ35" s="191" t="str">
        <f t="shared" si="20"/>
        <v xml:space="preserve"> * La variable Migrantes Hombres no puede ser Mayor al Total.</v>
      </c>
      <c r="DK35" s="191" t="str">
        <f t="shared" si="21"/>
        <v xml:space="preserve"> * La variable Migrantes Mujeres no puede ser Mayor al Total.</v>
      </c>
      <c r="ES35" s="1047">
        <f t="shared" si="22"/>
        <v>1</v>
      </c>
      <c r="ET35" s="1047">
        <f t="shared" si="22"/>
        <v>1</v>
      </c>
      <c r="EU35" s="1047">
        <f t="shared" si="23"/>
        <v>1</v>
      </c>
      <c r="EV35" s="1047">
        <f t="shared" si="23"/>
        <v>1</v>
      </c>
    </row>
    <row r="36" spans="1:152" ht="15" customHeight="1" x14ac:dyDescent="0.25">
      <c r="A36" s="1585" t="s">
        <v>1036</v>
      </c>
      <c r="B36" s="1759"/>
      <c r="C36" s="62" t="s">
        <v>126</v>
      </c>
      <c r="D36" s="1374" t="s">
        <v>1616</v>
      </c>
      <c r="E36" s="762" t="s">
        <v>1617</v>
      </c>
      <c r="F36" s="370" t="s">
        <v>1618</v>
      </c>
      <c r="G36" s="928" t="s">
        <v>1619</v>
      </c>
      <c r="H36" s="929" t="s">
        <v>1620</v>
      </c>
      <c r="I36" s="342" t="s">
        <v>1621</v>
      </c>
      <c r="J36" s="345" t="s">
        <v>1622</v>
      </c>
      <c r="K36" s="342" t="s">
        <v>1623</v>
      </c>
      <c r="L36" s="345" t="s">
        <v>1624</v>
      </c>
      <c r="M36" s="315" t="s">
        <v>1625</v>
      </c>
      <c r="N36" s="750" t="s">
        <v>1626</v>
      </c>
      <c r="O36" s="315" t="s">
        <v>1627</v>
      </c>
      <c r="P36" s="316" t="s">
        <v>1628</v>
      </c>
      <c r="Q36" s="315" t="s">
        <v>1629</v>
      </c>
      <c r="R36" s="316" t="s">
        <v>1630</v>
      </c>
      <c r="S36" s="343" t="s">
        <v>1631</v>
      </c>
      <c r="T36" s="345" t="s">
        <v>1632</v>
      </c>
      <c r="U36" s="342" t="s">
        <v>1633</v>
      </c>
      <c r="V36" s="344" t="s">
        <v>1634</v>
      </c>
      <c r="W36" s="315" t="s">
        <v>1635</v>
      </c>
      <c r="X36" s="316" t="s">
        <v>1636</v>
      </c>
      <c r="Y36" s="315" t="s">
        <v>1637</v>
      </c>
      <c r="Z36" s="316" t="s">
        <v>1638</v>
      </c>
      <c r="AA36" s="315" t="s">
        <v>1639</v>
      </c>
      <c r="AB36" s="316" t="s">
        <v>1640</v>
      </c>
      <c r="AC36" s="343" t="s">
        <v>1641</v>
      </c>
      <c r="AD36" s="344" t="s">
        <v>1642</v>
      </c>
      <c r="AE36" s="961" t="s">
        <v>1643</v>
      </c>
      <c r="AF36" s="316" t="s">
        <v>1644</v>
      </c>
      <c r="AG36" s="315" t="s">
        <v>1645</v>
      </c>
      <c r="AH36" s="316" t="s">
        <v>1646</v>
      </c>
      <c r="AI36" s="350" t="s">
        <v>1647</v>
      </c>
      <c r="AJ36" s="647" t="s">
        <v>1648</v>
      </c>
      <c r="AK36" s="646" t="s">
        <v>1649</v>
      </c>
      <c r="AL36" s="361" t="s">
        <v>1650</v>
      </c>
      <c r="AM36" s="108" t="str">
        <f t="shared" si="17"/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6" s="606"/>
      <c r="AO36" s="606"/>
      <c r="AP36" s="606"/>
      <c r="AQ36" s="606"/>
      <c r="AR36" s="606"/>
      <c r="AS36" s="606"/>
      <c r="AT36" s="606"/>
      <c r="AU36" s="606"/>
      <c r="AV36" s="606"/>
      <c r="AW36" s="606"/>
      <c r="BG36" s="108"/>
      <c r="BH36" s="108"/>
      <c r="BI36" s="108"/>
      <c r="BJ36" s="108"/>
      <c r="BK36" s="108"/>
      <c r="BL36" s="108"/>
      <c r="BM36" s="108"/>
      <c r="BN36" s="108"/>
      <c r="BO36" s="108"/>
      <c r="BS36" s="606"/>
      <c r="BT36" s="606"/>
      <c r="CL36" s="34"/>
      <c r="DC36" s="34"/>
      <c r="DH36" s="191" t="str">
        <f t="shared" si="18"/>
        <v xml:space="preserve"> * La variable Pueblos Originarios Hombres no puede ser Mayor al Total Hombres.</v>
      </c>
      <c r="DI36" s="191" t="str">
        <f t="shared" si="19"/>
        <v xml:space="preserve"> * La variable Pueblos Originarios Mujeres no puede ser Mayor al Total Mujeres.</v>
      </c>
      <c r="DJ36" s="191" t="str">
        <f t="shared" si="20"/>
        <v xml:space="preserve"> * La variable Migrantes Hombres no puede ser Mayor al Total.</v>
      </c>
      <c r="DK36" s="191" t="str">
        <f t="shared" si="21"/>
        <v xml:space="preserve"> * La variable Migrantes Mujeres no puede ser Mayor al Total.</v>
      </c>
      <c r="ES36" s="1047">
        <f t="shared" si="22"/>
        <v>1</v>
      </c>
      <c r="ET36" s="1047">
        <f t="shared" si="22"/>
        <v>1</v>
      </c>
      <c r="EU36" s="1047">
        <f t="shared" si="23"/>
        <v>1</v>
      </c>
      <c r="EV36" s="1047">
        <f t="shared" si="23"/>
        <v>1</v>
      </c>
    </row>
    <row r="37" spans="1:152" ht="15" customHeight="1" x14ac:dyDescent="0.25">
      <c r="A37" s="1586"/>
      <c r="B37" s="1759"/>
      <c r="C37" s="1443" t="s">
        <v>242</v>
      </c>
      <c r="D37" s="1452">
        <f>SUM(E37:F37)</f>
        <v>0</v>
      </c>
      <c r="E37" s="760">
        <f t="shared" ref="E37:E39" si="24">+I37+K37+M37+O37+Q37+S37+U37+W37+Y37+AA37+AC37+AE37+AG37</f>
        <v>0</v>
      </c>
      <c r="F37" s="364">
        <f t="shared" ref="F37:F39" si="25">+J37+L37+N37+P37+R37+T37+V37+X37+Z37+AB37+AD37+AF37+AH37</f>
        <v>0</v>
      </c>
      <c r="G37" s="928"/>
      <c r="H37" s="929"/>
      <c r="I37" s="1236">
        <f t="shared" ref="I37:AL37" si="26">SUM(I32:I36)</f>
        <v>0</v>
      </c>
      <c r="J37" s="1448">
        <f t="shared" si="26"/>
        <v>0</v>
      </c>
      <c r="K37" s="1236">
        <f t="shared" si="26"/>
        <v>0</v>
      </c>
      <c r="L37" s="1448">
        <f t="shared" si="26"/>
        <v>0</v>
      </c>
      <c r="M37" s="1236">
        <f t="shared" si="26"/>
        <v>0</v>
      </c>
      <c r="N37" s="963">
        <f t="shared" si="26"/>
        <v>0</v>
      </c>
      <c r="O37" s="1449">
        <f t="shared" si="26"/>
        <v>0</v>
      </c>
      <c r="P37" s="963">
        <f t="shared" si="26"/>
        <v>0</v>
      </c>
      <c r="Q37" s="1449">
        <f t="shared" si="26"/>
        <v>0</v>
      </c>
      <c r="R37" s="1448">
        <f t="shared" si="26"/>
        <v>0</v>
      </c>
      <c r="S37" s="1236">
        <f t="shared" si="26"/>
        <v>0</v>
      </c>
      <c r="T37" s="1448">
        <f t="shared" si="26"/>
        <v>0</v>
      </c>
      <c r="U37" s="1236">
        <f t="shared" si="26"/>
        <v>0</v>
      </c>
      <c r="V37" s="1448">
        <f t="shared" si="26"/>
        <v>0</v>
      </c>
      <c r="W37" s="1236">
        <f t="shared" si="26"/>
        <v>0</v>
      </c>
      <c r="X37" s="963">
        <f t="shared" si="26"/>
        <v>0</v>
      </c>
      <c r="Y37" s="1449">
        <f t="shared" si="26"/>
        <v>0</v>
      </c>
      <c r="Z37" s="963">
        <f t="shared" si="26"/>
        <v>0</v>
      </c>
      <c r="AA37" s="1449">
        <f t="shared" si="26"/>
        <v>0</v>
      </c>
      <c r="AB37" s="1448">
        <f t="shared" si="26"/>
        <v>0</v>
      </c>
      <c r="AC37" s="1236">
        <f t="shared" si="26"/>
        <v>0</v>
      </c>
      <c r="AD37" s="1237">
        <f t="shared" si="26"/>
        <v>0</v>
      </c>
      <c r="AE37" s="1450">
        <f t="shared" si="26"/>
        <v>0</v>
      </c>
      <c r="AF37" s="963">
        <f t="shared" si="26"/>
        <v>0</v>
      </c>
      <c r="AG37" s="1236">
        <f t="shared" si="26"/>
        <v>0</v>
      </c>
      <c r="AH37" s="1448">
        <f t="shared" si="26"/>
        <v>0</v>
      </c>
      <c r="AI37" s="341">
        <f t="shared" si="26"/>
        <v>0</v>
      </c>
      <c r="AJ37" s="1449">
        <f t="shared" si="26"/>
        <v>0</v>
      </c>
      <c r="AK37" s="1449">
        <f t="shared" si="26"/>
        <v>0</v>
      </c>
      <c r="AL37" s="963">
        <f t="shared" si="26"/>
        <v>0</v>
      </c>
      <c r="AM37" s="108"/>
      <c r="AN37" s="606"/>
      <c r="AO37" s="606"/>
      <c r="AP37" s="606"/>
      <c r="AQ37" s="606"/>
      <c r="AR37" s="606"/>
      <c r="AS37" s="606"/>
      <c r="AT37" s="606"/>
      <c r="AU37" s="606"/>
      <c r="AV37" s="606"/>
      <c r="AW37" s="606"/>
      <c r="BG37" s="108"/>
      <c r="BH37" s="108"/>
      <c r="BI37" s="108"/>
      <c r="BJ37" s="108"/>
      <c r="BK37" s="108"/>
      <c r="BL37" s="108"/>
      <c r="BM37" s="108"/>
      <c r="BN37" s="108"/>
      <c r="BO37" s="108"/>
      <c r="BS37" s="606"/>
      <c r="BT37" s="606"/>
      <c r="CL37" s="34"/>
      <c r="DC37" s="34"/>
      <c r="DH37" s="34"/>
      <c r="DI37" s="34"/>
      <c r="DJ37" s="34"/>
      <c r="DK37" s="34"/>
      <c r="ES37" s="191"/>
      <c r="ET37" s="191"/>
      <c r="EU37" s="191"/>
      <c r="EV37" s="191"/>
    </row>
    <row r="38" spans="1:152" ht="15" customHeight="1" x14ac:dyDescent="0.25">
      <c r="A38" s="1585" t="s">
        <v>1037</v>
      </c>
      <c r="B38" s="1759"/>
      <c r="C38" s="1453" t="s">
        <v>243</v>
      </c>
      <c r="D38" s="1452" t="s">
        <v>1616</v>
      </c>
      <c r="E38" s="760" t="s">
        <v>1617</v>
      </c>
      <c r="F38" s="364" t="s">
        <v>1618</v>
      </c>
      <c r="G38" s="928" t="s">
        <v>1619</v>
      </c>
      <c r="H38" s="929" t="s">
        <v>1620</v>
      </c>
      <c r="I38" s="342" t="s">
        <v>1621</v>
      </c>
      <c r="J38" s="345" t="s">
        <v>1622</v>
      </c>
      <c r="K38" s="342" t="s">
        <v>1623</v>
      </c>
      <c r="L38" s="345" t="s">
        <v>1624</v>
      </c>
      <c r="M38" s="1233" t="s">
        <v>1625</v>
      </c>
      <c r="N38" s="345" t="s">
        <v>1626</v>
      </c>
      <c r="O38" s="1442" t="s">
        <v>1627</v>
      </c>
      <c r="P38" s="345" t="s">
        <v>1628</v>
      </c>
      <c r="Q38" s="1442" t="s">
        <v>1629</v>
      </c>
      <c r="R38" s="325" t="s">
        <v>1630</v>
      </c>
      <c r="S38" s="342" t="s">
        <v>1631</v>
      </c>
      <c r="T38" s="345" t="s">
        <v>1632</v>
      </c>
      <c r="U38" s="342" t="s">
        <v>1633</v>
      </c>
      <c r="V38" s="345" t="s">
        <v>1634</v>
      </c>
      <c r="W38" s="1233" t="s">
        <v>1635</v>
      </c>
      <c r="X38" s="345" t="s">
        <v>1636</v>
      </c>
      <c r="Y38" s="1442" t="s">
        <v>1637</v>
      </c>
      <c r="Z38" s="345" t="s">
        <v>1638</v>
      </c>
      <c r="AA38" s="1442" t="s">
        <v>1639</v>
      </c>
      <c r="AB38" s="325" t="s">
        <v>1640</v>
      </c>
      <c r="AC38" s="342" t="s">
        <v>1641</v>
      </c>
      <c r="AD38" s="344" t="s">
        <v>1642</v>
      </c>
      <c r="AE38" s="1441" t="s">
        <v>1643</v>
      </c>
      <c r="AF38" s="323" t="s">
        <v>1644</v>
      </c>
      <c r="AG38" s="342" t="s">
        <v>1645</v>
      </c>
      <c r="AH38" s="345" t="s">
        <v>1646</v>
      </c>
      <c r="AI38" s="360" t="s">
        <v>1647</v>
      </c>
      <c r="AJ38" s="646" t="s">
        <v>1648</v>
      </c>
      <c r="AK38" s="646" t="s">
        <v>1649</v>
      </c>
      <c r="AL38" s="361" t="s">
        <v>1650</v>
      </c>
      <c r="AM38" s="108" t="str">
        <f>($DH38&amp;DI38&amp;DJ38&amp;DK38)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8" s="606"/>
      <c r="AO38" s="606"/>
      <c r="AP38" s="606"/>
      <c r="AQ38" s="606"/>
      <c r="AR38" s="606"/>
      <c r="AS38" s="606"/>
      <c r="AT38" s="606"/>
      <c r="AV38" s="606"/>
      <c r="AW38" s="606"/>
      <c r="BG38" s="108"/>
      <c r="BH38" s="108"/>
      <c r="BI38" s="108"/>
      <c r="BJ38" s="108"/>
      <c r="BK38" s="108"/>
      <c r="BL38" s="108"/>
      <c r="BM38" s="108"/>
      <c r="BN38" s="108"/>
      <c r="BO38" s="108"/>
      <c r="BS38" s="606"/>
      <c r="BT38" s="606"/>
      <c r="CL38" s="34"/>
      <c r="DC38" s="34"/>
      <c r="DH38" s="191" t="str">
        <f>IF(AND(E38&gt;0,OR(AI38=""))," * No olvide digitar la variable Pueblos Originarios Hombres (Digite Cero si no tiene).",IF(AI38&gt;E38," * La variable Pueblos Originarios Hombres no puede ser Mayor al Total Hombres.",""))</f>
        <v xml:space="preserve"> * La variable Pueblos Originarios Hombres no puede ser Mayor al Total Hombres.</v>
      </c>
      <c r="DI38" s="191" t="str">
        <f>IF(AND(F38&gt;0,OR(AJ38=""))," * No olvide digitar la variable Pueblos Originarios Mujeres (Digite Cero si no tiene).",IF(AJ38&gt;F38," * La variable Pueblos Originarios Mujeres no puede ser Mayor al Total Mujeres.",""))</f>
        <v xml:space="preserve"> * La variable Pueblos Originarios Mujeres no puede ser Mayor al Total Mujeres.</v>
      </c>
      <c r="DJ38" s="191" t="str">
        <f>IF(AND(E38&gt;0,OR(AK38=""))," * No olvide digitar la variable Migrantes Hombres (Digite Cero si no tiene).",IF(AK38&gt;E38," * La variable Migrantes Hombres no puede ser Mayor al Total.",""))</f>
        <v xml:space="preserve"> * La variable Migrantes Hombres no puede ser Mayor al Total.</v>
      </c>
      <c r="DK38" s="191" t="str">
        <f>IF(AND(F38&gt;0,OR(AL38=""))," * No olvide digitar la variable Migrantes Mujeres (Digite Cero si no tiene).",IF(AL38&gt;F38," * La variable Migrantes Mujeres no puede ser Mayor al Total.",""))</f>
        <v xml:space="preserve"> * La variable Migrantes Mujeres no puede ser Mayor al Total.</v>
      </c>
      <c r="ES38" s="1047">
        <f>IF(AND(E38&gt;0,OR(AI38="")),1,IF(AI38&gt;E38,1,0))</f>
        <v>1</v>
      </c>
      <c r="ET38" s="1047">
        <f>IF(AND(F38&gt;0,OR(AJ38="")),1,IF(AJ38&gt;F38,1,0))</f>
        <v>1</v>
      </c>
      <c r="EU38" s="1047">
        <f>IF(AND(E38&gt;0,OR(AK38="")),1,IF(AK38&gt;E38,1,0))</f>
        <v>1</v>
      </c>
      <c r="EV38" s="1047">
        <f>IF(AND(F38&gt;0,OR(AL38="")),1,IF(AL38&gt;F38,1,0))</f>
        <v>1</v>
      </c>
    </row>
    <row r="39" spans="1:152" ht="15" customHeight="1" x14ac:dyDescent="0.25">
      <c r="A39" s="1588"/>
      <c r="B39" s="1760"/>
      <c r="C39" s="1439" t="s">
        <v>89</v>
      </c>
      <c r="D39" s="1454" t="e">
        <f t="shared" si="1"/>
        <v>#VALUE!</v>
      </c>
      <c r="E39" s="1239" t="e">
        <f t="shared" si="24"/>
        <v>#VALUE!</v>
      </c>
      <c r="F39" s="1455" t="e">
        <f t="shared" si="25"/>
        <v>#VALUE!</v>
      </c>
      <c r="G39" s="928"/>
      <c r="H39" s="929"/>
      <c r="I39" s="1236" t="e">
        <f t="shared" ref="I39:AL39" si="27">SUM(I32:I36)+I38</f>
        <v>#VALUE!</v>
      </c>
      <c r="J39" s="963" t="e">
        <f t="shared" si="27"/>
        <v>#VALUE!</v>
      </c>
      <c r="K39" s="1236" t="e">
        <f t="shared" si="27"/>
        <v>#VALUE!</v>
      </c>
      <c r="L39" s="963" t="e">
        <f t="shared" si="27"/>
        <v>#VALUE!</v>
      </c>
      <c r="M39" s="1236" t="e">
        <f t="shared" si="27"/>
        <v>#VALUE!</v>
      </c>
      <c r="N39" s="963" t="e">
        <f t="shared" si="27"/>
        <v>#VALUE!</v>
      </c>
      <c r="O39" s="1445" t="e">
        <f t="shared" si="27"/>
        <v>#VALUE!</v>
      </c>
      <c r="P39" s="940" t="e">
        <f t="shared" si="27"/>
        <v>#VALUE!</v>
      </c>
      <c r="Q39" s="1445" t="e">
        <f t="shared" si="27"/>
        <v>#VALUE!</v>
      </c>
      <c r="R39" s="1455" t="e">
        <f t="shared" si="27"/>
        <v>#VALUE!</v>
      </c>
      <c r="S39" s="1234" t="e">
        <f t="shared" si="27"/>
        <v>#VALUE!</v>
      </c>
      <c r="T39" s="1455" t="e">
        <f t="shared" si="27"/>
        <v>#VALUE!</v>
      </c>
      <c r="U39" s="1234" t="e">
        <f t="shared" si="27"/>
        <v>#VALUE!</v>
      </c>
      <c r="V39" s="1455" t="e">
        <f t="shared" si="27"/>
        <v>#VALUE!</v>
      </c>
      <c r="W39" s="1234" t="e">
        <f t="shared" si="27"/>
        <v>#VALUE!</v>
      </c>
      <c r="X39" s="940" t="e">
        <f t="shared" si="27"/>
        <v>#VALUE!</v>
      </c>
      <c r="Y39" s="1445" t="e">
        <f t="shared" si="27"/>
        <v>#VALUE!</v>
      </c>
      <c r="Z39" s="940" t="e">
        <f t="shared" si="27"/>
        <v>#VALUE!</v>
      </c>
      <c r="AA39" s="1445" t="e">
        <f t="shared" si="27"/>
        <v>#VALUE!</v>
      </c>
      <c r="AB39" s="1455" t="e">
        <f t="shared" si="27"/>
        <v>#VALUE!</v>
      </c>
      <c r="AC39" s="1234" t="e">
        <f t="shared" si="27"/>
        <v>#VALUE!</v>
      </c>
      <c r="AD39" s="1235" t="e">
        <f t="shared" si="27"/>
        <v>#VALUE!</v>
      </c>
      <c r="AE39" s="1446" t="e">
        <f t="shared" si="27"/>
        <v>#VALUE!</v>
      </c>
      <c r="AF39" s="940" t="e">
        <f t="shared" si="27"/>
        <v>#VALUE!</v>
      </c>
      <c r="AG39" s="1234" t="e">
        <f t="shared" si="27"/>
        <v>#VALUE!</v>
      </c>
      <c r="AH39" s="1455" t="e">
        <f t="shared" si="27"/>
        <v>#VALUE!</v>
      </c>
      <c r="AI39" s="335" t="e">
        <f t="shared" si="27"/>
        <v>#VALUE!</v>
      </c>
      <c r="AJ39" s="1445" t="e">
        <f t="shared" si="27"/>
        <v>#VALUE!</v>
      </c>
      <c r="AK39" s="1445" t="e">
        <f t="shared" si="27"/>
        <v>#VALUE!</v>
      </c>
      <c r="AL39" s="940" t="e">
        <f t="shared" si="27"/>
        <v>#VALUE!</v>
      </c>
      <c r="AM39" s="108"/>
      <c r="AN39" s="606"/>
      <c r="AO39" s="606"/>
      <c r="AP39" s="606"/>
      <c r="AQ39" s="606"/>
      <c r="AR39" s="606"/>
      <c r="AS39" s="606"/>
      <c r="AT39" s="606"/>
      <c r="AU39" s="606"/>
      <c r="AV39" s="606"/>
      <c r="AW39" s="606"/>
      <c r="BG39" s="108"/>
      <c r="BH39" s="108"/>
      <c r="BI39" s="108"/>
      <c r="BJ39" s="108"/>
      <c r="BK39" s="108"/>
      <c r="BL39" s="108"/>
      <c r="BM39" s="108"/>
      <c r="BN39" s="108"/>
      <c r="BO39" s="108"/>
      <c r="BS39" s="606"/>
      <c r="BT39" s="606"/>
      <c r="CL39" s="34"/>
      <c r="DC39" s="34"/>
      <c r="DH39" s="34"/>
      <c r="DI39" s="34"/>
      <c r="DJ39" s="34"/>
      <c r="DK39" s="34"/>
      <c r="ES39" s="191"/>
      <c r="ET39" s="191"/>
      <c r="EU39" s="191"/>
      <c r="EV39" s="191"/>
    </row>
    <row r="40" spans="1:152" ht="22.5" customHeight="1" x14ac:dyDescent="0.25">
      <c r="A40" s="1585" t="s">
        <v>1038</v>
      </c>
      <c r="B40" s="1845" t="s">
        <v>244</v>
      </c>
      <c r="C40" s="1846"/>
      <c r="D40" s="349" t="s">
        <v>1616</v>
      </c>
      <c r="E40" s="362" t="s">
        <v>1617</v>
      </c>
      <c r="F40" s="371" t="s">
        <v>1618</v>
      </c>
      <c r="G40" s="1233" t="s">
        <v>1619</v>
      </c>
      <c r="H40" s="1451" t="s">
        <v>1620</v>
      </c>
      <c r="I40" s="1233" t="s">
        <v>1621</v>
      </c>
      <c r="J40" s="957" t="s">
        <v>1622</v>
      </c>
      <c r="K40" s="1233" t="s">
        <v>1623</v>
      </c>
      <c r="L40" s="957" t="s">
        <v>1624</v>
      </c>
      <c r="M40" s="1233" t="s">
        <v>1625</v>
      </c>
      <c r="N40" s="957" t="s">
        <v>1626</v>
      </c>
      <c r="O40" s="1442" t="s">
        <v>1627</v>
      </c>
      <c r="P40" s="957" t="s">
        <v>1628</v>
      </c>
      <c r="Q40" s="1442" t="s">
        <v>1629</v>
      </c>
      <c r="R40" s="1442" t="s">
        <v>1630</v>
      </c>
      <c r="S40" s="1233" t="s">
        <v>1631</v>
      </c>
      <c r="T40" s="957" t="s">
        <v>1632</v>
      </c>
      <c r="U40" s="1233" t="s">
        <v>1633</v>
      </c>
      <c r="V40" s="957" t="s">
        <v>1634</v>
      </c>
      <c r="W40" s="1233" t="s">
        <v>1635</v>
      </c>
      <c r="X40" s="957" t="s">
        <v>1636</v>
      </c>
      <c r="Y40" s="1442" t="s">
        <v>1637</v>
      </c>
      <c r="Z40" s="957" t="s">
        <v>1638</v>
      </c>
      <c r="AA40" s="1442" t="s">
        <v>1639</v>
      </c>
      <c r="AB40" s="1442" t="s">
        <v>1640</v>
      </c>
      <c r="AC40" s="1233" t="s">
        <v>1641</v>
      </c>
      <c r="AD40" s="319" t="s">
        <v>1642</v>
      </c>
      <c r="AE40" s="1441" t="s">
        <v>1643</v>
      </c>
      <c r="AF40" s="957" t="s">
        <v>1644</v>
      </c>
      <c r="AG40" s="1233" t="s">
        <v>1645</v>
      </c>
      <c r="AH40" s="957" t="s">
        <v>1646</v>
      </c>
      <c r="AI40" s="320" t="s">
        <v>1647</v>
      </c>
      <c r="AJ40" s="1442" t="s">
        <v>1648</v>
      </c>
      <c r="AK40" s="1442" t="s">
        <v>1649</v>
      </c>
      <c r="AL40" s="957" t="s">
        <v>1650</v>
      </c>
      <c r="AM40" s="108" t="str">
        <f>($DH40&amp;DI40&amp;DJ40&amp;DK40)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40" s="606"/>
      <c r="AO40" s="606"/>
      <c r="AP40" s="606"/>
      <c r="AQ40" s="606"/>
      <c r="AR40" s="606"/>
      <c r="AS40" s="606"/>
      <c r="AT40" s="606"/>
      <c r="AU40" s="606"/>
      <c r="AV40" s="606"/>
      <c r="AW40" s="606"/>
      <c r="BG40" s="108"/>
      <c r="BH40" s="108"/>
      <c r="BI40" s="108"/>
      <c r="BJ40" s="108"/>
      <c r="BK40" s="108"/>
      <c r="BL40" s="108"/>
      <c r="BM40" s="108"/>
      <c r="BN40" s="108"/>
      <c r="BO40" s="108"/>
      <c r="BS40" s="606"/>
      <c r="BT40" s="606"/>
      <c r="CL40" s="34"/>
      <c r="DC40" s="34"/>
      <c r="DH40" s="191" t="str">
        <f>IF(AND(E40&gt;0,OR(AI40=""))," * No olvide digitar la variable Pueblos Originarios Hombres (Digite Cero si no tiene).",IF(AI40&gt;E40," * La variable Pueblos Originarios Hombres no puede ser Mayor al Total Hombres.",""))</f>
        <v xml:space="preserve"> * La variable Pueblos Originarios Hombres no puede ser Mayor al Total Hombres.</v>
      </c>
      <c r="DI40" s="191" t="str">
        <f>IF(AND(F40&gt;0,OR(AJ40=""))," * No olvide digitar la variable Pueblos Originarios Mujeres (Digite Cero si no tiene).",IF(AJ40&gt;F40," * La variable Pueblos Originarios Mujeres no puede ser Mayor al Total Mujeres.",""))</f>
        <v xml:space="preserve"> * La variable Pueblos Originarios Mujeres no puede ser Mayor al Total Mujeres.</v>
      </c>
      <c r="DJ40" s="191" t="str">
        <f>IF(AND(E40&gt;0,OR(AK40=""))," * No olvide digitar la variable Migrantes Hombres (Digite Cero si no tiene).",IF(AK40&gt;E40," * La variable Migrantes Hombres no puede ser Mayor al Total.",""))</f>
        <v xml:space="preserve"> * La variable Migrantes Hombres no puede ser Mayor al Total.</v>
      </c>
      <c r="DK40" s="191" t="str">
        <f>IF(AND(F40&gt;0,OR(AL40=""))," * No olvide digitar la variable Migrantes Mujeres (Digite Cero si no tiene).",IF(AL40&gt;F40," * La variable Migrantes Mujeres no puede ser Mayor al Total.",""))</f>
        <v xml:space="preserve"> * La variable Migrantes Mujeres no puede ser Mayor al Total.</v>
      </c>
      <c r="ES40" s="1047">
        <f>IF(AND(E40&gt;0,OR(AI40="")),1,IF(AI40&gt;E40,1,0))</f>
        <v>1</v>
      </c>
      <c r="ET40" s="1047">
        <f>IF(AND(F40&gt;0,OR(AJ40="")),1,IF(AJ40&gt;F40,1,0))</f>
        <v>1</v>
      </c>
      <c r="EU40" s="1047">
        <f>IF(AND(E40&gt;0,OR(AK40="")),1,IF(AK40&gt;E40,1,0))</f>
        <v>1</v>
      </c>
      <c r="EV40" s="1047">
        <f>IF(AND(F40&gt;0,OR(AL40="")),1,IF(AL40&gt;F40,1,0))</f>
        <v>1</v>
      </c>
    </row>
    <row r="41" spans="1:152" ht="17.100000000000001" customHeight="1" x14ac:dyDescent="0.15">
      <c r="B41" s="1888" t="s">
        <v>245</v>
      </c>
      <c r="C41" s="1888"/>
      <c r="D41" s="1888"/>
      <c r="E41" s="1888"/>
      <c r="F41" s="1888"/>
      <c r="G41" s="1888"/>
      <c r="H41" s="1888"/>
      <c r="I41" s="1888"/>
      <c r="J41" s="1888"/>
      <c r="K41" s="1888"/>
      <c r="L41" s="1888"/>
      <c r="M41" s="1888"/>
      <c r="N41" s="1888"/>
      <c r="O41" s="1888"/>
      <c r="P41" s="1888"/>
      <c r="Q41" s="224"/>
      <c r="R41" s="224"/>
      <c r="S41" s="972"/>
      <c r="T41" s="972"/>
      <c r="U41" s="972"/>
      <c r="V41" s="972"/>
      <c r="W41" s="972"/>
      <c r="X41" s="972"/>
      <c r="Y41" s="972"/>
      <c r="Z41" s="972"/>
      <c r="AA41" s="972"/>
      <c r="AB41" s="972"/>
      <c r="AC41" s="972"/>
      <c r="AD41" s="972"/>
      <c r="AE41" s="972"/>
      <c r="AF41" s="972"/>
      <c r="AG41" s="972"/>
      <c r="AH41" s="972"/>
      <c r="AI41" s="972"/>
      <c r="AJ41" s="972"/>
      <c r="AK41" s="972"/>
      <c r="AL41" s="972"/>
      <c r="AM41" s="972"/>
      <c r="AN41" s="972"/>
      <c r="AO41" s="972"/>
      <c r="AP41" s="972"/>
      <c r="AQ41" s="972"/>
      <c r="AR41" s="972"/>
      <c r="AS41" s="972"/>
      <c r="AT41" s="972"/>
      <c r="AU41" s="972"/>
      <c r="AV41" s="972"/>
      <c r="AW41" s="972"/>
      <c r="AX41" s="108"/>
      <c r="AY41" s="108"/>
      <c r="AZ41" s="108"/>
      <c r="BA41" s="108"/>
      <c r="BB41" s="108"/>
      <c r="BC41" s="108"/>
      <c r="BD41" s="108"/>
      <c r="BE41" s="108"/>
      <c r="BF41" s="108"/>
      <c r="BG41" s="108"/>
      <c r="BH41" s="108"/>
      <c r="BI41" s="108"/>
      <c r="BJ41" s="108"/>
      <c r="BK41" s="108"/>
      <c r="BL41" s="108"/>
      <c r="BM41" s="108"/>
      <c r="BN41" s="108"/>
      <c r="BO41" s="108"/>
      <c r="BP41" s="108"/>
      <c r="BQ41" s="108"/>
      <c r="BR41" s="108"/>
      <c r="CB41" s="972"/>
    </row>
    <row r="42" spans="1:152" ht="27.75" customHeight="1" x14ac:dyDescent="0.25">
      <c r="B42" s="1778" t="s">
        <v>210</v>
      </c>
      <c r="C42" s="1779"/>
      <c r="D42" s="1860" t="s">
        <v>49</v>
      </c>
      <c r="E42" s="1860"/>
      <c r="F42" s="1861"/>
      <c r="G42" s="1790" t="s">
        <v>246</v>
      </c>
      <c r="H42" s="1791"/>
      <c r="I42" s="1791"/>
      <c r="J42" s="1791"/>
      <c r="K42" s="1791"/>
      <c r="L42" s="1791"/>
      <c r="M42" s="1791"/>
      <c r="N42" s="1791"/>
      <c r="O42" s="1791"/>
      <c r="P42" s="1791"/>
      <c r="Q42" s="1791"/>
      <c r="R42" s="1791"/>
      <c r="S42" s="1791"/>
      <c r="T42" s="1857"/>
      <c r="U42" s="36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08"/>
      <c r="AL42" s="108"/>
      <c r="AM42" s="108"/>
      <c r="AN42" s="108"/>
      <c r="AO42" s="108"/>
      <c r="AP42" s="108"/>
      <c r="AQ42" s="108"/>
      <c r="AR42" s="108"/>
      <c r="AS42" s="108"/>
      <c r="AT42" s="108"/>
      <c r="AU42" s="108"/>
      <c r="AV42" s="108"/>
      <c r="AW42" s="108"/>
      <c r="AX42" s="108"/>
      <c r="AY42" s="108"/>
      <c r="AZ42" s="108"/>
      <c r="BA42" s="108"/>
      <c r="BB42" s="108"/>
      <c r="BC42" s="108"/>
      <c r="BS42" s="606"/>
      <c r="BT42" s="606"/>
      <c r="BU42" s="606"/>
      <c r="BV42" s="606"/>
      <c r="BW42" s="606"/>
      <c r="BX42" s="606"/>
    </row>
    <row r="43" spans="1:152" ht="24" customHeight="1" x14ac:dyDescent="0.25">
      <c r="B43" s="1780"/>
      <c r="C43" s="1781"/>
      <c r="D43" s="1771"/>
      <c r="E43" s="1771"/>
      <c r="F43" s="1772"/>
      <c r="G43" s="1755" t="s">
        <v>247</v>
      </c>
      <c r="H43" s="1756"/>
      <c r="I43" s="1755" t="s">
        <v>248</v>
      </c>
      <c r="J43" s="1756"/>
      <c r="K43" s="1755" t="s">
        <v>249</v>
      </c>
      <c r="L43" s="1756"/>
      <c r="M43" s="1755" t="s">
        <v>250</v>
      </c>
      <c r="N43" s="1756"/>
      <c r="O43" s="1755" t="s">
        <v>251</v>
      </c>
      <c r="P43" s="1756"/>
      <c r="Q43" s="1855" t="s">
        <v>51</v>
      </c>
      <c r="R43" s="1856"/>
      <c r="S43" s="1853" t="s">
        <v>52</v>
      </c>
      <c r="T43" s="1854"/>
      <c r="U43" s="36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  <c r="AM43" s="108"/>
      <c r="AN43" s="108"/>
      <c r="AO43" s="108"/>
      <c r="AP43" s="108"/>
      <c r="AQ43" s="108"/>
      <c r="AR43" s="108"/>
      <c r="AS43" s="108"/>
      <c r="AT43" s="108"/>
      <c r="AU43" s="108"/>
      <c r="AV43" s="108"/>
      <c r="AW43" s="108"/>
      <c r="AX43" s="108"/>
      <c r="AY43" s="108"/>
      <c r="AZ43" s="108"/>
      <c r="BA43" s="108"/>
      <c r="BB43" s="108"/>
      <c r="BC43" s="108"/>
      <c r="BS43" s="606"/>
      <c r="BT43" s="606"/>
      <c r="BU43" s="606"/>
      <c r="BV43" s="606"/>
      <c r="BW43" s="606"/>
      <c r="BX43" s="606"/>
    </row>
    <row r="44" spans="1:152" ht="32.25" customHeight="1" x14ac:dyDescent="0.25">
      <c r="B44" s="1782"/>
      <c r="C44" s="1783"/>
      <c r="D44" s="971" t="s">
        <v>226</v>
      </c>
      <c r="E44" s="1232" t="s">
        <v>86</v>
      </c>
      <c r="F44" s="1440" t="s">
        <v>227</v>
      </c>
      <c r="G44" s="973" t="s">
        <v>86</v>
      </c>
      <c r="H44" s="974" t="s">
        <v>227</v>
      </c>
      <c r="I44" s="973" t="s">
        <v>86</v>
      </c>
      <c r="J44" s="892" t="s">
        <v>227</v>
      </c>
      <c r="K44" s="603" t="s">
        <v>86</v>
      </c>
      <c r="L44" s="892" t="s">
        <v>227</v>
      </c>
      <c r="M44" s="603" t="s">
        <v>86</v>
      </c>
      <c r="N44" s="892" t="s">
        <v>227</v>
      </c>
      <c r="O44" s="603" t="s">
        <v>86</v>
      </c>
      <c r="P44" s="975" t="s">
        <v>227</v>
      </c>
      <c r="Q44" s="976" t="s">
        <v>86</v>
      </c>
      <c r="R44" s="977" t="s">
        <v>227</v>
      </c>
      <c r="S44" s="1457" t="s">
        <v>86</v>
      </c>
      <c r="T44" s="1440" t="s">
        <v>227</v>
      </c>
      <c r="U44" s="36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  <c r="AO44" s="108"/>
      <c r="AP44" s="108"/>
      <c r="AQ44" s="108"/>
      <c r="AR44" s="108"/>
      <c r="AS44" s="108"/>
      <c r="AT44" s="108"/>
      <c r="AU44" s="108"/>
      <c r="AV44" s="108"/>
      <c r="AW44" s="108"/>
      <c r="AX44" s="108"/>
      <c r="AY44" s="108"/>
      <c r="AZ44" s="108"/>
      <c r="BA44" s="108"/>
      <c r="BB44" s="108"/>
      <c r="BC44" s="108"/>
      <c r="BS44" s="606"/>
      <c r="BT44" s="606"/>
      <c r="BU44" s="606"/>
      <c r="BV44" s="606"/>
      <c r="BW44" s="606"/>
      <c r="BX44" s="606"/>
    </row>
    <row r="45" spans="1:152" ht="15" customHeight="1" x14ac:dyDescent="0.25">
      <c r="A45" s="1589" t="s">
        <v>1039</v>
      </c>
      <c r="B45" s="1858" t="s">
        <v>252</v>
      </c>
      <c r="C45" s="1859"/>
      <c r="D45" s="1458" t="s">
        <v>1616</v>
      </c>
      <c r="E45" s="362" t="s">
        <v>1617</v>
      </c>
      <c r="F45" s="313" t="s">
        <v>1618</v>
      </c>
      <c r="G45" s="322" t="s">
        <v>1619</v>
      </c>
      <c r="H45" s="323" t="s">
        <v>1620</v>
      </c>
      <c r="I45" s="322" t="s">
        <v>1621</v>
      </c>
      <c r="J45" s="323" t="s">
        <v>1622</v>
      </c>
      <c r="K45" s="325" t="s">
        <v>1623</v>
      </c>
      <c r="L45" s="323" t="s">
        <v>1624</v>
      </c>
      <c r="M45" s="325" t="s">
        <v>1625</v>
      </c>
      <c r="N45" s="323" t="s">
        <v>1626</v>
      </c>
      <c r="O45" s="325" t="s">
        <v>1627</v>
      </c>
      <c r="P45" s="324" t="s">
        <v>1628</v>
      </c>
      <c r="Q45" s="326" t="s">
        <v>1629</v>
      </c>
      <c r="R45" s="375" t="s">
        <v>1630</v>
      </c>
      <c r="S45" s="325" t="s">
        <v>1631</v>
      </c>
      <c r="T45" s="323" t="s">
        <v>1632</v>
      </c>
      <c r="U45" s="178" t="e">
        <f>CB45&amp;CC45&amp; CD45&amp;CD45&amp;CE45&amp;CF45&amp;CG45&amp;CH45&amp;CI45&amp;CJ45&amp;CK45&amp;CL45&amp;CM45&amp;CN45&amp;CO45&amp;CP45&amp;CQ45&amp;CR45&amp;CS45</f>
        <v>#VALUE!</v>
      </c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C45" s="172"/>
      <c r="BS45" s="606"/>
      <c r="BT45" s="606"/>
      <c r="BU45" s="606"/>
      <c r="BV45" s="606"/>
      <c r="BW45" s="606"/>
      <c r="BX45" s="606"/>
      <c r="BZ45" s="172"/>
      <c r="CA45" s="172"/>
      <c r="CB45" s="191" t="e">
        <f>IF(G45&lt;&gt;G73,"* El Total de Hombres en control de 5 a 5 años 11 meses no debe ser distinto al total Hombres del Diagnóstico Nutricional Integrado. ","")</f>
        <v>#VALUE!</v>
      </c>
      <c r="CC45" s="191" t="e">
        <f>IF(H45&lt;&gt;H73,"* El Total de Mujeres en control de 5 a 5 años 11 meses no debe ser distinto al total Mujeres del Diagnóstico Nutricional Integrado. ","")</f>
        <v>#VALUE!</v>
      </c>
      <c r="CD45" s="191" t="e">
        <f>IF(I45&lt;&gt;I73,"* El Total de Hombres en control de 6 a 6 años 11 meses no debe ser distinto al total Hombres del Diagnóstico Nutricional Integrado. ","")</f>
        <v>#VALUE!</v>
      </c>
      <c r="CE45" s="191" t="e">
        <f>IF(J45&lt;&gt;J73,"* El Total de Mujeres en control de 6 a 6 años 11 meses no debe ser distinto al total Mujeres del Diagnóstico Nutricional Integrado. ","")</f>
        <v>#VALUE!</v>
      </c>
      <c r="CF45" s="191" t="e">
        <f>IF(K45&lt;&gt;K73,"* El Total de Hombres en control de 7 a 7 años 11 meses no debe ser distinto al total Hombres del Diagnóstico Nutricional Integrado. ","")</f>
        <v>#VALUE!</v>
      </c>
      <c r="CG45" s="191" t="e">
        <f>IF(L45&lt;&gt;L73,"* El Total de Mujeres en control de 7 a 7 años 11 meses no debe ser distinto al total Mujeres del Diagnóstico Nutricional Integrado. ","")</f>
        <v>#VALUE!</v>
      </c>
      <c r="CH45" s="191" t="e">
        <f>IF(M45&lt;&gt;M73,"* El Total de Hombres en control de 8 a 8 años 11 meses no debe ser distinto al total Hombres del Diagnóstico Nutricional Integrado. ","")</f>
        <v>#VALUE!</v>
      </c>
      <c r="CI45" s="191" t="e">
        <f>IF(N45&lt;&gt;N73,"* El Total de Mujeres en control de 8 a 8 años 11 meses no debe ser distinto al total Mujeres del Diagnóstico Nutricional Integrado. ","")</f>
        <v>#VALUE!</v>
      </c>
      <c r="CJ45" s="191" t="e">
        <f>IF(O45&lt;&gt;O73,"* El Total de Hombres en control de 9 a 9 años 11 meses no debe ser distinto al total Hombres del Diagnóstico Nutricional Integrado. ","")</f>
        <v>#VALUE!</v>
      </c>
      <c r="CK45" s="191" t="e">
        <f>IF(P45&lt;&gt;P73,"* El Total de Mujeres en control de 9 a 9 años 11 meses no debe ser distinto al total Mujeres del Diagnóstico Nutricional Integrado. ","")</f>
        <v>#VALUE!</v>
      </c>
      <c r="CL45" s="191" t="str">
        <f>IF(AND(E45&gt;0,OR(Q45=""))," * No olvide digitar la variable Pueblos Originarios Hombres (Digite Cero si no tiene).",IF(Q45&gt;E45," * La variable Pueblos Originarios Hombres no puede ser Mayor al Total Hombres.",""))</f>
        <v xml:space="preserve"> * La variable Pueblos Originarios Hombres no puede ser Mayor al Total Hombres.</v>
      </c>
      <c r="CM45" s="191" t="str">
        <f>IF(AND(F45&gt;0,OR(R45=""))," * No olvide digitar la variable Pueblos Originarios Mujeres (Digite Cero si no tiene).",IF(R45&gt;F45," * La variable Pueblos Originarios Mujeres no puede ser Mayor al Total Mujeres.",""))</f>
        <v xml:space="preserve"> * La variable Pueblos Originarios Mujeres no puede ser Mayor al Total Mujeres.</v>
      </c>
      <c r="CN45" s="191" t="str">
        <f>IF(AND(E45&gt;0,OR(S45=""))," * No olvide digitar la variable Migrantes Hombres (Digite Cero si no tiene).",IF(S45&gt;E45," * La variable Migrantes Hombres no puede ser Mayor al Total Hombres.",""))</f>
        <v xml:space="preserve"> * La variable Migrantes Hombres no puede ser Mayor al Total Hombres.</v>
      </c>
      <c r="CO45" s="191" t="str">
        <f>IF(AND(F45&gt;0,OR(T45=""))," * No olvide digitar la variable Migrantes Mujeres (Digite Cero si no tiene).",IF(T45&gt;F45," * La variable Migrantes Mujeres no puede ser Mayor al Total Mujeres.",""))</f>
        <v xml:space="preserve"> * La variable Migrantes Mujeres no puede ser Mayor al Total Mujeres.</v>
      </c>
      <c r="CP45" s="191" t="e">
        <f>IF(Q45&lt;&gt;Q73,"* El Total de Pueblos Originarios Hombres debe ser igual al Total de Pueblos Originarios Hombres según Diagnóstico Nutricional Integrado. ","")</f>
        <v>#VALUE!</v>
      </c>
      <c r="CQ45" s="191" t="e">
        <f>IF(R45&lt;&gt;R73,"* El Total de Pueblos Originarios Mujeres debe ser igual al Total de Pueblos Originarios Hombres según Diagnóstico Nutricional Integrado. ","")</f>
        <v>#VALUE!</v>
      </c>
      <c r="CR45" s="191" t="e">
        <f>IF(S45&lt;&gt;S73,"* El Total de Migrantes Hombres debe ser igual al Total de Migrantes Hombres según Diagnóstico Nutricional Integrado. ","")</f>
        <v>#VALUE!</v>
      </c>
      <c r="CS45" s="191" t="e">
        <f>IF(T45&lt;&gt;T73,"* El Total de Migrantes Mujeres debe ser igual al Total de Migrantes Mujeres según Diagnóstico Nutricional Integrado. ","")</f>
        <v>#VALUE!</v>
      </c>
      <c r="DC45" s="34"/>
      <c r="DD45" s="34"/>
      <c r="DE45" s="34"/>
      <c r="DF45" s="34"/>
      <c r="DG45" s="34"/>
      <c r="DH45" s="34"/>
      <c r="DQ45" s="1047" t="e">
        <f>IF(G45&lt;&gt;G73,1,0)</f>
        <v>#VALUE!</v>
      </c>
      <c r="DR45" s="1047" t="e">
        <f>IF(H45&lt;&gt;H73,1,0)</f>
        <v>#VALUE!</v>
      </c>
      <c r="DS45" s="1047" t="e">
        <f t="shared" ref="DS45:DX45" si="28">IF(I45&lt;&gt;I73,1,0)</f>
        <v>#VALUE!</v>
      </c>
      <c r="DT45" s="1047" t="e">
        <f t="shared" si="28"/>
        <v>#VALUE!</v>
      </c>
      <c r="DU45" s="1047" t="e">
        <f t="shared" si="28"/>
        <v>#VALUE!</v>
      </c>
      <c r="DV45" s="1047" t="e">
        <f t="shared" si="28"/>
        <v>#VALUE!</v>
      </c>
      <c r="DW45" s="1047" t="e">
        <f t="shared" si="28"/>
        <v>#VALUE!</v>
      </c>
      <c r="DX45" s="1047" t="e">
        <f t="shared" si="28"/>
        <v>#VALUE!</v>
      </c>
      <c r="DY45" s="1047" t="e">
        <f>IF(O45&lt;&gt;O73,1,0)</f>
        <v>#VALUE!</v>
      </c>
      <c r="DZ45" s="1047" t="e">
        <f>IF(P45&lt;&gt;P73,1,0)</f>
        <v>#VALUE!</v>
      </c>
      <c r="EA45" s="1047">
        <f t="shared" ref="EA45:EB48" si="29">IF(AND(E45&gt;0,OR(Q45="")),1,IF(Q45&gt;E45,1,0))</f>
        <v>1</v>
      </c>
      <c r="EB45" s="1047">
        <f t="shared" si="29"/>
        <v>1</v>
      </c>
      <c r="EC45" s="1047">
        <f t="shared" ref="EC45:ED48" si="30">IF(AND(E45&gt;0,OR(S45="")),1,IF(S45&gt;E45,1,0))</f>
        <v>1</v>
      </c>
      <c r="ED45" s="1047">
        <f t="shared" si="30"/>
        <v>1</v>
      </c>
      <c r="EE45" s="1047" t="e">
        <f>IF(Q45&lt;&gt;Q73,1,0)</f>
        <v>#VALUE!</v>
      </c>
      <c r="EF45" s="1047" t="e">
        <f t="shared" ref="EF45:EG45" si="31">IF(R45&lt;&gt;R73,1,0)</f>
        <v>#VALUE!</v>
      </c>
      <c r="EG45" s="1047" t="e">
        <f t="shared" si="31"/>
        <v>#VALUE!</v>
      </c>
      <c r="EH45" s="1047" t="e">
        <f>IF(T45&lt;&gt;T73,1,0)</f>
        <v>#VALUE!</v>
      </c>
    </row>
    <row r="46" spans="1:152" ht="15" customHeight="1" x14ac:dyDescent="0.25">
      <c r="A46" s="1589" t="s">
        <v>1040</v>
      </c>
      <c r="B46" s="1775" t="s">
        <v>253</v>
      </c>
      <c r="C46" s="66" t="s">
        <v>254</v>
      </c>
      <c r="D46" s="339" t="s">
        <v>1616</v>
      </c>
      <c r="E46" s="363" t="s">
        <v>1617</v>
      </c>
      <c r="F46" s="364" t="s">
        <v>1618</v>
      </c>
      <c r="G46" s="322" t="s">
        <v>1619</v>
      </c>
      <c r="H46" s="323" t="s">
        <v>1620</v>
      </c>
      <c r="I46" s="322" t="s">
        <v>1621</v>
      </c>
      <c r="J46" s="323" t="s">
        <v>1622</v>
      </c>
      <c r="K46" s="325" t="s">
        <v>1623</v>
      </c>
      <c r="L46" s="323" t="s">
        <v>1624</v>
      </c>
      <c r="M46" s="325" t="s">
        <v>1625</v>
      </c>
      <c r="N46" s="323" t="s">
        <v>1626</v>
      </c>
      <c r="O46" s="325" t="s">
        <v>1627</v>
      </c>
      <c r="P46" s="324" t="s">
        <v>1628</v>
      </c>
      <c r="Q46" s="326" t="s">
        <v>1629</v>
      </c>
      <c r="R46" s="375" t="s">
        <v>1630</v>
      </c>
      <c r="S46" s="325" t="s">
        <v>1631</v>
      </c>
      <c r="T46" s="323" t="s">
        <v>1632</v>
      </c>
      <c r="U46" s="178" t="str">
        <f>CL46&amp;CM46&amp;CN46&amp;CO46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C46" s="172"/>
      <c r="BS46" s="606"/>
      <c r="BT46" s="606"/>
      <c r="BU46" s="606"/>
      <c r="BV46" s="606"/>
      <c r="BW46" s="606"/>
      <c r="BX46" s="606"/>
      <c r="BZ46" s="172"/>
      <c r="CA46" s="172"/>
      <c r="CL46" s="191" t="str">
        <f>IF(AND(E46&gt;0,OR(Q46=""))," * No olvide digitar la variable Pueblos Originarios Hombres (Digite Cero si no tiene).",IF(Q46&gt;E46," * La variable Pueblos Originarios Hombres no puede ser Mayor al Total Hombres.",""))</f>
        <v xml:space="preserve"> * La variable Pueblos Originarios Hombres no puede ser Mayor al Total Hombres.</v>
      </c>
      <c r="CM46" s="191" t="str">
        <f>IF(AND(F46&gt;0,OR(R46=""))," * No olvide digitar la variable Pueblos Originarios Mujeres (Digite Cero si no tiene).",IF(R46&gt;F46," * La variable Pueblos Originarios Mujeres no puede ser Mayor al Total Mujeres.",""))</f>
        <v xml:space="preserve"> * La variable Pueblos Originarios Mujeres no puede ser Mayor al Total Mujeres.</v>
      </c>
      <c r="CN46" s="191" t="str">
        <f>IF(AND(E46&gt;0,OR(S46=""))," * No olvide digitar la variable Migrantes Hombres (Digite Cero si no tiene).",IF(S46&gt;E46," * La variable Migrantes Hombres no puede ser Mayor al Total Hombres.",""))</f>
        <v xml:space="preserve"> * La variable Migrantes Hombres no puede ser Mayor al Total Hombres.</v>
      </c>
      <c r="CO46" s="191" t="str">
        <f>IF(AND(F46&gt;0,OR(T46=""))," * No olvide digitar la variable Migrantes Mujeres (Digite Cero si no tiene).",IF(T46&gt;F46," * La variable Migrantes Mujeres no puede ser Mayor al Total Mujeres.",""))</f>
        <v xml:space="preserve"> * La variable Migrantes Mujeres no puede ser Mayor al Total Mujeres.</v>
      </c>
      <c r="CP46" s="108"/>
      <c r="CQ46" s="108"/>
      <c r="CR46" s="108"/>
      <c r="CS46" s="108"/>
      <c r="CT46" s="108"/>
      <c r="CU46" s="108"/>
      <c r="CV46" s="108"/>
      <c r="CW46" s="108"/>
      <c r="CX46" s="108"/>
      <c r="CY46" s="108"/>
      <c r="CZ46" s="108"/>
      <c r="DA46" s="108"/>
      <c r="DB46" s="108"/>
      <c r="EA46" s="1047">
        <f t="shared" si="29"/>
        <v>1</v>
      </c>
      <c r="EB46" s="1047">
        <f t="shared" si="29"/>
        <v>1</v>
      </c>
      <c r="EC46" s="1047">
        <f t="shared" si="30"/>
        <v>1</v>
      </c>
      <c r="ED46" s="1047">
        <f t="shared" si="30"/>
        <v>1</v>
      </c>
    </row>
    <row r="47" spans="1:152" ht="15" customHeight="1" x14ac:dyDescent="0.25">
      <c r="A47" s="1589" t="s">
        <v>1041</v>
      </c>
      <c r="B47" s="1773"/>
      <c r="C47" s="67" t="s">
        <v>255</v>
      </c>
      <c r="D47" s="352" t="s">
        <v>1616</v>
      </c>
      <c r="E47" s="365" t="s">
        <v>1617</v>
      </c>
      <c r="F47" s="366" t="s">
        <v>1618</v>
      </c>
      <c r="G47" s="354" t="s">
        <v>1619</v>
      </c>
      <c r="H47" s="355" t="s">
        <v>1620</v>
      </c>
      <c r="I47" s="354" t="s">
        <v>1621</v>
      </c>
      <c r="J47" s="355" t="s">
        <v>1622</v>
      </c>
      <c r="K47" s="357" t="s">
        <v>1623</v>
      </c>
      <c r="L47" s="355" t="s">
        <v>1624</v>
      </c>
      <c r="M47" s="357" t="s">
        <v>1625</v>
      </c>
      <c r="N47" s="355" t="s">
        <v>1626</v>
      </c>
      <c r="O47" s="357" t="s">
        <v>1627</v>
      </c>
      <c r="P47" s="356" t="s">
        <v>1628</v>
      </c>
      <c r="Q47" s="358" t="s">
        <v>1629</v>
      </c>
      <c r="R47" s="376" t="s">
        <v>1630</v>
      </c>
      <c r="S47" s="357" t="s">
        <v>1631</v>
      </c>
      <c r="T47" s="355" t="s">
        <v>1632</v>
      </c>
      <c r="U47" s="178" t="str">
        <f t="shared" ref="U47:U69" si="32">CL47&amp;CM47&amp;CN47&amp;CO47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C47" s="172"/>
      <c r="BS47" s="606"/>
      <c r="BT47" s="606"/>
      <c r="BU47" s="606"/>
      <c r="BV47" s="606"/>
      <c r="BW47" s="606"/>
      <c r="BX47" s="606"/>
      <c r="BZ47" s="172"/>
      <c r="CA47" s="172"/>
      <c r="CL47" s="191" t="str">
        <f>IF(AND(E47&gt;0,OR(Q47=""))," * No olvide digitar la variable Pueblos Originarios Hombres (Digite Cero si no tiene).",IF(Q47&gt;E47," * La variable Pueblos Originarios Hombres no puede ser Mayor al Total Hombres.",""))</f>
        <v xml:space="preserve"> * La variable Pueblos Originarios Hombres no puede ser Mayor al Total Hombres.</v>
      </c>
      <c r="CM47" s="191" t="str">
        <f>IF(AND(F47&gt;0,OR(R47=""))," * No olvide digitar la variable Pueblos Originarios Mujeres (Digite Cero si no tiene).",IF(R47&gt;F47," * La variable Pueblos Originarios Mujeres no puede ser Mayor al Total Mujeres.",""))</f>
        <v xml:space="preserve"> * La variable Pueblos Originarios Mujeres no puede ser Mayor al Total Mujeres.</v>
      </c>
      <c r="CN47" s="191" t="str">
        <f>IF(AND(E47&gt;0,OR(S47=""))," * No olvide digitar la variable Migrantes Hombres (Digite Cero si no tiene).",IF(S47&gt;E47," * La variable Migrantes Hombres no puede ser Mayor al Total Hombres.",""))</f>
        <v xml:space="preserve"> * La variable Migrantes Hombres no puede ser Mayor al Total Hombres.</v>
      </c>
      <c r="CO47" s="191" t="str">
        <f>IF(AND(F47&gt;0,OR(T47=""))," * No olvide digitar la variable Migrantes Mujeres (Digite Cero si no tiene).",IF(T47&gt;F47," * La variable Migrantes Mujeres no puede ser Mayor al Total Mujeres.",""))</f>
        <v xml:space="preserve"> * La variable Migrantes Mujeres no puede ser Mayor al Total Mujeres.</v>
      </c>
      <c r="CP47" s="108"/>
      <c r="CQ47" s="108"/>
      <c r="CR47" s="108"/>
      <c r="CS47" s="108"/>
      <c r="CT47" s="108"/>
      <c r="CU47" s="108"/>
      <c r="CV47" s="108"/>
      <c r="CW47" s="108"/>
      <c r="CX47" s="108"/>
      <c r="CY47" s="108"/>
      <c r="CZ47" s="108"/>
      <c r="DA47" s="108"/>
      <c r="DB47" s="108"/>
      <c r="EA47" s="1047">
        <f t="shared" si="29"/>
        <v>1</v>
      </c>
      <c r="EB47" s="1047">
        <f t="shared" si="29"/>
        <v>1</v>
      </c>
      <c r="EC47" s="1047">
        <f t="shared" si="30"/>
        <v>1</v>
      </c>
      <c r="ED47" s="1047">
        <f t="shared" si="30"/>
        <v>1</v>
      </c>
    </row>
    <row r="48" spans="1:152" ht="15" customHeight="1" x14ac:dyDescent="0.25">
      <c r="A48" s="1589" t="s">
        <v>1042</v>
      </c>
      <c r="B48" s="1773"/>
      <c r="C48" s="68" t="s">
        <v>256</v>
      </c>
      <c r="D48" s="359" t="s">
        <v>1616</v>
      </c>
      <c r="E48" s="367" t="s">
        <v>1617</v>
      </c>
      <c r="F48" s="368" t="s">
        <v>1618</v>
      </c>
      <c r="G48" s="328" t="s">
        <v>1619</v>
      </c>
      <c r="H48" s="329" t="s">
        <v>1620</v>
      </c>
      <c r="I48" s="328" t="s">
        <v>1621</v>
      </c>
      <c r="J48" s="329" t="s">
        <v>1622</v>
      </c>
      <c r="K48" s="331" t="s">
        <v>1623</v>
      </c>
      <c r="L48" s="329" t="s">
        <v>1624</v>
      </c>
      <c r="M48" s="331" t="s">
        <v>1625</v>
      </c>
      <c r="N48" s="329" t="s">
        <v>1626</v>
      </c>
      <c r="O48" s="331" t="s">
        <v>1627</v>
      </c>
      <c r="P48" s="330" t="s">
        <v>1628</v>
      </c>
      <c r="Q48" s="332" t="s">
        <v>1629</v>
      </c>
      <c r="R48" s="379" t="s">
        <v>1630</v>
      </c>
      <c r="S48" s="331" t="s">
        <v>1631</v>
      </c>
      <c r="T48" s="329" t="s">
        <v>1632</v>
      </c>
      <c r="U48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C48" s="172"/>
      <c r="BS48" s="606"/>
      <c r="BT48" s="606"/>
      <c r="BU48" s="606"/>
      <c r="BV48" s="606"/>
      <c r="BW48" s="606"/>
      <c r="BX48" s="606"/>
      <c r="BZ48" s="172"/>
      <c r="CA48" s="172"/>
      <c r="CL48" s="191" t="str">
        <f>IF(AND(E48&gt;0,OR(Q48=""))," * No olvide digitar la variable Pueblos Originarios Hombres (Digite Cero si no tiene).",IF(Q48&gt;E48," * La variable Pueblos Originarios Hombres no puede ser Mayor al Total Hombres.",""))</f>
        <v xml:space="preserve"> * La variable Pueblos Originarios Hombres no puede ser Mayor al Total Hombres.</v>
      </c>
      <c r="CM48" s="191" t="str">
        <f>IF(AND(F48&gt;0,OR(R48=""))," * No olvide digitar la variable Pueblos Originarios Mujeres (Digite Cero si no tiene).",IF(R48&gt;F48," * La variable Pueblos Originarios Mujeres no puede ser Mayor al Total Mujeres.",""))</f>
        <v xml:space="preserve"> * La variable Pueblos Originarios Mujeres no puede ser Mayor al Total Mujeres.</v>
      </c>
      <c r="CN48" s="191" t="str">
        <f>IF(AND(E48&gt;0,OR(S48=""))," * No olvide digitar la variable Migrantes Hombres (Digite Cero si no tiene).",IF(S48&gt;E48," * La variable Migrantes Hombres no puede ser Mayor al Total Hombres.",""))</f>
        <v xml:space="preserve"> * La variable Migrantes Hombres no puede ser Mayor al Total Hombres.</v>
      </c>
      <c r="CO48" s="191" t="str">
        <f>IF(AND(F48&gt;0,OR(T48=""))," * No olvide digitar la variable Migrantes Mujeres (Digite Cero si no tiene).",IF(T48&gt;F48," * La variable Migrantes Mujeres no puede ser Mayor al Total Mujeres.",""))</f>
        <v xml:space="preserve"> * La variable Migrantes Mujeres no puede ser Mayor al Total Mujeres.</v>
      </c>
      <c r="CP48" s="108"/>
      <c r="CQ48" s="108"/>
      <c r="CR48" s="108"/>
      <c r="CS48" s="108"/>
      <c r="CT48" s="108"/>
      <c r="CU48" s="108"/>
      <c r="CV48" s="108"/>
      <c r="CW48" s="108"/>
      <c r="CX48" s="108"/>
      <c r="CY48" s="108"/>
      <c r="CZ48" s="108"/>
      <c r="DA48" s="108"/>
      <c r="DB48" s="108"/>
      <c r="EA48" s="1047">
        <f t="shared" si="29"/>
        <v>1</v>
      </c>
      <c r="EB48" s="1047">
        <f t="shared" si="29"/>
        <v>1</v>
      </c>
      <c r="EC48" s="1047">
        <f t="shared" si="30"/>
        <v>1</v>
      </c>
      <c r="ED48" s="1047">
        <f t="shared" si="30"/>
        <v>1</v>
      </c>
    </row>
    <row r="49" spans="1:134" ht="15" customHeight="1" x14ac:dyDescent="0.25">
      <c r="A49" s="1590"/>
      <c r="B49" s="1773"/>
      <c r="C49" s="1459" t="s">
        <v>89</v>
      </c>
      <c r="D49" s="1446">
        <f t="shared" ref="D49:D59" si="33">+E49+F49</f>
        <v>0</v>
      </c>
      <c r="E49" s="1234">
        <f>+G49+I49+K49+M49+O49</f>
        <v>0</v>
      </c>
      <c r="F49" s="1455">
        <f>+H49+J49+L49+N49+P49</f>
        <v>0</v>
      </c>
      <c r="G49" s="1234">
        <f>SUM(G46:G48)</f>
        <v>0</v>
      </c>
      <c r="H49" s="1455">
        <f t="shared" ref="H49:P49" si="34">SUM(H46:H48)</f>
        <v>0</v>
      </c>
      <c r="I49" s="1234">
        <f t="shared" si="34"/>
        <v>0</v>
      </c>
      <c r="J49" s="940">
        <f t="shared" si="34"/>
        <v>0</v>
      </c>
      <c r="K49" s="1445">
        <f t="shared" si="34"/>
        <v>0</v>
      </c>
      <c r="L49" s="940">
        <f t="shared" si="34"/>
        <v>0</v>
      </c>
      <c r="M49" s="1445">
        <f t="shared" si="34"/>
        <v>0</v>
      </c>
      <c r="N49" s="940">
        <f t="shared" si="34"/>
        <v>0</v>
      </c>
      <c r="O49" s="1445">
        <f t="shared" si="34"/>
        <v>0</v>
      </c>
      <c r="P49" s="1235">
        <f t="shared" si="34"/>
        <v>0</v>
      </c>
      <c r="Q49" s="335">
        <f t="shared" ref="Q49:T49" si="35">SUM(Q46:Q48)</f>
        <v>0</v>
      </c>
      <c r="R49" s="1445">
        <f t="shared" si="35"/>
        <v>0</v>
      </c>
      <c r="S49" s="1445">
        <f t="shared" si="35"/>
        <v>0</v>
      </c>
      <c r="T49" s="1455">
        <f t="shared" si="35"/>
        <v>0</v>
      </c>
      <c r="U49" s="178"/>
      <c r="V49" s="606"/>
      <c r="W49" s="606"/>
      <c r="X49" s="606"/>
      <c r="Y49" s="606"/>
      <c r="Z49" s="606"/>
      <c r="AA49" s="606"/>
      <c r="AB49" s="606"/>
      <c r="AC49" s="606"/>
      <c r="AD49" s="606"/>
      <c r="AE49" s="606"/>
      <c r="AF49" s="606"/>
      <c r="AG49" s="606"/>
      <c r="AH49" s="606"/>
      <c r="AI49" s="606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C49" s="172"/>
      <c r="BS49" s="606"/>
      <c r="BT49" s="606"/>
      <c r="BU49" s="606"/>
      <c r="BV49" s="606"/>
      <c r="BW49" s="606"/>
      <c r="BX49" s="606"/>
      <c r="BZ49" s="172"/>
      <c r="CA49" s="172"/>
      <c r="CL49" s="193"/>
      <c r="CM49" s="193"/>
      <c r="CN49" s="193"/>
      <c r="CO49" s="193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EA49" s="191"/>
      <c r="EB49" s="191"/>
      <c r="EC49" s="191"/>
      <c r="ED49" s="191"/>
    </row>
    <row r="50" spans="1:134" ht="15" customHeight="1" x14ac:dyDescent="0.25">
      <c r="A50" s="1589" t="s">
        <v>1043</v>
      </c>
      <c r="B50" s="1773"/>
      <c r="C50" s="69" t="s">
        <v>257</v>
      </c>
      <c r="D50" s="351" t="s">
        <v>1616</v>
      </c>
      <c r="E50" s="369" t="s">
        <v>1617</v>
      </c>
      <c r="F50" s="370" t="s">
        <v>1618</v>
      </c>
      <c r="G50" s="322" t="s">
        <v>1619</v>
      </c>
      <c r="H50" s="323" t="s">
        <v>1620</v>
      </c>
      <c r="I50" s="322" t="s">
        <v>1621</v>
      </c>
      <c r="J50" s="323" t="s">
        <v>1622</v>
      </c>
      <c r="K50" s="325" t="s">
        <v>1623</v>
      </c>
      <c r="L50" s="323" t="s">
        <v>1624</v>
      </c>
      <c r="M50" s="325" t="s">
        <v>1625</v>
      </c>
      <c r="N50" s="323" t="s">
        <v>1626</v>
      </c>
      <c r="O50" s="325" t="s">
        <v>1627</v>
      </c>
      <c r="P50" s="324" t="s">
        <v>1628</v>
      </c>
      <c r="Q50" s="326" t="s">
        <v>1629</v>
      </c>
      <c r="R50" s="375" t="s">
        <v>1630</v>
      </c>
      <c r="S50" s="325" t="s">
        <v>1631</v>
      </c>
      <c r="T50" s="323" t="s">
        <v>1632</v>
      </c>
      <c r="U50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C50" s="172"/>
      <c r="BS50" s="606"/>
      <c r="BT50" s="606"/>
      <c r="BU50" s="606"/>
      <c r="BV50" s="606"/>
      <c r="BW50" s="606"/>
      <c r="BX50" s="606"/>
      <c r="BZ50" s="172"/>
      <c r="CA50" s="172"/>
      <c r="CL50" s="191" t="str">
        <f>IF(AND(E50&gt;0,OR(Q50=""))," * No olvide digitar la variable Pueblos Originarios Hombres (Digite Cero si no tiene).",IF(Q50&gt;E50," * La variable Pueblos Originarios Hombres no puede ser Mayor al Total Hombres.",""))</f>
        <v xml:space="preserve"> * La variable Pueblos Originarios Hombres no puede ser Mayor al Total Hombres.</v>
      </c>
      <c r="CM50" s="191" t="str">
        <f>IF(AND(F50&gt;0,OR(R50=""))," * No olvide digitar la variable Pueblos Originarios Mujeres (Digite Cero si no tiene).",IF(R50&gt;F50," * La variable Pueblos Originarios Mujeres no puede ser Mayor al Total Mujeres.",""))</f>
        <v xml:space="preserve"> * La variable Pueblos Originarios Mujeres no puede ser Mayor al Total Mujeres.</v>
      </c>
      <c r="CN50" s="191" t="str">
        <f>IF(AND(E50&gt;0,OR(S50=""))," * No olvide digitar la variable Migrantes Hombres (Digite Cero si no tiene).",IF(S50&gt;E50," * La variable Migrantes Hombres no puede ser Mayor al Total Hombres.",""))</f>
        <v xml:space="preserve"> * La variable Migrantes Hombres no puede ser Mayor al Total Hombres.</v>
      </c>
      <c r="CO50" s="191" t="str">
        <f>IF(AND(F50&gt;0,OR(T50=""))," * No olvide digitar la variable Migrantes Mujeres (Digite Cero si no tiene).",IF(T50&gt;F50," * La variable Migrantes Mujeres no puede ser Mayor al Total Mujeres.",""))</f>
        <v xml:space="preserve"> * La variable Migrantes Mujeres no puede ser Mayor al Total Mujeres.</v>
      </c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EA50" s="1047">
        <f>IF(AND(E50&gt;0,OR(Q50="")),1,IF(Q50&gt;E50,1,0))</f>
        <v>1</v>
      </c>
      <c r="EB50" s="1047">
        <f>IF(AND(F50&gt;0,OR(R50="")),1,IF(R50&gt;F50,1,0))</f>
        <v>1</v>
      </c>
      <c r="EC50" s="1047">
        <f>IF(AND(E50&gt;0,OR(S50="")),1,IF(S50&gt;E50,1,0))</f>
        <v>1</v>
      </c>
      <c r="ED50" s="1047">
        <f>IF(AND(F50&gt;0,OR(T50="")),1,IF(T50&gt;F50,1,0))</f>
        <v>1</v>
      </c>
    </row>
    <row r="51" spans="1:134" ht="15" customHeight="1" x14ac:dyDescent="0.25">
      <c r="A51" s="1589" t="s">
        <v>1044</v>
      </c>
      <c r="B51" s="1773"/>
      <c r="C51" s="68" t="s">
        <v>233</v>
      </c>
      <c r="D51" s="359" t="s">
        <v>1616</v>
      </c>
      <c r="E51" s="367" t="s">
        <v>1617</v>
      </c>
      <c r="F51" s="368" t="s">
        <v>1618</v>
      </c>
      <c r="G51" s="328" t="s">
        <v>1619</v>
      </c>
      <c r="H51" s="329" t="s">
        <v>1620</v>
      </c>
      <c r="I51" s="328" t="s">
        <v>1621</v>
      </c>
      <c r="J51" s="329" t="s">
        <v>1622</v>
      </c>
      <c r="K51" s="331" t="s">
        <v>1623</v>
      </c>
      <c r="L51" s="329" t="s">
        <v>1624</v>
      </c>
      <c r="M51" s="331" t="s">
        <v>1625</v>
      </c>
      <c r="N51" s="329" t="s">
        <v>1626</v>
      </c>
      <c r="O51" s="331" t="s">
        <v>1627</v>
      </c>
      <c r="P51" s="330" t="s">
        <v>1628</v>
      </c>
      <c r="Q51" s="332" t="s">
        <v>1629</v>
      </c>
      <c r="R51" s="379" t="s">
        <v>1630</v>
      </c>
      <c r="S51" s="331" t="s">
        <v>1631</v>
      </c>
      <c r="T51" s="329" t="s">
        <v>1632</v>
      </c>
      <c r="U51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C51" s="172"/>
      <c r="BS51" s="606"/>
      <c r="BT51" s="606"/>
      <c r="BU51" s="606"/>
      <c r="BV51" s="606"/>
      <c r="BW51" s="606"/>
      <c r="BX51" s="606"/>
      <c r="BZ51" s="172"/>
      <c r="CA51" s="172"/>
      <c r="CL51" s="191" t="str">
        <f>IF(AND(E51&gt;0,OR(Q51=""))," * No olvide digitar la variable Pueblos Originarios Hombres (Digite Cero si no tiene).",IF(Q51&gt;E51," * La variable Pueblos Originarios Hombres no puede ser Mayor al Total Hombres.",""))</f>
        <v xml:space="preserve"> * La variable Pueblos Originarios Hombres no puede ser Mayor al Total Hombres.</v>
      </c>
      <c r="CM51" s="191" t="str">
        <f>IF(AND(F51&gt;0,OR(R51=""))," * No olvide digitar la variable Pueblos Originarios Mujeres (Digite Cero si no tiene).",IF(R51&gt;F51," * La variable Pueblos Originarios Mujeres no puede ser Mayor al Total Mujeres.",""))</f>
        <v xml:space="preserve"> * La variable Pueblos Originarios Mujeres no puede ser Mayor al Total Mujeres.</v>
      </c>
      <c r="CN51" s="191" t="str">
        <f>IF(AND(E51&gt;0,OR(S51=""))," * No olvide digitar la variable Migrantes Hombres (Digite Cero si no tiene).",IF(S51&gt;E51," * La variable Migrantes Hombres no puede ser Mayor al Total Hombres.",""))</f>
        <v xml:space="preserve"> * La variable Migrantes Hombres no puede ser Mayor al Total Hombres.</v>
      </c>
      <c r="CO51" s="191" t="str">
        <f>IF(AND(F51&gt;0,OR(T51=""))," * No olvide digitar la variable Migrantes Mujeres (Digite Cero si no tiene).",IF(T51&gt;F51," * La variable Migrantes Mujeres no puede ser Mayor al Total Mujeres.",""))</f>
        <v xml:space="preserve"> * La variable Migrantes Mujeres no puede ser Mayor al Total Mujeres.</v>
      </c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EA51" s="1047">
        <f>IF(AND(E51&gt;0,OR(Q51="")),1,IF(Q51&gt;E51,1,0))</f>
        <v>1</v>
      </c>
      <c r="EB51" s="1047">
        <f>IF(AND(F51&gt;0,OR(R51="")),1,IF(R51&gt;F51,1,0))</f>
        <v>1</v>
      </c>
      <c r="EC51" s="1047">
        <f>IF(AND(E51&gt;0,OR(S51="")),1,IF(S51&gt;E51,1,0))</f>
        <v>1</v>
      </c>
      <c r="ED51" s="1047">
        <f>IF(AND(F51&gt;0,OR(T51="")),1,IF(T51&gt;F51,1,0))</f>
        <v>1</v>
      </c>
    </row>
    <row r="52" spans="1:134" ht="15" customHeight="1" x14ac:dyDescent="0.25">
      <c r="A52" s="1587"/>
      <c r="B52" s="1773"/>
      <c r="C52" s="1459" t="s">
        <v>89</v>
      </c>
      <c r="D52" s="1446">
        <f t="shared" si="33"/>
        <v>0</v>
      </c>
      <c r="E52" s="1234">
        <f>+G52+I52+K52+M52+O52</f>
        <v>0</v>
      </c>
      <c r="F52" s="1455">
        <f>+H52+J52+L52+N52+P52</f>
        <v>0</v>
      </c>
      <c r="G52" s="1236">
        <f>SUM(G50:G51)</f>
        <v>0</v>
      </c>
      <c r="H52" s="963">
        <f t="shared" ref="H52:P52" si="36">SUM(H50:H51)</f>
        <v>0</v>
      </c>
      <c r="I52" s="1236">
        <f t="shared" si="36"/>
        <v>0</v>
      </c>
      <c r="J52" s="963">
        <f t="shared" si="36"/>
        <v>0</v>
      </c>
      <c r="K52" s="1449">
        <f t="shared" si="36"/>
        <v>0</v>
      </c>
      <c r="L52" s="963">
        <f t="shared" si="36"/>
        <v>0</v>
      </c>
      <c r="M52" s="1449">
        <f t="shared" si="36"/>
        <v>0</v>
      </c>
      <c r="N52" s="963">
        <f t="shared" si="36"/>
        <v>0</v>
      </c>
      <c r="O52" s="1449">
        <f t="shared" si="36"/>
        <v>0</v>
      </c>
      <c r="P52" s="340">
        <f t="shared" si="36"/>
        <v>0</v>
      </c>
      <c r="Q52" s="341">
        <f t="shared" ref="Q52:T52" si="37">SUM(Q50:Q51)</f>
        <v>0</v>
      </c>
      <c r="R52" s="1212">
        <f t="shared" si="37"/>
        <v>0</v>
      </c>
      <c r="S52" s="1449">
        <f t="shared" si="37"/>
        <v>0</v>
      </c>
      <c r="T52" s="963">
        <f t="shared" si="37"/>
        <v>0</v>
      </c>
      <c r="U52" s="178"/>
      <c r="V52" s="606"/>
      <c r="W52" s="606"/>
      <c r="X52" s="606"/>
      <c r="Y52" s="606"/>
      <c r="Z52" s="606"/>
      <c r="AA52" s="606"/>
      <c r="AB52" s="606"/>
      <c r="AC52" s="606"/>
      <c r="AD52" s="606"/>
      <c r="AE52" s="606"/>
      <c r="AF52" s="606"/>
      <c r="AG52" s="606"/>
      <c r="AH52" s="606"/>
      <c r="AI52" s="606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C52" s="172"/>
      <c r="BS52" s="606"/>
      <c r="BT52" s="606"/>
      <c r="BU52" s="606"/>
      <c r="BV52" s="606"/>
      <c r="BW52" s="606"/>
      <c r="BX52" s="606"/>
      <c r="BZ52" s="172"/>
      <c r="CA52" s="172"/>
      <c r="CL52" s="193"/>
      <c r="CM52" s="193"/>
      <c r="CN52" s="193"/>
      <c r="CO52" s="193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EA52" s="191"/>
      <c r="EB52" s="191"/>
      <c r="EC52" s="191"/>
      <c r="ED52" s="191"/>
    </row>
    <row r="53" spans="1:134" ht="15" customHeight="1" x14ac:dyDescent="0.25">
      <c r="A53" s="1585" t="s">
        <v>1045</v>
      </c>
      <c r="B53" s="1774"/>
      <c r="C53" s="1460" t="s">
        <v>236</v>
      </c>
      <c r="D53" s="1446" t="s">
        <v>1616</v>
      </c>
      <c r="E53" s="1234" t="s">
        <v>1617</v>
      </c>
      <c r="F53" s="1455" t="s">
        <v>1618</v>
      </c>
      <c r="G53" s="1233" t="s">
        <v>1619</v>
      </c>
      <c r="H53" s="957" t="s">
        <v>1620</v>
      </c>
      <c r="I53" s="1233" t="s">
        <v>1621</v>
      </c>
      <c r="J53" s="957" t="s">
        <v>1622</v>
      </c>
      <c r="K53" s="1442" t="s">
        <v>1623</v>
      </c>
      <c r="L53" s="957" t="s">
        <v>1624</v>
      </c>
      <c r="M53" s="1442" t="s">
        <v>1625</v>
      </c>
      <c r="N53" s="957" t="s">
        <v>1626</v>
      </c>
      <c r="O53" s="1442" t="s">
        <v>1627</v>
      </c>
      <c r="P53" s="682" t="s">
        <v>1628</v>
      </c>
      <c r="Q53" s="1442" t="s">
        <v>1629</v>
      </c>
      <c r="R53" s="956" t="s">
        <v>1630</v>
      </c>
      <c r="S53" s="1442" t="s">
        <v>1631</v>
      </c>
      <c r="T53" s="957" t="s">
        <v>1632</v>
      </c>
      <c r="U53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C53" s="172"/>
      <c r="BS53" s="606"/>
      <c r="BT53" s="606"/>
      <c r="BU53" s="606"/>
      <c r="BV53" s="606"/>
      <c r="BW53" s="606"/>
      <c r="BX53" s="606"/>
      <c r="BZ53" s="172"/>
      <c r="CA53" s="172"/>
      <c r="CL53" s="191" t="str">
        <f>IF(AND(E53&gt;0,OR(Q53=""))," * No olvide digitar la variable Pueblos Originarios Hombres (Digite Cero si no tiene).",IF(Q53&gt;E53," * La variable Pueblos Originarios Hombres no puede ser Mayor al Total Hombres.",""))</f>
        <v xml:space="preserve"> * La variable Pueblos Originarios Hombres no puede ser Mayor al Total Hombres.</v>
      </c>
      <c r="CM53" s="191" t="str">
        <f>IF(AND(F53&gt;0,OR(R53=""))," * No olvide digitar la variable Pueblos Originarios Mujeres (Digite Cero si no tiene).",IF(R53&gt;F53," * La variable Pueblos Originarios Mujeres no puede ser Mayor al Total Mujeres.",""))</f>
        <v xml:space="preserve"> * La variable Pueblos Originarios Mujeres no puede ser Mayor al Total Mujeres.</v>
      </c>
      <c r="CN53" s="191" t="str">
        <f>IF(AND(E53&gt;0,OR(S53=""))," * No olvide digitar la variable Migrantes Hombres (Digite Cero si no tiene).",IF(S53&gt;E53," * La variable Migrantes Hombres no puede ser Mayor al Total Hombres.",""))</f>
        <v xml:space="preserve"> * La variable Migrantes Hombres no puede ser Mayor al Total Hombres.</v>
      </c>
      <c r="CO53" s="191" t="str">
        <f>IF(AND(F53&gt;0,OR(T53=""))," * No olvide digitar la variable Migrantes Mujeres (Digite Cero si no tiene).",IF(T53&gt;F53," * La variable Migrantes Mujeres no puede ser Mayor al Total Mujeres.",""))</f>
        <v xml:space="preserve"> * La variable Migrantes Mujeres no puede ser Mayor al Total Mujeres.</v>
      </c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EA53" s="1047">
        <f t="shared" ref="EA53:EB55" si="38">IF(AND(E53&gt;0,OR(Q53="")),1,IF(Q53&gt;E53,1,0))</f>
        <v>1</v>
      </c>
      <c r="EB53" s="1047">
        <f t="shared" si="38"/>
        <v>1</v>
      </c>
      <c r="EC53" s="1047">
        <f t="shared" ref="EC53:ED55" si="39">IF(AND(E53&gt;0,OR(S53="")),1,IF(S53&gt;E53,1,0))</f>
        <v>1</v>
      </c>
      <c r="ED53" s="1047">
        <f t="shared" si="39"/>
        <v>1</v>
      </c>
    </row>
    <row r="54" spans="1:134" ht="15" customHeight="1" x14ac:dyDescent="0.25">
      <c r="A54" s="1585" t="s">
        <v>1046</v>
      </c>
      <c r="B54" s="1847" t="s">
        <v>258</v>
      </c>
      <c r="C54" s="669" t="s">
        <v>230</v>
      </c>
      <c r="D54" s="670" t="s">
        <v>1616</v>
      </c>
      <c r="E54" s="671" t="s">
        <v>1617</v>
      </c>
      <c r="F54" s="672" t="s">
        <v>1618</v>
      </c>
      <c r="G54" s="342" t="s">
        <v>1619</v>
      </c>
      <c r="H54" s="343" t="s">
        <v>1620</v>
      </c>
      <c r="I54" s="342" t="s">
        <v>1621</v>
      </c>
      <c r="J54" s="345" t="s">
        <v>1622</v>
      </c>
      <c r="K54" s="343" t="s">
        <v>1623</v>
      </c>
      <c r="L54" s="345" t="s">
        <v>1624</v>
      </c>
      <c r="M54" s="343" t="s">
        <v>1625</v>
      </c>
      <c r="N54" s="345" t="s">
        <v>1626</v>
      </c>
      <c r="O54" s="343" t="s">
        <v>1627</v>
      </c>
      <c r="P54" s="348" t="s">
        <v>1628</v>
      </c>
      <c r="Q54" s="347" t="s">
        <v>1629</v>
      </c>
      <c r="R54" s="645" t="s">
        <v>1630</v>
      </c>
      <c r="S54" s="645" t="s">
        <v>1631</v>
      </c>
      <c r="T54" s="345" t="s">
        <v>1632</v>
      </c>
      <c r="U54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C54" s="172"/>
      <c r="BS54" s="606"/>
      <c r="BT54" s="606"/>
      <c r="BU54" s="606"/>
      <c r="BV54" s="606"/>
      <c r="BW54" s="606"/>
      <c r="BX54" s="606"/>
      <c r="BZ54" s="172"/>
      <c r="CA54" s="172"/>
      <c r="CL54" s="191" t="str">
        <f>IF(AND(E54&gt;0,OR(Q54=""))," * No olvide digitar la variable Pueblos Originarios Hombres (Digite Cero si no tiene).",IF(Q54&gt;E54," * La variable Pueblos Originarios Hombres no puede ser Mayor al Total Hombres.",""))</f>
        <v xml:space="preserve"> * La variable Pueblos Originarios Hombres no puede ser Mayor al Total Hombres.</v>
      </c>
      <c r="CM54" s="191" t="str">
        <f>IF(AND(F54&gt;0,OR(R54=""))," * No olvide digitar la variable Pueblos Originarios Mujeres (Digite Cero si no tiene).",IF(R54&gt;F54," * La variable Pueblos Originarios Mujeres no puede ser Mayor al Total Mujeres.",""))</f>
        <v xml:space="preserve"> * La variable Pueblos Originarios Mujeres no puede ser Mayor al Total Mujeres.</v>
      </c>
      <c r="CN54" s="191" t="str">
        <f>IF(AND(E54&gt;0,OR(S54=""))," * No olvide digitar la variable Migrantes Hombres (Digite Cero si no tiene).",IF(S54&gt;E54," * La variable Migrantes Hombres no puede ser Mayor al Total Hombres.",""))</f>
        <v xml:space="preserve"> * La variable Migrantes Hombres no puede ser Mayor al Total Hombres.</v>
      </c>
      <c r="CO54" s="191" t="str">
        <f>IF(AND(F54&gt;0,OR(T54=""))," * No olvide digitar la variable Migrantes Mujeres (Digite Cero si no tiene).",IF(T54&gt;F54," * La variable Migrantes Mujeres no puede ser Mayor al Total Mujeres.",""))</f>
        <v xml:space="preserve"> * La variable Migrantes Mujeres no puede ser Mayor al Total Mujeres.</v>
      </c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EA54" s="1047">
        <f t="shared" si="38"/>
        <v>1</v>
      </c>
      <c r="EB54" s="1047">
        <f t="shared" si="38"/>
        <v>1</v>
      </c>
      <c r="EC54" s="1047">
        <f t="shared" si="39"/>
        <v>1</v>
      </c>
      <c r="ED54" s="1047">
        <f t="shared" si="39"/>
        <v>1</v>
      </c>
    </row>
    <row r="55" spans="1:134" ht="15" customHeight="1" x14ac:dyDescent="0.25">
      <c r="A55" s="1585" t="s">
        <v>1047</v>
      </c>
      <c r="B55" s="1848"/>
      <c r="C55" s="673" t="s">
        <v>231</v>
      </c>
      <c r="D55" s="674" t="s">
        <v>1616</v>
      </c>
      <c r="E55" s="675" t="s">
        <v>1617</v>
      </c>
      <c r="F55" s="676" t="s">
        <v>1618</v>
      </c>
      <c r="G55" s="328" t="s">
        <v>1619</v>
      </c>
      <c r="H55" s="331" t="s">
        <v>1620</v>
      </c>
      <c r="I55" s="328" t="s">
        <v>1621</v>
      </c>
      <c r="J55" s="329" t="s">
        <v>1622</v>
      </c>
      <c r="K55" s="331" t="s">
        <v>1623</v>
      </c>
      <c r="L55" s="329" t="s">
        <v>1624</v>
      </c>
      <c r="M55" s="331" t="s">
        <v>1625</v>
      </c>
      <c r="N55" s="329" t="s">
        <v>1626</v>
      </c>
      <c r="O55" s="331" t="s">
        <v>1627</v>
      </c>
      <c r="P55" s="333" t="s">
        <v>1628</v>
      </c>
      <c r="Q55" s="332" t="s">
        <v>1629</v>
      </c>
      <c r="R55" s="379" t="s">
        <v>1630</v>
      </c>
      <c r="S55" s="379" t="s">
        <v>1631</v>
      </c>
      <c r="T55" s="329" t="s">
        <v>1632</v>
      </c>
      <c r="U55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C55" s="172"/>
      <c r="BS55" s="606"/>
      <c r="BT55" s="606"/>
      <c r="BU55" s="606"/>
      <c r="BV55" s="606"/>
      <c r="BW55" s="606"/>
      <c r="BX55" s="606"/>
      <c r="BZ55" s="172"/>
      <c r="CA55" s="172"/>
      <c r="CL55" s="191" t="str">
        <f>IF(AND(E55&gt;0,OR(Q55=""))," * No olvide digitar la variable Pueblos Originarios Hombres (Digite Cero si no tiene).",IF(Q55&gt;E55," * La variable Pueblos Originarios Hombres no puede ser Mayor al Total Hombres.",""))</f>
        <v xml:space="preserve"> * La variable Pueblos Originarios Hombres no puede ser Mayor al Total Hombres.</v>
      </c>
      <c r="CM55" s="191" t="str">
        <f>IF(AND(F55&gt;0,OR(R55=""))," * No olvide digitar la variable Pueblos Originarios Mujeres (Digite Cero si no tiene).",IF(R55&gt;F55," * La variable Pueblos Originarios Mujeres no puede ser Mayor al Total Mujeres.",""))</f>
        <v xml:space="preserve"> * La variable Pueblos Originarios Mujeres no puede ser Mayor al Total Mujeres.</v>
      </c>
      <c r="CN55" s="191" t="str">
        <f>IF(AND(E55&gt;0,OR(S55=""))," * No olvide digitar la variable Migrantes Hombres (Digite Cero si no tiene).",IF(S55&gt;E55," * La variable Migrantes Hombres no puede ser Mayor al Total Hombres.",""))</f>
        <v xml:space="preserve"> * La variable Migrantes Hombres no puede ser Mayor al Total Hombres.</v>
      </c>
      <c r="CO55" s="191" t="str">
        <f>IF(AND(F55&gt;0,OR(T55=""))," * No olvide digitar la variable Migrantes Mujeres (Digite Cero si no tiene).",IF(T55&gt;F55," * La variable Migrantes Mujeres no puede ser Mayor al Total Mujeres.",""))</f>
        <v xml:space="preserve"> * La variable Migrantes Mujeres no puede ser Mayor al Total Mujeres.</v>
      </c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EA55" s="1047">
        <f t="shared" si="38"/>
        <v>1</v>
      </c>
      <c r="EB55" s="1047">
        <f t="shared" si="38"/>
        <v>1</v>
      </c>
      <c r="EC55" s="1047">
        <f t="shared" si="39"/>
        <v>1</v>
      </c>
      <c r="ED55" s="1047">
        <f t="shared" si="39"/>
        <v>1</v>
      </c>
    </row>
    <row r="56" spans="1:134" ht="15" customHeight="1" x14ac:dyDescent="0.25">
      <c r="A56" s="1587"/>
      <c r="B56" s="1848"/>
      <c r="C56" s="1461" t="s">
        <v>89</v>
      </c>
      <c r="D56" s="1450">
        <f t="shared" si="33"/>
        <v>0</v>
      </c>
      <c r="E56" s="1236">
        <f>+G56+I56+K56+M56+O56</f>
        <v>0</v>
      </c>
      <c r="F56" s="1448">
        <f>+H56+J56+L56+N56+P56</f>
        <v>0</v>
      </c>
      <c r="G56" s="1236">
        <f>SUM(G54:G55)</f>
        <v>0</v>
      </c>
      <c r="H56" s="1449">
        <f t="shared" ref="H56:T56" si="40">SUM(H54:H55)</f>
        <v>0</v>
      </c>
      <c r="I56" s="1236">
        <f t="shared" ref="I56:J56" si="41">SUM(I54:I55)</f>
        <v>0</v>
      </c>
      <c r="J56" s="963">
        <f t="shared" si="41"/>
        <v>0</v>
      </c>
      <c r="K56" s="1449">
        <f t="shared" ref="K56:L56" si="42">SUM(K54:K55)</f>
        <v>0</v>
      </c>
      <c r="L56" s="963">
        <f t="shared" si="42"/>
        <v>0</v>
      </c>
      <c r="M56" s="1449">
        <f t="shared" ref="M56:N56" si="43">SUM(M54:M55)</f>
        <v>0</v>
      </c>
      <c r="N56" s="963">
        <f t="shared" si="43"/>
        <v>0</v>
      </c>
      <c r="O56" s="1449">
        <f t="shared" si="40"/>
        <v>0</v>
      </c>
      <c r="P56" s="936">
        <f t="shared" si="40"/>
        <v>0</v>
      </c>
      <c r="Q56" s="341">
        <f t="shared" si="40"/>
        <v>0</v>
      </c>
      <c r="R56" s="1212">
        <f t="shared" si="40"/>
        <v>0</v>
      </c>
      <c r="S56" s="1212">
        <f t="shared" si="40"/>
        <v>0</v>
      </c>
      <c r="T56" s="963">
        <f t="shared" si="40"/>
        <v>0</v>
      </c>
      <c r="U56" s="178"/>
      <c r="V56" s="606"/>
      <c r="W56" s="606"/>
      <c r="X56" s="606"/>
      <c r="Y56" s="606"/>
      <c r="Z56" s="606"/>
      <c r="AA56" s="606"/>
      <c r="AB56" s="606"/>
      <c r="AC56" s="606"/>
      <c r="AD56" s="606"/>
      <c r="AE56" s="606"/>
      <c r="AF56" s="606"/>
      <c r="AG56" s="606"/>
      <c r="AH56" s="606"/>
      <c r="AI56" s="606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C56" s="172"/>
      <c r="BS56" s="606"/>
      <c r="BT56" s="606"/>
      <c r="BU56" s="606"/>
      <c r="BV56" s="606"/>
      <c r="BW56" s="606"/>
      <c r="BX56" s="606"/>
      <c r="BZ56" s="172"/>
      <c r="CA56" s="172"/>
      <c r="CL56" s="193"/>
      <c r="CM56" s="193"/>
      <c r="CN56" s="193"/>
      <c r="CO56" s="193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EA56" s="191"/>
      <c r="EB56" s="191"/>
      <c r="EC56" s="191"/>
      <c r="ED56" s="191"/>
    </row>
    <row r="57" spans="1:134" ht="15" customHeight="1" x14ac:dyDescent="0.25">
      <c r="A57" s="1585" t="s">
        <v>1048</v>
      </c>
      <c r="B57" s="1848"/>
      <c r="C57" s="677" t="s">
        <v>232</v>
      </c>
      <c r="D57" s="670" t="s">
        <v>1616</v>
      </c>
      <c r="E57" s="671" t="s">
        <v>1617</v>
      </c>
      <c r="F57" s="672" t="s">
        <v>1618</v>
      </c>
      <c r="G57" s="342" t="s">
        <v>1619</v>
      </c>
      <c r="H57" s="343" t="s">
        <v>1620</v>
      </c>
      <c r="I57" s="342" t="s">
        <v>1621</v>
      </c>
      <c r="J57" s="345" t="s">
        <v>1622</v>
      </c>
      <c r="K57" s="343" t="s">
        <v>1623</v>
      </c>
      <c r="L57" s="345" t="s">
        <v>1624</v>
      </c>
      <c r="M57" s="343" t="s">
        <v>1625</v>
      </c>
      <c r="N57" s="345" t="s">
        <v>1626</v>
      </c>
      <c r="O57" s="343" t="s">
        <v>1627</v>
      </c>
      <c r="P57" s="348" t="s">
        <v>1628</v>
      </c>
      <c r="Q57" s="347" t="s">
        <v>1629</v>
      </c>
      <c r="R57" s="645" t="s">
        <v>1630</v>
      </c>
      <c r="S57" s="645" t="s">
        <v>1631</v>
      </c>
      <c r="T57" s="345" t="s">
        <v>1632</v>
      </c>
      <c r="U57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C57" s="172"/>
      <c r="BS57" s="606"/>
      <c r="BT57" s="606"/>
      <c r="BU57" s="606"/>
      <c r="BV57" s="606"/>
      <c r="BW57" s="606"/>
      <c r="BX57" s="606"/>
      <c r="BZ57" s="172"/>
      <c r="CA57" s="172"/>
      <c r="CL57" s="191" t="str">
        <f>IF(AND(E57&gt;0,OR(Q57=""))," * No olvide digitar la variable Pueblos Originarios Hombres (Digite Cero si no tiene).",IF(Q57&gt;E57," * La variable Pueblos Originarios Hombres no puede ser Mayor al Total Hombres.",""))</f>
        <v xml:space="preserve"> * La variable Pueblos Originarios Hombres no puede ser Mayor al Total Hombres.</v>
      </c>
      <c r="CM57" s="191" t="str">
        <f>IF(AND(F57&gt;0,OR(R57=""))," * No olvide digitar la variable Pueblos Originarios Mujeres (Digite Cero si no tiene).",IF(R57&gt;F57," * La variable Pueblos Originarios Mujeres no puede ser Mayor al Total Mujeres.",""))</f>
        <v xml:space="preserve"> * La variable Pueblos Originarios Mujeres no puede ser Mayor al Total Mujeres.</v>
      </c>
      <c r="CN57" s="191" t="str">
        <f>IF(AND(E57&gt;0,OR(S57=""))," * No olvide digitar la variable Migrantes Hombres (Digite Cero si no tiene).",IF(S57&gt;E57," * La variable Migrantes Hombres no puede ser Mayor al Total Hombres.",""))</f>
        <v xml:space="preserve"> * La variable Migrantes Hombres no puede ser Mayor al Total Hombres.</v>
      </c>
      <c r="CO57" s="191" t="str">
        <f>IF(AND(F57&gt;0,OR(T57=""))," * No olvide digitar la variable Migrantes Mujeres (Digite Cero si no tiene).",IF(T57&gt;F57," * La variable Migrantes Mujeres no puede ser Mayor al Total Mujeres.",""))</f>
        <v xml:space="preserve"> * La variable Migrantes Mujeres no puede ser Mayor al Total Mujeres.</v>
      </c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EA57" s="1047">
        <f>IF(AND(E57&gt;0,OR(Q57="")),1,IF(Q57&gt;E57,1,0))</f>
        <v>1</v>
      </c>
      <c r="EB57" s="1047">
        <f>IF(AND(F57&gt;0,OR(R57="")),1,IF(R57&gt;F57,1,0))</f>
        <v>1</v>
      </c>
      <c r="EC57" s="1047">
        <f>IF(AND(E57&gt;0,OR(S57="")),1,IF(S57&gt;E57,1,0))</f>
        <v>1</v>
      </c>
      <c r="ED57" s="1047">
        <f>IF(AND(F57&gt;0,OR(T57="")),1,IF(T57&gt;F57,1,0))</f>
        <v>1</v>
      </c>
    </row>
    <row r="58" spans="1:134" ht="15" customHeight="1" x14ac:dyDescent="0.25">
      <c r="A58" s="1585" t="s">
        <v>1049</v>
      </c>
      <c r="B58" s="1848"/>
      <c r="C58" s="673" t="s">
        <v>233</v>
      </c>
      <c r="D58" s="674" t="s">
        <v>1616</v>
      </c>
      <c r="E58" s="675" t="s">
        <v>1617</v>
      </c>
      <c r="F58" s="676" t="s">
        <v>1618</v>
      </c>
      <c r="G58" s="328" t="s">
        <v>1619</v>
      </c>
      <c r="H58" s="331" t="s">
        <v>1620</v>
      </c>
      <c r="I58" s="328" t="s">
        <v>1621</v>
      </c>
      <c r="J58" s="329" t="s">
        <v>1622</v>
      </c>
      <c r="K58" s="331" t="s">
        <v>1623</v>
      </c>
      <c r="L58" s="329" t="s">
        <v>1624</v>
      </c>
      <c r="M58" s="331" t="s">
        <v>1625</v>
      </c>
      <c r="N58" s="329" t="s">
        <v>1626</v>
      </c>
      <c r="O58" s="331" t="s">
        <v>1627</v>
      </c>
      <c r="P58" s="333" t="s">
        <v>1628</v>
      </c>
      <c r="Q58" s="332" t="s">
        <v>1629</v>
      </c>
      <c r="R58" s="379" t="s">
        <v>1630</v>
      </c>
      <c r="S58" s="379" t="s">
        <v>1631</v>
      </c>
      <c r="T58" s="329" t="s">
        <v>1632</v>
      </c>
      <c r="U58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C58" s="172"/>
      <c r="BS58" s="606"/>
      <c r="BT58" s="606"/>
      <c r="BU58" s="606"/>
      <c r="BV58" s="606"/>
      <c r="BW58" s="606"/>
      <c r="BX58" s="606"/>
      <c r="BZ58" s="172"/>
      <c r="CA58" s="172"/>
      <c r="CL58" s="191" t="str">
        <f>IF(AND(E58&gt;0,OR(Q58=""))," * No olvide digitar la variable Pueblos Originarios Hombres (Digite Cero si no tiene).",IF(Q58&gt;E58," * La variable Pueblos Originarios Hombres no puede ser Mayor al Total Hombres.",""))</f>
        <v xml:space="preserve"> * La variable Pueblos Originarios Hombres no puede ser Mayor al Total Hombres.</v>
      </c>
      <c r="CM58" s="191" t="str">
        <f>IF(AND(F58&gt;0,OR(R58=""))," * No olvide digitar la variable Pueblos Originarios Mujeres (Digite Cero si no tiene).",IF(R58&gt;F58," * La variable Pueblos Originarios Mujeres no puede ser Mayor al Total Mujeres.",""))</f>
        <v xml:space="preserve"> * La variable Pueblos Originarios Mujeres no puede ser Mayor al Total Mujeres.</v>
      </c>
      <c r="CN58" s="191" t="str">
        <f>IF(AND(E58&gt;0,OR(S58=""))," * No olvide digitar la variable Migrantes Hombres (Digite Cero si no tiene).",IF(S58&gt;E58," * La variable Migrantes Hombres no puede ser Mayor al Total Hombres.",""))</f>
        <v xml:space="preserve"> * La variable Migrantes Hombres no puede ser Mayor al Total Hombres.</v>
      </c>
      <c r="CO58" s="191" t="str">
        <f>IF(AND(F58&gt;0,OR(T58=""))," * No olvide digitar la variable Migrantes Mujeres (Digite Cero si no tiene).",IF(T58&gt;F58," * La variable Migrantes Mujeres no puede ser Mayor al Total Mujeres.",""))</f>
        <v xml:space="preserve"> * La variable Migrantes Mujeres no puede ser Mayor al Total Mujeres.</v>
      </c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EA58" s="1047">
        <f>IF(AND(E58&gt;0,OR(Q58="")),1,IF(Q58&gt;E58,1,0))</f>
        <v>1</v>
      </c>
      <c r="EB58" s="1047">
        <f>IF(AND(F58&gt;0,OR(R58="")),1,IF(R58&gt;F58,1,0))</f>
        <v>1</v>
      </c>
      <c r="EC58" s="1047">
        <f>IF(AND(E58&gt;0,OR(S58="")),1,IF(S58&gt;E58,1,0))</f>
        <v>1</v>
      </c>
      <c r="ED58" s="1047">
        <f>IF(AND(F58&gt;0,OR(T58="")),1,IF(T58&gt;F58,1,0))</f>
        <v>1</v>
      </c>
    </row>
    <row r="59" spans="1:134" ht="15" customHeight="1" x14ac:dyDescent="0.25">
      <c r="A59" s="1587"/>
      <c r="B59" s="1848"/>
      <c r="C59" s="1461" t="s">
        <v>89</v>
      </c>
      <c r="D59" s="1450">
        <f t="shared" si="33"/>
        <v>0</v>
      </c>
      <c r="E59" s="1236">
        <f>+G59+I59+K59+M59+O59</f>
        <v>0</v>
      </c>
      <c r="F59" s="1448">
        <f>+H59+J59+L59+N59+P59</f>
        <v>0</v>
      </c>
      <c r="G59" s="1236">
        <f>SUM(G57:G58)</f>
        <v>0</v>
      </c>
      <c r="H59" s="1449">
        <f t="shared" ref="H59:T59" si="44">SUM(H57:H58)</f>
        <v>0</v>
      </c>
      <c r="I59" s="1236">
        <f t="shared" ref="I59:J59" si="45">SUM(I57:I58)</f>
        <v>0</v>
      </c>
      <c r="J59" s="963">
        <f t="shared" si="45"/>
        <v>0</v>
      </c>
      <c r="K59" s="1449">
        <f t="shared" ref="K59:L59" si="46">SUM(K57:K58)</f>
        <v>0</v>
      </c>
      <c r="L59" s="963">
        <f t="shared" si="46"/>
        <v>0</v>
      </c>
      <c r="M59" s="1449">
        <f t="shared" ref="M59:N59" si="47">SUM(M57:M58)</f>
        <v>0</v>
      </c>
      <c r="N59" s="963">
        <f t="shared" si="47"/>
        <v>0</v>
      </c>
      <c r="O59" s="1449">
        <f t="shared" si="44"/>
        <v>0</v>
      </c>
      <c r="P59" s="936">
        <f t="shared" si="44"/>
        <v>0</v>
      </c>
      <c r="Q59" s="341">
        <f>SUM(Q57:Q58)</f>
        <v>0</v>
      </c>
      <c r="R59" s="1212">
        <f t="shared" si="44"/>
        <v>0</v>
      </c>
      <c r="S59" s="1212">
        <f t="shared" si="44"/>
        <v>0</v>
      </c>
      <c r="T59" s="963">
        <f t="shared" si="44"/>
        <v>0</v>
      </c>
      <c r="U59" s="178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C59" s="172"/>
      <c r="BS59" s="606"/>
      <c r="BT59" s="606"/>
      <c r="BU59" s="606"/>
      <c r="BV59" s="606"/>
      <c r="BW59" s="606"/>
      <c r="BX59" s="606"/>
      <c r="BZ59" s="172"/>
      <c r="CA59" s="172"/>
      <c r="CL59" s="193"/>
      <c r="CM59" s="193"/>
      <c r="CN59" s="193"/>
      <c r="CO59" s="193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EA59" s="191"/>
      <c r="EB59" s="191"/>
      <c r="EC59" s="191"/>
      <c r="ED59" s="191"/>
    </row>
    <row r="60" spans="1:134" ht="15" customHeight="1" x14ac:dyDescent="0.25">
      <c r="A60" s="1585" t="s">
        <v>1050</v>
      </c>
      <c r="B60" s="1849"/>
      <c r="C60" s="678" t="s">
        <v>236</v>
      </c>
      <c r="D60" s="679" t="s">
        <v>1616</v>
      </c>
      <c r="E60" s="680" t="s">
        <v>1617</v>
      </c>
      <c r="F60" s="681" t="s">
        <v>1618</v>
      </c>
      <c r="G60" s="315" t="s">
        <v>1619</v>
      </c>
      <c r="H60" s="343" t="s">
        <v>1620</v>
      </c>
      <c r="I60" s="315" t="s">
        <v>1621</v>
      </c>
      <c r="J60" s="316" t="s">
        <v>1622</v>
      </c>
      <c r="K60" s="318" t="s">
        <v>1623</v>
      </c>
      <c r="L60" s="316" t="s">
        <v>1624</v>
      </c>
      <c r="M60" s="318" t="s">
        <v>1625</v>
      </c>
      <c r="N60" s="316" t="s">
        <v>1626</v>
      </c>
      <c r="O60" s="318" t="s">
        <v>1627</v>
      </c>
      <c r="P60" s="683" t="s">
        <v>1628</v>
      </c>
      <c r="Q60" s="350" t="s">
        <v>1629</v>
      </c>
      <c r="R60" s="647" t="s">
        <v>1630</v>
      </c>
      <c r="S60" s="647" t="s">
        <v>1631</v>
      </c>
      <c r="T60" s="316" t="s">
        <v>1632</v>
      </c>
      <c r="U60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C60" s="172"/>
      <c r="BS60" s="606"/>
      <c r="BT60" s="606"/>
      <c r="BU60" s="606"/>
      <c r="BV60" s="606"/>
      <c r="BW60" s="606"/>
      <c r="BX60" s="606"/>
      <c r="BZ60" s="172"/>
      <c r="CA60" s="172"/>
      <c r="CL60" s="191" t="str">
        <f>IF(AND(E60&gt;0,OR(Q60=""))," * No olvide digitar la variable Pueblos Originarios Hombres (Digite Cero si no tiene).",IF(Q60&gt;E60," * La variable Pueblos Originarios Hombres no puede ser Mayor al Total Hombres.",""))</f>
        <v xml:space="preserve"> * La variable Pueblos Originarios Hombres no puede ser Mayor al Total Hombres.</v>
      </c>
      <c r="CM60" s="191" t="str">
        <f>IF(AND(F60&gt;0,OR(R60=""))," * No olvide digitar la variable Pueblos Originarios Mujeres (Digite Cero si no tiene).",IF(R60&gt;F60," * La variable Pueblos Originarios Mujeres no puede ser Mayor al Total Mujeres.",""))</f>
        <v xml:space="preserve"> * La variable Pueblos Originarios Mujeres no puede ser Mayor al Total Mujeres.</v>
      </c>
      <c r="CN60" s="191" t="str">
        <f>IF(AND(E60&gt;0,OR(S60=""))," * No olvide digitar la variable Migrantes Hombres (Digite Cero si no tiene).",IF(S60&gt;E60," * La variable Migrantes Hombres no puede ser Mayor al Total Hombres.",""))</f>
        <v xml:space="preserve"> * La variable Migrantes Hombres no puede ser Mayor al Total Hombres.</v>
      </c>
      <c r="CO60" s="191" t="str">
        <f>IF(AND(F60&gt;0,OR(T60=""))," * No olvide digitar la variable Migrantes Mujeres (Digite Cero si no tiene).",IF(T60&gt;F60," * La variable Migrantes Mujeres no puede ser Mayor al Total Mujeres.",""))</f>
        <v xml:space="preserve"> * La variable Migrantes Mujeres no puede ser Mayor al Total Mujeres.</v>
      </c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EA60" s="1047">
        <f t="shared" ref="EA60:EB63" si="48">IF(AND(E60&gt;0,OR(Q60="")),1,IF(Q60&gt;E60,1,0))</f>
        <v>1</v>
      </c>
      <c r="EB60" s="1047">
        <f t="shared" si="48"/>
        <v>1</v>
      </c>
      <c r="EC60" s="1047">
        <f t="shared" ref="EC60:ED63" si="49">IF(AND(E60&gt;0,OR(S60="")),1,IF(S60&gt;E60,1,0))</f>
        <v>1</v>
      </c>
      <c r="ED60" s="1047">
        <f t="shared" si="49"/>
        <v>1</v>
      </c>
    </row>
    <row r="61" spans="1:134" ht="15" customHeight="1" x14ac:dyDescent="0.25">
      <c r="A61" s="1585" t="s">
        <v>1051</v>
      </c>
      <c r="B61" s="1850" t="s">
        <v>259</v>
      </c>
      <c r="C61" s="64" t="s">
        <v>260</v>
      </c>
      <c r="D61" s="351" t="s">
        <v>1616</v>
      </c>
      <c r="E61" s="369" t="s">
        <v>1617</v>
      </c>
      <c r="F61" s="370" t="s">
        <v>1618</v>
      </c>
      <c r="G61" s="322" t="s">
        <v>1619</v>
      </c>
      <c r="H61" s="323" t="s">
        <v>1620</v>
      </c>
      <c r="I61" s="322" t="s">
        <v>1621</v>
      </c>
      <c r="J61" s="323" t="s">
        <v>1622</v>
      </c>
      <c r="K61" s="325" t="s">
        <v>1623</v>
      </c>
      <c r="L61" s="323" t="s">
        <v>1624</v>
      </c>
      <c r="M61" s="325" t="s">
        <v>1625</v>
      </c>
      <c r="N61" s="323" t="s">
        <v>1626</v>
      </c>
      <c r="O61" s="325" t="s">
        <v>1627</v>
      </c>
      <c r="P61" s="324" t="s">
        <v>1628</v>
      </c>
      <c r="Q61" s="326" t="s">
        <v>1629</v>
      </c>
      <c r="R61" s="375" t="s">
        <v>1630</v>
      </c>
      <c r="S61" s="325" t="s">
        <v>1631</v>
      </c>
      <c r="T61" s="323" t="s">
        <v>1632</v>
      </c>
      <c r="U61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C61" s="172"/>
      <c r="BS61" s="606"/>
      <c r="BT61" s="606"/>
      <c r="BU61" s="606"/>
      <c r="BV61" s="606"/>
      <c r="BW61" s="606"/>
      <c r="BX61" s="606"/>
      <c r="BZ61" s="172"/>
      <c r="CA61" s="172"/>
      <c r="CL61" s="191" t="str">
        <f>IF(AND(E61&gt;0,OR(Q61=""))," * No olvide digitar la variable Pueblos Originarios Hombres (Digite Cero si no tiene).",IF(Q61&gt;E61," * La variable Pueblos Originarios Hombres no puede ser Mayor al Total Hombres.",""))</f>
        <v xml:space="preserve"> * La variable Pueblos Originarios Hombres no puede ser Mayor al Total Hombres.</v>
      </c>
      <c r="CM61" s="191" t="str">
        <f>IF(AND(F61&gt;0,OR(R61=""))," * No olvide digitar la variable Pueblos Originarios Mujeres (Digite Cero si no tiene).",IF(R61&gt;F61," * La variable Pueblos Originarios Mujeres no puede ser Mayor al Total Mujeres.",""))</f>
        <v xml:space="preserve"> * La variable Pueblos Originarios Mujeres no puede ser Mayor al Total Mujeres.</v>
      </c>
      <c r="CN61" s="191" t="str">
        <f>IF(AND(E61&gt;0,OR(S61=""))," * No olvide digitar la variable Migrantes Hombres (Digite Cero si no tiene).",IF(S61&gt;E61," * La variable Migrantes Hombres no puede ser Mayor al Total Hombres.",""))</f>
        <v xml:space="preserve"> * La variable Migrantes Hombres no puede ser Mayor al Total Hombres.</v>
      </c>
      <c r="CO61" s="191" t="str">
        <f>IF(AND(F61&gt;0,OR(T61=""))," * No olvide digitar la variable Migrantes Mujeres (Digite Cero si no tiene).",IF(T61&gt;F61," * La variable Migrantes Mujeres no puede ser Mayor al Total Mujeres.",""))</f>
        <v xml:space="preserve"> * La variable Migrantes Mujeres no puede ser Mayor al Total Mujeres.</v>
      </c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EA61" s="1047">
        <f t="shared" si="48"/>
        <v>1</v>
      </c>
      <c r="EB61" s="1047">
        <f t="shared" si="48"/>
        <v>1</v>
      </c>
      <c r="EC61" s="1047">
        <f t="shared" si="49"/>
        <v>1</v>
      </c>
      <c r="ED61" s="1047">
        <f t="shared" si="49"/>
        <v>1</v>
      </c>
    </row>
    <row r="62" spans="1:134" ht="15" customHeight="1" x14ac:dyDescent="0.25">
      <c r="A62" s="1585" t="s">
        <v>1052</v>
      </c>
      <c r="B62" s="1851"/>
      <c r="C62" s="61" t="s">
        <v>261</v>
      </c>
      <c r="D62" s="352" t="s">
        <v>1616</v>
      </c>
      <c r="E62" s="365" t="s">
        <v>1617</v>
      </c>
      <c r="F62" s="366" t="s">
        <v>1618</v>
      </c>
      <c r="G62" s="354" t="s">
        <v>1619</v>
      </c>
      <c r="H62" s="355" t="s">
        <v>1620</v>
      </c>
      <c r="I62" s="354" t="s">
        <v>1621</v>
      </c>
      <c r="J62" s="355" t="s">
        <v>1622</v>
      </c>
      <c r="K62" s="357" t="s">
        <v>1623</v>
      </c>
      <c r="L62" s="355" t="s">
        <v>1624</v>
      </c>
      <c r="M62" s="357" t="s">
        <v>1625</v>
      </c>
      <c r="N62" s="355" t="s">
        <v>1626</v>
      </c>
      <c r="O62" s="357" t="s">
        <v>1627</v>
      </c>
      <c r="P62" s="356" t="s">
        <v>1628</v>
      </c>
      <c r="Q62" s="358" t="s">
        <v>1629</v>
      </c>
      <c r="R62" s="376" t="s">
        <v>1630</v>
      </c>
      <c r="S62" s="357" t="s">
        <v>1631</v>
      </c>
      <c r="T62" s="355" t="s">
        <v>1632</v>
      </c>
      <c r="U62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C62" s="172"/>
      <c r="BS62" s="606"/>
      <c r="BT62" s="606"/>
      <c r="BU62" s="606"/>
      <c r="BV62" s="606"/>
      <c r="BW62" s="606"/>
      <c r="BX62" s="606"/>
      <c r="BZ62" s="172"/>
      <c r="CA62" s="172"/>
      <c r="CL62" s="191" t="str">
        <f>IF(AND(E62&gt;0,OR(Q62=""))," * No olvide digitar la variable Pueblos Originarios Hombres (Digite Cero si no tiene).",IF(Q62&gt;E62," * La variable Pueblos Originarios Hombres no puede ser Mayor al Total Hombres.",""))</f>
        <v xml:space="preserve"> * La variable Pueblos Originarios Hombres no puede ser Mayor al Total Hombres.</v>
      </c>
      <c r="CM62" s="191" t="str">
        <f>IF(AND(F62&gt;0,OR(R62=""))," * No olvide digitar la variable Pueblos Originarios Mujeres (Digite Cero si no tiene).",IF(R62&gt;F62," * La variable Pueblos Originarios Mujeres no puede ser Mayor al Total Mujeres.",""))</f>
        <v xml:space="preserve"> * La variable Pueblos Originarios Mujeres no puede ser Mayor al Total Mujeres.</v>
      </c>
      <c r="CN62" s="191" t="str">
        <f>IF(AND(E62&gt;0,OR(S62=""))," * No olvide digitar la variable Migrantes Hombres (Digite Cero si no tiene).",IF(S62&gt;E62," * La variable Migrantes Hombres no puede ser Mayor al Total Hombres.",""))</f>
        <v xml:space="preserve"> * La variable Migrantes Hombres no puede ser Mayor al Total Hombres.</v>
      </c>
      <c r="CO62" s="191" t="str">
        <f>IF(AND(F62&gt;0,OR(T62=""))," * No olvide digitar la variable Migrantes Mujeres (Digite Cero si no tiene).",IF(T62&gt;F62," * La variable Migrantes Mujeres no puede ser Mayor al Total Mujeres.",""))</f>
        <v xml:space="preserve"> * La variable Migrantes Mujeres no puede ser Mayor al Total Mujeres.</v>
      </c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EA62" s="1047">
        <f t="shared" si="48"/>
        <v>1</v>
      </c>
      <c r="EB62" s="1047">
        <f t="shared" si="48"/>
        <v>1</v>
      </c>
      <c r="EC62" s="1047">
        <f t="shared" si="49"/>
        <v>1</v>
      </c>
      <c r="ED62" s="1047">
        <f t="shared" si="49"/>
        <v>1</v>
      </c>
    </row>
    <row r="63" spans="1:134" ht="15" customHeight="1" x14ac:dyDescent="0.25">
      <c r="A63" s="1585" t="s">
        <v>1053</v>
      </c>
      <c r="B63" s="1851"/>
      <c r="C63" s="62" t="s">
        <v>262</v>
      </c>
      <c r="D63" s="359" t="s">
        <v>1616</v>
      </c>
      <c r="E63" s="367" t="s">
        <v>1617</v>
      </c>
      <c r="F63" s="368" t="s">
        <v>1618</v>
      </c>
      <c r="G63" s="328" t="s">
        <v>1619</v>
      </c>
      <c r="H63" s="329" t="s">
        <v>1620</v>
      </c>
      <c r="I63" s="328" t="s">
        <v>1621</v>
      </c>
      <c r="J63" s="329" t="s">
        <v>1622</v>
      </c>
      <c r="K63" s="331" t="s">
        <v>1623</v>
      </c>
      <c r="L63" s="329" t="s">
        <v>1624</v>
      </c>
      <c r="M63" s="331" t="s">
        <v>1625</v>
      </c>
      <c r="N63" s="329" t="s">
        <v>1626</v>
      </c>
      <c r="O63" s="331" t="s">
        <v>1627</v>
      </c>
      <c r="P63" s="330" t="s">
        <v>1628</v>
      </c>
      <c r="Q63" s="332" t="s">
        <v>1629</v>
      </c>
      <c r="R63" s="379" t="s">
        <v>1630</v>
      </c>
      <c r="S63" s="331" t="s">
        <v>1631</v>
      </c>
      <c r="T63" s="329" t="s">
        <v>1632</v>
      </c>
      <c r="U63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C63" s="172"/>
      <c r="BS63" s="606"/>
      <c r="BT63" s="606"/>
      <c r="BU63" s="606"/>
      <c r="BV63" s="606"/>
      <c r="BW63" s="606"/>
      <c r="BX63" s="606"/>
      <c r="BZ63" s="172"/>
      <c r="CA63" s="172"/>
      <c r="CL63" s="191" t="str">
        <f>IF(AND(E63&gt;0,OR(Q63=""))," * No olvide digitar la variable Pueblos Originarios Hombres (Digite Cero si no tiene).",IF(Q63&gt;E63," * La variable Pueblos Originarios Hombres no puede ser Mayor al Total Hombres.",""))</f>
        <v xml:space="preserve"> * La variable Pueblos Originarios Hombres no puede ser Mayor al Total Hombres.</v>
      </c>
      <c r="CM63" s="191" t="str">
        <f>IF(AND(F63&gt;0,OR(R63=""))," * No olvide digitar la variable Pueblos Originarios Mujeres (Digite Cero si no tiene).",IF(R63&gt;F63," * La variable Pueblos Originarios Mujeres no puede ser Mayor al Total Mujeres.",""))</f>
        <v xml:space="preserve"> * La variable Pueblos Originarios Mujeres no puede ser Mayor al Total Mujeres.</v>
      </c>
      <c r="CN63" s="191" t="str">
        <f>IF(AND(E63&gt;0,OR(S63=""))," * No olvide digitar la variable Migrantes Hombres (Digite Cero si no tiene).",IF(S63&gt;E63," * La variable Migrantes Hombres no puede ser Mayor al Total Hombres.",""))</f>
        <v xml:space="preserve"> * La variable Migrantes Hombres no puede ser Mayor al Total Hombres.</v>
      </c>
      <c r="CO63" s="191" t="str">
        <f>IF(AND(F63&gt;0,OR(T63=""))," * No olvide digitar la variable Migrantes Mujeres (Digite Cero si no tiene).",IF(T63&gt;F63," * La variable Migrantes Mujeres no puede ser Mayor al Total Mujeres.",""))</f>
        <v xml:space="preserve"> * La variable Migrantes Mujeres no puede ser Mayor al Total Mujeres.</v>
      </c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EA63" s="1047">
        <f t="shared" si="48"/>
        <v>1</v>
      </c>
      <c r="EB63" s="1047">
        <f t="shared" si="48"/>
        <v>1</v>
      </c>
      <c r="EC63" s="1047">
        <f t="shared" si="49"/>
        <v>1</v>
      </c>
      <c r="ED63" s="1047">
        <f t="shared" si="49"/>
        <v>1</v>
      </c>
    </row>
    <row r="64" spans="1:134" ht="15" customHeight="1" x14ac:dyDescent="0.25">
      <c r="A64" s="1587"/>
      <c r="B64" s="1852"/>
      <c r="C64" s="1443" t="s">
        <v>89</v>
      </c>
      <c r="D64" s="1446">
        <f>+E64+F64</f>
        <v>0</v>
      </c>
      <c r="E64" s="1234">
        <f>+G64+I64+K64+M64+O64</f>
        <v>0</v>
      </c>
      <c r="F64" s="1455">
        <f>+H64+J64+L64+N64+P64</f>
        <v>0</v>
      </c>
      <c r="G64" s="1236">
        <f>SUM(G61:G63)</f>
        <v>0</v>
      </c>
      <c r="H64" s="963">
        <f t="shared" ref="H64:S64" si="50">SUM(H61:H63)</f>
        <v>0</v>
      </c>
      <c r="I64" s="1236">
        <f t="shared" ref="I64:J64" si="51">SUM(I61:I63)</f>
        <v>0</v>
      </c>
      <c r="J64" s="963">
        <f t="shared" si="51"/>
        <v>0</v>
      </c>
      <c r="K64" s="1449">
        <f t="shared" ref="K64:L64" si="52">SUM(K61:K63)</f>
        <v>0</v>
      </c>
      <c r="L64" s="963">
        <f t="shared" si="52"/>
        <v>0</v>
      </c>
      <c r="M64" s="1449">
        <f t="shared" ref="M64:N64" si="53">SUM(M61:M63)</f>
        <v>0</v>
      </c>
      <c r="N64" s="963">
        <f t="shared" si="53"/>
        <v>0</v>
      </c>
      <c r="O64" s="1449">
        <f t="shared" si="50"/>
        <v>0</v>
      </c>
      <c r="P64" s="340">
        <f t="shared" si="50"/>
        <v>0</v>
      </c>
      <c r="Q64" s="341">
        <f>SUM(Q61:Q63)</f>
        <v>0</v>
      </c>
      <c r="R64" s="1212">
        <f t="shared" si="50"/>
        <v>0</v>
      </c>
      <c r="S64" s="1449">
        <f t="shared" si="50"/>
        <v>0</v>
      </c>
      <c r="T64" s="963">
        <f>SUM(T61:T63)</f>
        <v>0</v>
      </c>
      <c r="U64" s="178"/>
      <c r="V64" s="172"/>
      <c r="W64" s="606"/>
      <c r="X64" s="606"/>
      <c r="Y64" s="606"/>
      <c r="Z64" s="606"/>
      <c r="AA64" s="606"/>
      <c r="AB64" s="606"/>
      <c r="AC64" s="606"/>
      <c r="AD64" s="606"/>
      <c r="AE64" s="606"/>
      <c r="AF64" s="606"/>
      <c r="AG64" s="606"/>
      <c r="AH64" s="606"/>
      <c r="AI64" s="606"/>
      <c r="AJ64" s="606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C64" s="172"/>
      <c r="BS64" s="606"/>
      <c r="BT64" s="606"/>
      <c r="BU64" s="606"/>
      <c r="BV64" s="606"/>
      <c r="BW64" s="606"/>
      <c r="BX64" s="606"/>
      <c r="BZ64" s="172"/>
      <c r="CA64" s="172"/>
      <c r="CL64" s="193"/>
      <c r="CM64" s="193"/>
      <c r="CN64" s="193"/>
      <c r="CO64" s="193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EA64" s="191"/>
      <c r="EB64" s="191"/>
      <c r="EC64" s="191"/>
      <c r="ED64" s="191"/>
    </row>
    <row r="65" spans="1:134" ht="15" customHeight="1" x14ac:dyDescent="0.25">
      <c r="A65" s="1585" t="s">
        <v>1054</v>
      </c>
      <c r="B65" s="1862" t="s">
        <v>237</v>
      </c>
      <c r="C65" s="64" t="s">
        <v>263</v>
      </c>
      <c r="D65" s="351" t="s">
        <v>1616</v>
      </c>
      <c r="E65" s="369" t="s">
        <v>1617</v>
      </c>
      <c r="F65" s="370" t="s">
        <v>1618</v>
      </c>
      <c r="G65" s="322" t="s">
        <v>1619</v>
      </c>
      <c r="H65" s="323" t="s">
        <v>1620</v>
      </c>
      <c r="I65" s="322" t="s">
        <v>1621</v>
      </c>
      <c r="J65" s="323" t="s">
        <v>1622</v>
      </c>
      <c r="K65" s="325" t="s">
        <v>1623</v>
      </c>
      <c r="L65" s="323" t="s">
        <v>1624</v>
      </c>
      <c r="M65" s="325" t="s">
        <v>1625</v>
      </c>
      <c r="N65" s="323" t="s">
        <v>1626</v>
      </c>
      <c r="O65" s="325" t="s">
        <v>1627</v>
      </c>
      <c r="P65" s="324" t="s">
        <v>1628</v>
      </c>
      <c r="Q65" s="326" t="s">
        <v>1629</v>
      </c>
      <c r="R65" s="375" t="s">
        <v>1630</v>
      </c>
      <c r="S65" s="325" t="s">
        <v>1631</v>
      </c>
      <c r="T65" s="323" t="s">
        <v>1632</v>
      </c>
      <c r="U65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C65" s="172"/>
      <c r="BS65" s="606"/>
      <c r="BT65" s="606"/>
      <c r="BU65" s="606"/>
      <c r="BV65" s="606"/>
      <c r="BW65" s="606"/>
      <c r="BX65" s="606"/>
      <c r="BZ65" s="172"/>
      <c r="CA65" s="172"/>
      <c r="CL65" s="191" t="str">
        <f t="shared" ref="CL65:CL70" si="54">IF(AND(E65&gt;0,OR(Q65=""))," * No olvide digitar la variable Pueblos Originarios Hombres (Digite Cero si no tiene).",IF(Q65&gt;E65," * La variable Pueblos Originarios Hombres no puede ser Mayor al Total Hombres.",""))</f>
        <v xml:space="preserve"> * La variable Pueblos Originarios Hombres no puede ser Mayor al Total Hombres.</v>
      </c>
      <c r="CM65" s="191" t="str">
        <f t="shared" ref="CM65:CM70" si="55">IF(AND(F65&gt;0,OR(R65=""))," * No olvide digitar la variable Pueblos Originarios Mujeres (Digite Cero si no tiene).",IF(R65&gt;F65," * La variable Pueblos Originarios Mujeres no puede ser Mayor al Total Mujeres.",""))</f>
        <v xml:space="preserve"> * La variable Pueblos Originarios Mujeres no puede ser Mayor al Total Mujeres.</v>
      </c>
      <c r="CN65" s="191" t="str">
        <f t="shared" ref="CN65:CN70" si="56">IF(AND(E65&gt;0,OR(S65=""))," * No olvide digitar la variable Migrantes Hombres (Digite Cero si no tiene).",IF(S65&gt;E65," * La variable Migrantes Hombres no puede ser Mayor al Total Hombres.",""))</f>
        <v xml:space="preserve"> * La variable Migrantes Hombres no puede ser Mayor al Total Hombres.</v>
      </c>
      <c r="CO65" s="191" t="str">
        <f t="shared" ref="CO65:CO70" si="57">IF(AND(F65&gt;0,OR(T65=""))," * No olvide digitar la variable Migrantes Mujeres (Digite Cero si no tiene).",IF(T65&gt;F65," * La variable Migrantes Mujeres no puede ser Mayor al Total Mujeres.",""))</f>
        <v xml:space="preserve"> * La variable Migrantes Mujeres no puede ser Mayor al Total Mujeres.</v>
      </c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EA65" s="1047">
        <f t="shared" ref="EA65:EB70" si="58">IF(AND(E65&gt;0,OR(Q65="")),1,IF(Q65&gt;E65,1,0))</f>
        <v>1</v>
      </c>
      <c r="EB65" s="1047">
        <f t="shared" si="58"/>
        <v>1</v>
      </c>
      <c r="EC65" s="1047">
        <f t="shared" ref="EC65:ED70" si="59">IF(AND(E65&gt;0,OR(S65="")),1,IF(S65&gt;E65,1,0))</f>
        <v>1</v>
      </c>
      <c r="ED65" s="1047">
        <f t="shared" si="59"/>
        <v>1</v>
      </c>
    </row>
    <row r="66" spans="1:134" ht="15" customHeight="1" x14ac:dyDescent="0.25">
      <c r="A66" s="1585" t="s">
        <v>1055</v>
      </c>
      <c r="B66" s="1863"/>
      <c r="C66" s="61" t="s">
        <v>264</v>
      </c>
      <c r="D66" s="352" t="s">
        <v>1616</v>
      </c>
      <c r="E66" s="365" t="s">
        <v>1617</v>
      </c>
      <c r="F66" s="366" t="s">
        <v>1618</v>
      </c>
      <c r="G66" s="354" t="s">
        <v>1619</v>
      </c>
      <c r="H66" s="355" t="s">
        <v>1620</v>
      </c>
      <c r="I66" s="354" t="s">
        <v>1621</v>
      </c>
      <c r="J66" s="355" t="s">
        <v>1622</v>
      </c>
      <c r="K66" s="357" t="s">
        <v>1623</v>
      </c>
      <c r="L66" s="355" t="s">
        <v>1624</v>
      </c>
      <c r="M66" s="357" t="s">
        <v>1625</v>
      </c>
      <c r="N66" s="355" t="s">
        <v>1626</v>
      </c>
      <c r="O66" s="357" t="s">
        <v>1627</v>
      </c>
      <c r="P66" s="356" t="s">
        <v>1628</v>
      </c>
      <c r="Q66" s="358" t="s">
        <v>1629</v>
      </c>
      <c r="R66" s="376" t="s">
        <v>1630</v>
      </c>
      <c r="S66" s="357" t="s">
        <v>1631</v>
      </c>
      <c r="T66" s="355" t="s">
        <v>1632</v>
      </c>
      <c r="U66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C66" s="172"/>
      <c r="BS66" s="606"/>
      <c r="BT66" s="606"/>
      <c r="BU66" s="606"/>
      <c r="BV66" s="606"/>
      <c r="BW66" s="606"/>
      <c r="BX66" s="606"/>
      <c r="BZ66" s="172"/>
      <c r="CA66" s="172"/>
      <c r="CL66" s="191" t="str">
        <f t="shared" si="54"/>
        <v xml:space="preserve"> * La variable Pueblos Originarios Hombres no puede ser Mayor al Total Hombres.</v>
      </c>
      <c r="CM66" s="191" t="str">
        <f t="shared" si="55"/>
        <v xml:space="preserve"> * La variable Pueblos Originarios Mujeres no puede ser Mayor al Total Mujeres.</v>
      </c>
      <c r="CN66" s="191" t="str">
        <f t="shared" si="56"/>
        <v xml:space="preserve"> * La variable Migrantes Hombres no puede ser Mayor al Total Hombres.</v>
      </c>
      <c r="CO66" s="191" t="str">
        <f t="shared" si="57"/>
        <v xml:space="preserve"> * La variable Migrantes Mujeres no puede ser Mayor al Total Mujeres.</v>
      </c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EA66" s="1047">
        <f t="shared" si="58"/>
        <v>1</v>
      </c>
      <c r="EB66" s="1047">
        <f t="shared" si="58"/>
        <v>1</v>
      </c>
      <c r="EC66" s="1047">
        <f t="shared" si="59"/>
        <v>1</v>
      </c>
      <c r="ED66" s="1047">
        <f t="shared" si="59"/>
        <v>1</v>
      </c>
    </row>
    <row r="67" spans="1:134" ht="15" customHeight="1" x14ac:dyDescent="0.25">
      <c r="A67" s="1585" t="s">
        <v>1056</v>
      </c>
      <c r="B67" s="1863"/>
      <c r="C67" s="61" t="s">
        <v>265</v>
      </c>
      <c r="D67" s="352" t="s">
        <v>1616</v>
      </c>
      <c r="E67" s="365" t="s">
        <v>1617</v>
      </c>
      <c r="F67" s="366" t="s">
        <v>1618</v>
      </c>
      <c r="G67" s="354" t="s">
        <v>1619</v>
      </c>
      <c r="H67" s="355" t="s">
        <v>1620</v>
      </c>
      <c r="I67" s="354" t="s">
        <v>1621</v>
      </c>
      <c r="J67" s="355" t="s">
        <v>1622</v>
      </c>
      <c r="K67" s="357" t="s">
        <v>1623</v>
      </c>
      <c r="L67" s="355" t="s">
        <v>1624</v>
      </c>
      <c r="M67" s="357" t="s">
        <v>1625</v>
      </c>
      <c r="N67" s="355" t="s">
        <v>1626</v>
      </c>
      <c r="O67" s="357" t="s">
        <v>1627</v>
      </c>
      <c r="P67" s="356" t="s">
        <v>1628</v>
      </c>
      <c r="Q67" s="358" t="s">
        <v>1629</v>
      </c>
      <c r="R67" s="376" t="s">
        <v>1630</v>
      </c>
      <c r="S67" s="357" t="s">
        <v>1631</v>
      </c>
      <c r="T67" s="355" t="s">
        <v>1632</v>
      </c>
      <c r="U67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C67" s="172"/>
      <c r="BS67" s="606"/>
      <c r="BT67" s="606"/>
      <c r="BU67" s="606"/>
      <c r="BV67" s="606"/>
      <c r="BW67" s="606"/>
      <c r="BX67" s="606"/>
      <c r="BZ67" s="172"/>
      <c r="CA67" s="172"/>
      <c r="CL67" s="191" t="str">
        <f t="shared" si="54"/>
        <v xml:space="preserve"> * La variable Pueblos Originarios Hombres no puede ser Mayor al Total Hombres.</v>
      </c>
      <c r="CM67" s="191" t="str">
        <f t="shared" si="55"/>
        <v xml:space="preserve"> * La variable Pueblos Originarios Mujeres no puede ser Mayor al Total Mujeres.</v>
      </c>
      <c r="CN67" s="191" t="str">
        <f t="shared" si="56"/>
        <v xml:space="preserve"> * La variable Migrantes Hombres no puede ser Mayor al Total Hombres.</v>
      </c>
      <c r="CO67" s="191" t="str">
        <f t="shared" si="57"/>
        <v xml:space="preserve"> * La variable Migrantes Mujeres no puede ser Mayor al Total Mujeres.</v>
      </c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EA67" s="1047">
        <f t="shared" si="58"/>
        <v>1</v>
      </c>
      <c r="EB67" s="1047">
        <f t="shared" si="58"/>
        <v>1</v>
      </c>
      <c r="EC67" s="1047">
        <f t="shared" si="59"/>
        <v>1</v>
      </c>
      <c r="ED67" s="1047">
        <f t="shared" si="59"/>
        <v>1</v>
      </c>
    </row>
    <row r="68" spans="1:134" ht="15" customHeight="1" x14ac:dyDescent="0.25">
      <c r="A68" s="1585" t="s">
        <v>1057</v>
      </c>
      <c r="B68" s="1863"/>
      <c r="C68" s="61" t="s">
        <v>241</v>
      </c>
      <c r="D68" s="352" t="s">
        <v>1616</v>
      </c>
      <c r="E68" s="365" t="s">
        <v>1617</v>
      </c>
      <c r="F68" s="366" t="s">
        <v>1618</v>
      </c>
      <c r="G68" s="354" t="s">
        <v>1619</v>
      </c>
      <c r="H68" s="355" t="s">
        <v>1620</v>
      </c>
      <c r="I68" s="354" t="s">
        <v>1621</v>
      </c>
      <c r="J68" s="355" t="s">
        <v>1622</v>
      </c>
      <c r="K68" s="357" t="s">
        <v>1623</v>
      </c>
      <c r="L68" s="355" t="s">
        <v>1624</v>
      </c>
      <c r="M68" s="357" t="s">
        <v>1625</v>
      </c>
      <c r="N68" s="355" t="s">
        <v>1626</v>
      </c>
      <c r="O68" s="357" t="s">
        <v>1627</v>
      </c>
      <c r="P68" s="356" t="s">
        <v>1628</v>
      </c>
      <c r="Q68" s="358" t="s">
        <v>1629</v>
      </c>
      <c r="R68" s="376" t="s">
        <v>1630</v>
      </c>
      <c r="S68" s="357" t="s">
        <v>1631</v>
      </c>
      <c r="T68" s="355" t="s">
        <v>1632</v>
      </c>
      <c r="U68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C68" s="172"/>
      <c r="BS68" s="606"/>
      <c r="BT68" s="606"/>
      <c r="BU68" s="606"/>
      <c r="BV68" s="606"/>
      <c r="BW68" s="606"/>
      <c r="BX68" s="606"/>
      <c r="BZ68" s="172"/>
      <c r="CA68" s="172"/>
      <c r="CL68" s="191" t="str">
        <f t="shared" si="54"/>
        <v xml:space="preserve"> * La variable Pueblos Originarios Hombres no puede ser Mayor al Total Hombres.</v>
      </c>
      <c r="CM68" s="191" t="str">
        <f t="shared" si="55"/>
        <v xml:space="preserve"> * La variable Pueblos Originarios Mujeres no puede ser Mayor al Total Mujeres.</v>
      </c>
      <c r="CN68" s="191" t="str">
        <f t="shared" si="56"/>
        <v xml:space="preserve"> * La variable Migrantes Hombres no puede ser Mayor al Total Hombres.</v>
      </c>
      <c r="CO68" s="191" t="str">
        <f t="shared" si="57"/>
        <v xml:space="preserve"> * La variable Migrantes Mujeres no puede ser Mayor al Total Mujeres.</v>
      </c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EA68" s="1047">
        <f t="shared" si="58"/>
        <v>1</v>
      </c>
      <c r="EB68" s="1047">
        <f t="shared" si="58"/>
        <v>1</v>
      </c>
      <c r="EC68" s="1047">
        <f t="shared" si="59"/>
        <v>1</v>
      </c>
      <c r="ED68" s="1047">
        <f t="shared" si="59"/>
        <v>1</v>
      </c>
    </row>
    <row r="69" spans="1:134" ht="15" customHeight="1" x14ac:dyDescent="0.25">
      <c r="A69" s="1585" t="s">
        <v>1058</v>
      </c>
      <c r="B69" s="1863"/>
      <c r="C69" s="61" t="s">
        <v>266</v>
      </c>
      <c r="D69" s="352" t="s">
        <v>1616</v>
      </c>
      <c r="E69" s="365" t="s">
        <v>1617</v>
      </c>
      <c r="F69" s="366" t="s">
        <v>1618</v>
      </c>
      <c r="G69" s="354" t="s">
        <v>1619</v>
      </c>
      <c r="H69" s="355" t="s">
        <v>1620</v>
      </c>
      <c r="I69" s="354" t="s">
        <v>1621</v>
      </c>
      <c r="J69" s="355" t="s">
        <v>1622</v>
      </c>
      <c r="K69" s="357" t="s">
        <v>1623</v>
      </c>
      <c r="L69" s="355" t="s">
        <v>1624</v>
      </c>
      <c r="M69" s="357" t="s">
        <v>1625</v>
      </c>
      <c r="N69" s="355" t="s">
        <v>1626</v>
      </c>
      <c r="O69" s="357" t="s">
        <v>1627</v>
      </c>
      <c r="P69" s="356" t="s">
        <v>1628</v>
      </c>
      <c r="Q69" s="358" t="s">
        <v>1629</v>
      </c>
      <c r="R69" s="376" t="s">
        <v>1630</v>
      </c>
      <c r="S69" s="357" t="s">
        <v>1631</v>
      </c>
      <c r="T69" s="355" t="s">
        <v>1632</v>
      </c>
      <c r="U69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C69" s="172"/>
      <c r="BS69" s="606"/>
      <c r="BT69" s="606"/>
      <c r="BU69" s="606"/>
      <c r="BV69" s="606"/>
      <c r="BW69" s="606"/>
      <c r="BX69" s="606"/>
      <c r="BZ69" s="172"/>
      <c r="CA69" s="172"/>
      <c r="CL69" s="191" t="str">
        <f t="shared" si="54"/>
        <v xml:space="preserve"> * La variable Pueblos Originarios Hombres no puede ser Mayor al Total Hombres.</v>
      </c>
      <c r="CM69" s="191" t="str">
        <f t="shared" si="55"/>
        <v xml:space="preserve"> * La variable Pueblos Originarios Mujeres no puede ser Mayor al Total Mujeres.</v>
      </c>
      <c r="CN69" s="191" t="str">
        <f t="shared" si="56"/>
        <v xml:space="preserve"> * La variable Migrantes Hombres no puede ser Mayor al Total Hombres.</v>
      </c>
      <c r="CO69" s="191" t="str">
        <f t="shared" si="57"/>
        <v xml:space="preserve"> * La variable Migrantes Mujeres no puede ser Mayor al Total Mujeres.</v>
      </c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EA69" s="1047">
        <f t="shared" si="58"/>
        <v>1</v>
      </c>
      <c r="EB69" s="1047">
        <f t="shared" si="58"/>
        <v>1</v>
      </c>
      <c r="EC69" s="1047">
        <f t="shared" si="59"/>
        <v>1</v>
      </c>
      <c r="ED69" s="1047">
        <f t="shared" si="59"/>
        <v>1</v>
      </c>
    </row>
    <row r="70" spans="1:134" ht="15" customHeight="1" x14ac:dyDescent="0.25">
      <c r="A70" s="1585" t="s">
        <v>1059</v>
      </c>
      <c r="B70" s="1863"/>
      <c r="C70" s="62" t="s">
        <v>126</v>
      </c>
      <c r="D70" s="359" t="s">
        <v>1616</v>
      </c>
      <c r="E70" s="367" t="s">
        <v>1617</v>
      </c>
      <c r="F70" s="368" t="s">
        <v>1618</v>
      </c>
      <c r="G70" s="328" t="s">
        <v>1619</v>
      </c>
      <c r="H70" s="329" t="s">
        <v>1620</v>
      </c>
      <c r="I70" s="328" t="s">
        <v>1621</v>
      </c>
      <c r="J70" s="329" t="s">
        <v>1622</v>
      </c>
      <c r="K70" s="331" t="s">
        <v>1623</v>
      </c>
      <c r="L70" s="329" t="s">
        <v>1624</v>
      </c>
      <c r="M70" s="331" t="s">
        <v>1625</v>
      </c>
      <c r="N70" s="329" t="s">
        <v>1626</v>
      </c>
      <c r="O70" s="331" t="s">
        <v>1627</v>
      </c>
      <c r="P70" s="330" t="s">
        <v>1628</v>
      </c>
      <c r="Q70" s="332" t="s">
        <v>1629</v>
      </c>
      <c r="R70" s="379" t="s">
        <v>1630</v>
      </c>
      <c r="S70" s="331" t="s">
        <v>1631</v>
      </c>
      <c r="T70" s="329" t="s">
        <v>1632</v>
      </c>
      <c r="U70" s="178" t="str">
        <f>CL70&amp;CM70&amp;CN70&amp;CO70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C70" s="172"/>
      <c r="BS70" s="606"/>
      <c r="BT70" s="606"/>
      <c r="BU70" s="606"/>
      <c r="BV70" s="606"/>
      <c r="BW70" s="606"/>
      <c r="BX70" s="606"/>
      <c r="BZ70" s="172"/>
      <c r="CA70" s="172"/>
      <c r="CL70" s="191" t="str">
        <f t="shared" si="54"/>
        <v xml:space="preserve"> * La variable Pueblos Originarios Hombres no puede ser Mayor al Total Hombres.</v>
      </c>
      <c r="CM70" s="191" t="str">
        <f t="shared" si="55"/>
        <v xml:space="preserve"> * La variable Pueblos Originarios Mujeres no puede ser Mayor al Total Mujeres.</v>
      </c>
      <c r="CN70" s="191" t="str">
        <f t="shared" si="56"/>
        <v xml:space="preserve"> * La variable Migrantes Hombres no puede ser Mayor al Total Hombres.</v>
      </c>
      <c r="CO70" s="191" t="str">
        <f t="shared" si="57"/>
        <v xml:space="preserve"> * La variable Migrantes Mujeres no puede ser Mayor al Total Mujeres.</v>
      </c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EA70" s="1047">
        <f t="shared" si="58"/>
        <v>1</v>
      </c>
      <c r="EB70" s="1047">
        <f t="shared" si="58"/>
        <v>1</v>
      </c>
      <c r="EC70" s="1047">
        <f t="shared" si="59"/>
        <v>1</v>
      </c>
      <c r="ED70" s="1047">
        <f t="shared" si="59"/>
        <v>1</v>
      </c>
    </row>
    <row r="71" spans="1:134" ht="15" customHeight="1" x14ac:dyDescent="0.25">
      <c r="A71" s="1587"/>
      <c r="B71" s="1863"/>
      <c r="C71" s="1443" t="s">
        <v>267</v>
      </c>
      <c r="D71" s="1452">
        <f>+E71+F71</f>
        <v>0</v>
      </c>
      <c r="E71" s="1239">
        <f>+G71+I71+K71+M71+O71</f>
        <v>0</v>
      </c>
      <c r="F71" s="1455">
        <f>+H71+J71+L71+N71+P71</f>
        <v>0</v>
      </c>
      <c r="G71" s="1236">
        <f>SUM(G65:G70)</f>
        <v>0</v>
      </c>
      <c r="H71" s="963">
        <f t="shared" ref="H71:T71" si="60">SUM(H65:H70)</f>
        <v>0</v>
      </c>
      <c r="I71" s="1236">
        <f t="shared" ref="I71:J71" si="61">SUM(I65:I70)</f>
        <v>0</v>
      </c>
      <c r="J71" s="963">
        <f t="shared" si="61"/>
        <v>0</v>
      </c>
      <c r="K71" s="1449">
        <f t="shared" ref="K71:L71" si="62">SUM(K65:K70)</f>
        <v>0</v>
      </c>
      <c r="L71" s="963">
        <f t="shared" si="62"/>
        <v>0</v>
      </c>
      <c r="M71" s="1449">
        <f t="shared" ref="M71:N71" si="63">SUM(M65:M70)</f>
        <v>0</v>
      </c>
      <c r="N71" s="963">
        <f t="shared" si="63"/>
        <v>0</v>
      </c>
      <c r="O71" s="1449">
        <f t="shared" si="60"/>
        <v>0</v>
      </c>
      <c r="P71" s="340">
        <f t="shared" si="60"/>
        <v>0</v>
      </c>
      <c r="Q71" s="341">
        <f t="shared" si="60"/>
        <v>0</v>
      </c>
      <c r="R71" s="1212">
        <f t="shared" si="60"/>
        <v>0</v>
      </c>
      <c r="S71" s="1449">
        <f t="shared" si="60"/>
        <v>0</v>
      </c>
      <c r="T71" s="963">
        <f t="shared" si="60"/>
        <v>0</v>
      </c>
      <c r="U71" s="178"/>
      <c r="V71" s="172"/>
      <c r="W71" s="606"/>
      <c r="X71" s="606"/>
      <c r="Y71" s="606"/>
      <c r="Z71" s="606"/>
      <c r="AA71" s="606"/>
      <c r="AB71" s="606"/>
      <c r="AC71" s="606"/>
      <c r="AD71" s="606"/>
      <c r="AE71" s="606"/>
      <c r="AF71" s="606"/>
      <c r="AG71" s="606"/>
      <c r="AH71" s="606"/>
      <c r="AI71" s="606"/>
      <c r="AJ71" s="606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C71" s="172"/>
      <c r="BS71" s="606"/>
      <c r="BT71" s="606"/>
      <c r="BU71" s="606"/>
      <c r="BV71" s="606"/>
      <c r="BW71" s="606"/>
      <c r="BX71" s="606"/>
      <c r="BZ71" s="172"/>
      <c r="CA71" s="172"/>
      <c r="CL71" s="193"/>
      <c r="CM71" s="193"/>
      <c r="CN71" s="193"/>
      <c r="CO71" s="193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EA71" s="191"/>
      <c r="EB71" s="191"/>
      <c r="EC71" s="191"/>
      <c r="ED71" s="191"/>
    </row>
    <row r="72" spans="1:134" ht="15" customHeight="1" x14ac:dyDescent="0.25">
      <c r="A72" s="1585" t="s">
        <v>1060</v>
      </c>
      <c r="B72" s="1863"/>
      <c r="C72" s="1447" t="s">
        <v>268</v>
      </c>
      <c r="D72" s="1452" t="s">
        <v>1616</v>
      </c>
      <c r="E72" s="1239" t="s">
        <v>1617</v>
      </c>
      <c r="F72" s="1455" t="s">
        <v>1618</v>
      </c>
      <c r="G72" s="1233" t="s">
        <v>1619</v>
      </c>
      <c r="H72" s="957" t="s">
        <v>1620</v>
      </c>
      <c r="I72" s="1233" t="s">
        <v>1621</v>
      </c>
      <c r="J72" s="957" t="s">
        <v>1622</v>
      </c>
      <c r="K72" s="1442" t="s">
        <v>1623</v>
      </c>
      <c r="L72" s="957" t="s">
        <v>1624</v>
      </c>
      <c r="M72" s="1442" t="s">
        <v>1625</v>
      </c>
      <c r="N72" s="957" t="s">
        <v>1626</v>
      </c>
      <c r="O72" s="1442" t="s">
        <v>1627</v>
      </c>
      <c r="P72" s="319" t="s">
        <v>1628</v>
      </c>
      <c r="Q72" s="320" t="s">
        <v>1629</v>
      </c>
      <c r="R72" s="956" t="s">
        <v>1630</v>
      </c>
      <c r="S72" s="1442" t="s">
        <v>1631</v>
      </c>
      <c r="T72" s="957" t="s">
        <v>1632</v>
      </c>
      <c r="U72" s="178" t="str">
        <f>CL72&amp;CM72&amp;CN72&amp;CO72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C72" s="172"/>
      <c r="BS72" s="606"/>
      <c r="BT72" s="606"/>
      <c r="BU72" s="606"/>
      <c r="BV72" s="606"/>
      <c r="BW72" s="606"/>
      <c r="BX72" s="606"/>
      <c r="BZ72" s="172"/>
      <c r="CA72" s="172"/>
      <c r="CL72" s="191" t="str">
        <f>IF(AND(E72&gt;0,OR(Q72=""))," * No olvide digitar la variable Pueblos Originarios Hombres (Digite Cero si no tiene).",IF(Q72&gt;E72," * La variable Pueblos Originarios Hombres no puede ser Mayor al Total Hombres.",""))</f>
        <v xml:space="preserve"> * La variable Pueblos Originarios Hombres no puede ser Mayor al Total Hombres.</v>
      </c>
      <c r="CM72" s="191" t="str">
        <f>IF(AND(F72&gt;0,OR(R72=""))," * No olvide digitar la variable Pueblos Originarios Mujeres (Digite Cero si no tiene).",IF(R72&gt;F72," * La variable Pueblos Originarios Mujeres no puede ser Mayor al Total Mujeres.",""))</f>
        <v xml:space="preserve"> * La variable Pueblos Originarios Mujeres no puede ser Mayor al Total Mujeres.</v>
      </c>
      <c r="CN72" s="191" t="str">
        <f>IF(AND(E72&gt;0,OR(S72=""))," * No olvide digitar la variable Migrantes Hombres (Digite Cero si no tiene).",IF(S72&gt;E72," * La variable Migrantes Hombres no puede ser Mayor al Total Hombres.",""))</f>
        <v xml:space="preserve"> * La variable Migrantes Hombres no puede ser Mayor al Total Hombres.</v>
      </c>
      <c r="CO72" s="191" t="str">
        <f>IF(AND(F72&gt;0,OR(T72=""))," * No olvide digitar la variable Migrantes Mujeres (Digite Cero si no tiene).",IF(T72&gt;F72," * La variable Migrantes Mujeres no puede ser Mayor al Total Mujeres.",""))</f>
        <v xml:space="preserve"> * La variable Migrantes Mujeres no puede ser Mayor al Total Mujeres.</v>
      </c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EA72" s="1047">
        <f>IF(AND(E72&gt;0,OR(Q72="")),1,IF(Q72&gt;E72,1,0))</f>
        <v>1</v>
      </c>
      <c r="EB72" s="1047">
        <f>IF(AND(F72&gt;0,OR(R72="")),1,IF(R72&gt;F72,1,0))</f>
        <v>1</v>
      </c>
      <c r="EC72" s="1047">
        <f>IF(AND(E72&gt;0,OR(S72="")),1,IF(S72&gt;E72,1,0))</f>
        <v>1</v>
      </c>
      <c r="ED72" s="1047">
        <f>IF(AND(F72&gt;0,OR(T72="")),1,IF(T72&gt;F72,1,0))</f>
        <v>1</v>
      </c>
    </row>
    <row r="73" spans="1:134" ht="15" customHeight="1" x14ac:dyDescent="0.25">
      <c r="A73" s="1586"/>
      <c r="B73" s="1864"/>
      <c r="C73" s="1443" t="s">
        <v>89</v>
      </c>
      <c r="D73" s="1446" t="e">
        <f>SUM(E73:F73)</f>
        <v>#VALUE!</v>
      </c>
      <c r="E73" s="1234" t="e">
        <f t="shared" ref="E73:T73" si="64">SUM(E65:E70)+E72</f>
        <v>#VALUE!</v>
      </c>
      <c r="F73" s="1455" t="e">
        <f t="shared" si="64"/>
        <v>#VALUE!</v>
      </c>
      <c r="G73" s="1236" t="e">
        <f t="shared" si="64"/>
        <v>#VALUE!</v>
      </c>
      <c r="H73" s="963" t="e">
        <f t="shared" si="64"/>
        <v>#VALUE!</v>
      </c>
      <c r="I73" s="1236" t="e">
        <f t="shared" si="64"/>
        <v>#VALUE!</v>
      </c>
      <c r="J73" s="963" t="e">
        <f t="shared" si="64"/>
        <v>#VALUE!</v>
      </c>
      <c r="K73" s="1449" t="e">
        <f t="shared" si="64"/>
        <v>#VALUE!</v>
      </c>
      <c r="L73" s="963" t="e">
        <f t="shared" si="64"/>
        <v>#VALUE!</v>
      </c>
      <c r="M73" s="1449" t="e">
        <f t="shared" si="64"/>
        <v>#VALUE!</v>
      </c>
      <c r="N73" s="963" t="e">
        <f t="shared" si="64"/>
        <v>#VALUE!</v>
      </c>
      <c r="O73" s="1449" t="e">
        <f t="shared" si="64"/>
        <v>#VALUE!</v>
      </c>
      <c r="P73" s="340" t="e">
        <f t="shared" si="64"/>
        <v>#VALUE!</v>
      </c>
      <c r="Q73" s="341" t="e">
        <f>SUM(Q65:Q70)+Q72</f>
        <v>#VALUE!</v>
      </c>
      <c r="R73" s="1212" t="e">
        <f t="shared" si="64"/>
        <v>#VALUE!</v>
      </c>
      <c r="S73" s="1449" t="e">
        <f t="shared" si="64"/>
        <v>#VALUE!</v>
      </c>
      <c r="T73" s="963" t="e">
        <f t="shared" si="64"/>
        <v>#VALUE!</v>
      </c>
      <c r="U73" s="178"/>
      <c r="V73" s="172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C73" s="172"/>
      <c r="BS73" s="606"/>
      <c r="BT73" s="606"/>
      <c r="BU73" s="606"/>
      <c r="BV73" s="606"/>
      <c r="BW73" s="606"/>
      <c r="BX73" s="606"/>
      <c r="BZ73" s="172"/>
      <c r="CA73" s="172"/>
      <c r="CL73" s="193"/>
      <c r="CM73" s="193"/>
      <c r="CN73" s="193"/>
      <c r="CO73" s="193"/>
      <c r="CP73" s="108"/>
      <c r="CQ73" s="108"/>
      <c r="CR73" s="108"/>
      <c r="CS73" s="108"/>
      <c r="CT73" s="108"/>
      <c r="CU73" s="108"/>
      <c r="CV73" s="108"/>
      <c r="CW73" s="108"/>
      <c r="CX73" s="108"/>
      <c r="CY73" s="108"/>
      <c r="CZ73" s="108"/>
      <c r="DA73" s="108"/>
      <c r="DB73" s="108"/>
      <c r="EA73" s="191"/>
      <c r="EB73" s="191"/>
      <c r="EC73" s="191"/>
      <c r="ED73" s="191"/>
    </row>
    <row r="74" spans="1:134" ht="22.5" customHeight="1" x14ac:dyDescent="0.25">
      <c r="A74" s="1585" t="s">
        <v>1061</v>
      </c>
      <c r="B74" s="1845" t="s">
        <v>244</v>
      </c>
      <c r="C74" s="1846"/>
      <c r="D74" s="1454" t="s">
        <v>1616</v>
      </c>
      <c r="E74" s="1239" t="s">
        <v>1617</v>
      </c>
      <c r="F74" s="1455" t="s">
        <v>1618</v>
      </c>
      <c r="G74" s="1233" t="s">
        <v>1619</v>
      </c>
      <c r="H74" s="957" t="s">
        <v>1620</v>
      </c>
      <c r="I74" s="1233" t="s">
        <v>1621</v>
      </c>
      <c r="J74" s="957" t="s">
        <v>1622</v>
      </c>
      <c r="K74" s="1442" t="s">
        <v>1623</v>
      </c>
      <c r="L74" s="957" t="s">
        <v>1624</v>
      </c>
      <c r="M74" s="1442" t="s">
        <v>1625</v>
      </c>
      <c r="N74" s="957" t="s">
        <v>1626</v>
      </c>
      <c r="O74" s="1442" t="s">
        <v>1627</v>
      </c>
      <c r="P74" s="319" t="s">
        <v>1628</v>
      </c>
      <c r="Q74" s="320" t="s">
        <v>1629</v>
      </c>
      <c r="R74" s="956" t="s">
        <v>1630</v>
      </c>
      <c r="S74" s="1442" t="s">
        <v>1631</v>
      </c>
      <c r="T74" s="957" t="s">
        <v>1632</v>
      </c>
      <c r="U74" s="178" t="str">
        <f>CL74&amp;CM74&amp;CN74&amp;CO74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C74" s="172"/>
      <c r="BS74" s="606"/>
      <c r="BT74" s="606"/>
      <c r="BU74" s="606"/>
      <c r="BV74" s="606"/>
      <c r="BW74" s="606"/>
      <c r="BX74" s="606"/>
      <c r="BZ74" s="172"/>
      <c r="CA74" s="172"/>
      <c r="CL74" s="191" t="str">
        <f>IF(AND(E74&gt;0,OR(Q74=""))," * No olvide digitar la variable Pueblos Originarios Hombres (Digite Cero si no tiene).",IF(Q74&gt;E74," * La variable Pueblos Originarios Hombres no puede ser Mayor al Total Hombres.",""))</f>
        <v xml:space="preserve"> * La variable Pueblos Originarios Hombres no puede ser Mayor al Total Hombres.</v>
      </c>
      <c r="CM74" s="191" t="str">
        <f>IF(AND(F74&gt;0,OR(R74=""))," * No olvide digitar la variable Pueblos Originarios Mujeres (Digite Cero si no tiene).",IF(R74&gt;F74," * La variable Pueblos Originarios Mujeres no puede ser Mayor al Total Mujeres.",""))</f>
        <v xml:space="preserve"> * La variable Pueblos Originarios Mujeres no puede ser Mayor al Total Mujeres.</v>
      </c>
      <c r="CN74" s="191" t="str">
        <f>IF(AND(E74&gt;0,OR(S74=""))," * No olvide digitar la variable Migrantes Hombres (Digite Cero si no tiene).",IF(S74&gt;E74," * La variable Migrantes Hombres no puede ser Mayor al Total Hombres.",""))</f>
        <v xml:space="preserve"> * La variable Migrantes Hombres no puede ser Mayor al Total Hombres.</v>
      </c>
      <c r="CO74" s="191" t="str">
        <f>IF(AND(F74&gt;0,OR(T74=""))," * No olvide digitar la variable Migrantes Mujeres (Digite Cero si no tiene).",IF(T74&gt;F74," * La variable Migrantes Mujeres no puede ser Mayor al Total Mujeres.",""))</f>
        <v xml:space="preserve"> * La variable Migrantes Mujeres no puede ser Mayor al Total Mujeres.</v>
      </c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EA74" s="1047">
        <f>IF(AND(E74&gt;0,OR(Q74="")),1,IF(Q74&gt;E74,1,0))</f>
        <v>1</v>
      </c>
      <c r="EB74" s="1047">
        <f>IF(AND(F74&gt;0,OR(R74="")),1,IF(R74&gt;F74,1,0))</f>
        <v>1</v>
      </c>
      <c r="EC74" s="1047">
        <f>IF(AND(E74&gt;0,OR(S74="")),1,IF(S74&gt;E74,1,0))</f>
        <v>1</v>
      </c>
      <c r="ED74" s="1047">
        <f>IF(AND(F74&gt;0,OR(T74="")),1,IF(T74&gt;F74,1,0))</f>
        <v>1</v>
      </c>
    </row>
    <row r="75" spans="1:134" ht="15.75" customHeight="1" x14ac:dyDescent="0.25">
      <c r="B75" s="1832" t="s">
        <v>269</v>
      </c>
      <c r="C75" s="1832"/>
      <c r="D75" s="1832"/>
      <c r="E75" s="1832"/>
      <c r="F75" s="1832"/>
      <c r="G75" s="1832"/>
      <c r="H75" s="1832"/>
      <c r="I75" s="1832"/>
      <c r="J75" s="1832"/>
      <c r="K75" s="1832"/>
      <c r="L75" s="1832"/>
      <c r="M75" s="1832"/>
      <c r="N75" s="1832"/>
      <c r="O75" s="1832"/>
      <c r="P75" s="1832"/>
      <c r="Q75" s="1832"/>
      <c r="R75" s="1832"/>
      <c r="S75" s="1832"/>
      <c r="T75" s="1832"/>
      <c r="U75" s="1832"/>
      <c r="V75" s="972"/>
      <c r="W75" s="972"/>
      <c r="X75" s="972"/>
      <c r="Y75" s="972"/>
      <c r="Z75" s="972"/>
      <c r="AA75" s="972"/>
      <c r="AB75" s="972"/>
      <c r="AC75" s="972"/>
      <c r="AD75" s="972"/>
      <c r="AE75" s="972"/>
      <c r="AF75" s="972"/>
      <c r="AG75" s="972"/>
      <c r="AH75" s="972"/>
      <c r="AI75" s="972"/>
      <c r="AJ75" s="972"/>
      <c r="AK75" s="972"/>
      <c r="AL75" s="972"/>
      <c r="AM75" s="972"/>
      <c r="AN75" s="972"/>
      <c r="AO75" s="972"/>
      <c r="AP75" s="972"/>
      <c r="AQ75" s="972"/>
      <c r="AR75" s="972"/>
      <c r="AS75" s="972"/>
      <c r="AT75" s="972"/>
      <c r="AU75" s="972"/>
      <c r="AV75" s="972"/>
      <c r="AW75" s="972"/>
      <c r="CB75" s="972"/>
    </row>
    <row r="76" spans="1:134" ht="17.100000000000001" customHeight="1" x14ac:dyDescent="0.25">
      <c r="B76" s="1887" t="s">
        <v>270</v>
      </c>
      <c r="C76" s="1887"/>
      <c r="D76" s="1887"/>
      <c r="E76" s="1887"/>
      <c r="F76" s="1887"/>
      <c r="G76" s="1887"/>
      <c r="H76" s="1887"/>
      <c r="I76" s="108"/>
      <c r="J76" s="108"/>
      <c r="K76" s="108"/>
      <c r="L76" s="224"/>
      <c r="M76" s="224"/>
      <c r="N76" s="224"/>
      <c r="O76" s="224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</row>
    <row r="77" spans="1:134" ht="24.75" customHeight="1" x14ac:dyDescent="0.25">
      <c r="B77" s="1670" t="s">
        <v>271</v>
      </c>
      <c r="C77" s="1671"/>
      <c r="D77" s="1456" t="s">
        <v>49</v>
      </c>
      <c r="E77" s="1240" t="s">
        <v>86</v>
      </c>
      <c r="F77" s="125" t="s">
        <v>227</v>
      </c>
      <c r="G77" s="1462" t="s">
        <v>51</v>
      </c>
      <c r="H77" s="1090" t="s">
        <v>108</v>
      </c>
      <c r="I77" s="108"/>
      <c r="J77" s="108"/>
      <c r="K77" s="978"/>
      <c r="L77" s="978"/>
      <c r="M77" s="978"/>
      <c r="N77" s="979"/>
      <c r="O77" s="979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606"/>
      <c r="BR77" s="108"/>
    </row>
    <row r="78" spans="1:134" ht="15" customHeight="1" x14ac:dyDescent="0.25">
      <c r="A78" s="1585" t="s">
        <v>1062</v>
      </c>
      <c r="B78" s="1733" t="s">
        <v>126</v>
      </c>
      <c r="C78" s="73" t="s">
        <v>272</v>
      </c>
      <c r="D78" s="260" t="s">
        <v>1616</v>
      </c>
      <c r="E78" s="310" t="s">
        <v>1617</v>
      </c>
      <c r="F78" s="732" t="s">
        <v>1618</v>
      </c>
      <c r="G78" s="277" t="s">
        <v>1619</v>
      </c>
      <c r="H78" s="311" t="s">
        <v>1620</v>
      </c>
      <c r="I78" s="172" t="str">
        <f>CB78&amp;CC78&amp;CD78&amp;CE78</f>
        <v xml:space="preserve"> * La variable Pueblos Originarios no puede ser Mayor al Total. * La variable Migrantes no puede ser Mayor al Total.</v>
      </c>
      <c r="J78" s="606"/>
      <c r="K78" s="606"/>
      <c r="L78" s="606"/>
      <c r="M78" s="606"/>
      <c r="N78" s="606"/>
      <c r="O78" s="606"/>
      <c r="P78" s="606"/>
      <c r="Q78" s="606"/>
      <c r="R78" s="606"/>
      <c r="S78" s="606"/>
      <c r="T78" s="606"/>
      <c r="V78" s="606"/>
      <c r="W78" s="606"/>
      <c r="X78" s="172"/>
      <c r="Y78" s="172"/>
      <c r="AW78" s="606"/>
      <c r="BR78" s="108"/>
      <c r="BS78" s="172"/>
      <c r="BT78" s="172"/>
      <c r="BU78" s="172"/>
      <c r="CB78" s="191" t="str">
        <f>IF(SUM(G12,I12,K12,M12,O12,Q12,S12,U12)&lt;SUM(E78,E85,E92,E99),"* La suma de Población Hombre Menor de 12 meses según resultado de Evaluación no puede ser mayor que la Población Hombres bajo control de la sección A. ","")</f>
        <v/>
      </c>
      <c r="CC78" s="191" t="str">
        <f>IF(SUM(H12,J12,L12,N12,P12,R12,T12,V12)&lt;SUM(F78,F85,F92,F99),"* La suma de Población Mujeres Menor de 12 meses según resultado de Evaluación no puede ser mayor que la Población Mujeres bajo control de la sección A. ","")</f>
        <v/>
      </c>
      <c r="CD78" s="191" t="str">
        <f t="shared" ref="CD78:CD105" si="65">IF(AND(D78&gt;0,OR(G78=""))," * No olvide digitar la variable Pueblos Originarios (Digite Cero si no tiene).",IF(G78&gt;D78," * La variable Pueblos Originarios no puede ser Mayor al Total.",""))</f>
        <v xml:space="preserve"> * La variable Pueblos Originarios no puede ser Mayor al Total.</v>
      </c>
      <c r="CE78" s="191" t="str">
        <f t="shared" ref="CE78:CE104" si="66">IF(AND(D78&gt;0,OR(H78=""))," * No olvide digitar la variable Migrantes (Digite Cero si no tiene).",IF(H78&gt;D78," * La variable Migrantes no puede ser Mayor al Total.",""))</f>
        <v xml:space="preserve"> * La variable Migrantes no puede ser Mayor al Total.</v>
      </c>
    </row>
    <row r="79" spans="1:134" ht="15" customHeight="1" x14ac:dyDescent="0.25">
      <c r="A79" s="1585" t="s">
        <v>1063</v>
      </c>
      <c r="B79" s="1833"/>
      <c r="C79" s="75" t="s">
        <v>220</v>
      </c>
      <c r="D79" s="301" t="s">
        <v>1616</v>
      </c>
      <c r="E79" s="310" t="s">
        <v>1617</v>
      </c>
      <c r="F79" s="732" t="s">
        <v>1618</v>
      </c>
      <c r="G79" s="277" t="s">
        <v>1619</v>
      </c>
      <c r="H79" s="311" t="s">
        <v>1620</v>
      </c>
      <c r="I79" s="172" t="str">
        <f t="shared" ref="I79:I105" si="67">CB79&amp;CC79&amp;CD79&amp;CE79</f>
        <v xml:space="preserve"> * La variable Pueblos Originarios no puede ser Mayor al Total. * La variable Migrantes no puede ser Mayor al Total.</v>
      </c>
      <c r="K79" s="192"/>
      <c r="L79" s="192"/>
      <c r="M79" s="192"/>
      <c r="N79" s="192"/>
      <c r="O79" s="192"/>
      <c r="AW79" s="606"/>
      <c r="BR79" s="108"/>
      <c r="BS79" s="172"/>
      <c r="BT79" s="172"/>
      <c r="BU79" s="172"/>
      <c r="CB79" s="191" t="str">
        <f>IF(SUM(W12)&lt;SUM(E79,E86,E93,E100),"* La suma de Población Hombre de 12 a 17 meses según resultado de Evaluación no puede ser mayor que la Población Hombres bajo control de la sección A. ","")</f>
        <v/>
      </c>
      <c r="CC79" s="191" t="str">
        <f>IF(SUM(X12)&lt;SUM(F79,F86,F93,F100),"* La suma de Población Mujeres 12 a 17 meses según resultado de Evaluación no puede ser mayor que la Población Mujeres bajo control de la sección A. ","")</f>
        <v/>
      </c>
      <c r="CD79" s="191" t="str">
        <f t="shared" si="65"/>
        <v xml:space="preserve"> * La variable Pueblos Originarios no puede ser Mayor al Total.</v>
      </c>
      <c r="CE79" s="191" t="str">
        <f t="shared" si="66"/>
        <v xml:space="preserve"> * La variable Migrantes no puede ser Mayor al Total.</v>
      </c>
      <c r="DQ79" s="1047">
        <f>IF(SUM(G12,I12,K12,M12,O12,Q12,S12,U12)&lt;SUM(E78,E85,E92,E99),1,0)</f>
        <v>0</v>
      </c>
      <c r="DR79" s="1047">
        <f>IF(SUM(H12,J12,L12,N12,P12,R12,T12,V12)&lt;SUM(F78,F85,F92,F99),1,0)</f>
        <v>0</v>
      </c>
      <c r="DS79" s="1047">
        <f t="shared" ref="DS79:DS106" si="68">IF(G78&gt;$D78,1,0)</f>
        <v>1</v>
      </c>
      <c r="DT79" s="1047">
        <f t="shared" ref="DT79:DT106" si="69">IF(H78&gt;$D78,1,0)</f>
        <v>1</v>
      </c>
      <c r="DU79" s="1047">
        <f t="shared" ref="DU79:DU106" si="70">IF(AND($D78&lt;&gt;0,G78=""),1,0)</f>
        <v>0</v>
      </c>
      <c r="DV79" s="1047">
        <f t="shared" ref="DV79:DV106" si="71">IF(AND($D78&lt;&gt;0,H78=""),1,0)</f>
        <v>0</v>
      </c>
    </row>
    <row r="80" spans="1:134" ht="15" customHeight="1" x14ac:dyDescent="0.25">
      <c r="A80" s="1585" t="s">
        <v>1064</v>
      </c>
      <c r="B80" s="1834"/>
      <c r="C80" s="75" t="s">
        <v>221</v>
      </c>
      <c r="D80" s="301" t="s">
        <v>1616</v>
      </c>
      <c r="E80" s="310" t="s">
        <v>1617</v>
      </c>
      <c r="F80" s="732" t="s">
        <v>1618</v>
      </c>
      <c r="G80" s="277" t="s">
        <v>1619</v>
      </c>
      <c r="H80" s="311" t="s">
        <v>1620</v>
      </c>
      <c r="I80" s="172" t="str">
        <f t="shared" si="67"/>
        <v xml:space="preserve"> * La variable Pueblos Originarios no puede ser Mayor al Total. * La variable Migrantes no puede ser Mayor al Total.</v>
      </c>
      <c r="K80" s="192"/>
      <c r="L80" s="192"/>
      <c r="M80" s="192"/>
      <c r="N80" s="192"/>
      <c r="O80" s="192"/>
      <c r="AW80" s="606"/>
      <c r="BR80" s="108"/>
      <c r="BS80" s="172"/>
      <c r="BT80" s="172"/>
      <c r="BU80" s="172"/>
      <c r="CB80" s="191" t="str">
        <f>IF(SUM(Y12)&lt;SUM(E80,E87,E94,E101),"* La suma de Población Hombre 18 a 23 meses según resultado de Evaluación no puede ser mayor que la Población Hombres bajo control de la sección A. ","")</f>
        <v/>
      </c>
      <c r="CC80" s="191" t="str">
        <f>IF(SUM(Z12)&lt;SUM(F80,F87,F94,F101),"* La suma de Población Mujeres de 18 a 23 meses según resultado de Evaluación no puede ser mayor que la Población Mujeres bajo control de la sección A. ","")</f>
        <v/>
      </c>
      <c r="CD80" s="191" t="str">
        <f t="shared" si="65"/>
        <v xml:space="preserve"> * La variable Pueblos Originarios no puede ser Mayor al Total.</v>
      </c>
      <c r="CE80" s="191" t="str">
        <f t="shared" si="66"/>
        <v xml:space="preserve"> * La variable Migrantes no puede ser Mayor al Total.</v>
      </c>
      <c r="DQ80" s="1047">
        <f>IF(W$12&lt;SUM(E79,E86,E93,E100),1,0)</f>
        <v>0</v>
      </c>
      <c r="DR80" s="1047">
        <f>IF(X$12&lt;SUM(F79,F86,F93,F100),1,0)</f>
        <v>0</v>
      </c>
      <c r="DS80" s="1047">
        <f t="shared" si="68"/>
        <v>1</v>
      </c>
      <c r="DT80" s="1047">
        <f t="shared" si="69"/>
        <v>1</v>
      </c>
      <c r="DU80" s="1047">
        <f t="shared" si="70"/>
        <v>0</v>
      </c>
      <c r="DV80" s="1047">
        <f t="shared" si="71"/>
        <v>0</v>
      </c>
    </row>
    <row r="81" spans="1:126" ht="15" customHeight="1" x14ac:dyDescent="0.25">
      <c r="A81" s="1585" t="s">
        <v>1065</v>
      </c>
      <c r="B81" s="1834"/>
      <c r="C81" s="75" t="s">
        <v>222</v>
      </c>
      <c r="D81" s="301" t="s">
        <v>1616</v>
      </c>
      <c r="E81" s="310" t="s">
        <v>1617</v>
      </c>
      <c r="F81" s="732" t="s">
        <v>1618</v>
      </c>
      <c r="G81" s="277" t="s">
        <v>1619</v>
      </c>
      <c r="H81" s="311" t="s">
        <v>1620</v>
      </c>
      <c r="I81" s="172" t="str">
        <f t="shared" si="67"/>
        <v xml:space="preserve"> * La variable Pueblos Originarios no puede ser Mayor al Total. * La variable Migrantes no puede ser Mayor al Total.</v>
      </c>
      <c r="K81" s="192"/>
      <c r="L81" s="192"/>
      <c r="M81" s="192"/>
      <c r="N81" s="192"/>
      <c r="O81" s="192"/>
      <c r="AW81" s="606"/>
      <c r="BR81" s="108"/>
      <c r="BS81" s="172"/>
      <c r="BT81" s="172"/>
      <c r="BU81" s="172"/>
      <c r="CB81" s="191" t="str">
        <f>IF(SUM(AA12)&lt;SUM(E81,E88,E95,E102),"* La suma de Población Hombre 24 a 35 meses según resultado de Evaluación no puede ser mayor que la Población Hombres bajo control de la sección A. ","")</f>
        <v/>
      </c>
      <c r="CC81" s="191" t="str">
        <f>IF(SUM(AB12)&lt;SUM(F81,F88,F95,F102),"* La suma de Población Mujeres 24 a 35 meses según resultado de Evaluación no puede ser mayor que la Población Mujeres bajo control de la sección A. ","")</f>
        <v/>
      </c>
      <c r="CD81" s="191" t="str">
        <f t="shared" si="65"/>
        <v xml:space="preserve"> * La variable Pueblos Originarios no puede ser Mayor al Total.</v>
      </c>
      <c r="CE81" s="191" t="str">
        <f t="shared" si="66"/>
        <v xml:space="preserve"> * La variable Migrantes no puede ser Mayor al Total.</v>
      </c>
      <c r="DQ81" s="1047">
        <f>IF(Y$12&lt;SUM(E80,E87,E94,E101),1,0)</f>
        <v>0</v>
      </c>
      <c r="DR81" s="1047">
        <f>IF(Z$12&lt;SUM(F80,F87,F94,F101),1,0)</f>
        <v>0</v>
      </c>
      <c r="DS81" s="1047">
        <f t="shared" si="68"/>
        <v>1</v>
      </c>
      <c r="DT81" s="1047">
        <f t="shared" si="69"/>
        <v>1</v>
      </c>
      <c r="DU81" s="1047">
        <f t="shared" si="70"/>
        <v>0</v>
      </c>
      <c r="DV81" s="1047">
        <f t="shared" si="71"/>
        <v>0</v>
      </c>
    </row>
    <row r="82" spans="1:126" ht="15" customHeight="1" x14ac:dyDescent="0.25">
      <c r="A82" s="1585" t="s">
        <v>1066</v>
      </c>
      <c r="B82" s="1834"/>
      <c r="C82" s="800" t="s">
        <v>223</v>
      </c>
      <c r="D82" s="289" t="s">
        <v>1616</v>
      </c>
      <c r="E82" s="373" t="s">
        <v>1617</v>
      </c>
      <c r="F82" s="733" t="s">
        <v>1618</v>
      </c>
      <c r="G82" s="281" t="s">
        <v>1619</v>
      </c>
      <c r="H82" s="374" t="s">
        <v>1620</v>
      </c>
      <c r="I82" s="172" t="str">
        <f t="shared" si="67"/>
        <v xml:space="preserve"> * La variable Pueblos Originarios no puede ser Mayor al Total. * La variable Migrantes no puede ser Mayor al Total.</v>
      </c>
      <c r="K82" s="192"/>
      <c r="L82" s="192"/>
      <c r="M82" s="192"/>
      <c r="N82" s="192"/>
      <c r="O82" s="192"/>
      <c r="AW82" s="606"/>
      <c r="BR82" s="108"/>
      <c r="BS82" s="172"/>
      <c r="BT82" s="172"/>
      <c r="BU82" s="172"/>
      <c r="CB82" s="191" t="str">
        <f>IF(SUM(AC12)&lt;SUM(E82,E89,E96,E103),"* La suma de Población Hombre 36 a 41 meses según resultado de Evaluación no puede ser mayor que la Población Hombres bajo control de la sección A. ","")</f>
        <v/>
      </c>
      <c r="CC82" s="191" t="str">
        <f>IF(SUM(AD12)&lt;SUM(F82,F89,F96,F103),"* La suma de Población Mujeres 36 a 41 meses según resultado de Evaluación no puede ser mayor que la Población Mujeres bajo control de la sección A. ","")</f>
        <v/>
      </c>
      <c r="CD82" s="191" t="str">
        <f t="shared" si="65"/>
        <v xml:space="preserve"> * La variable Pueblos Originarios no puede ser Mayor al Total.</v>
      </c>
      <c r="CE82" s="191" t="str">
        <f t="shared" si="66"/>
        <v xml:space="preserve"> * La variable Migrantes no puede ser Mayor al Total.</v>
      </c>
      <c r="DQ82" s="1047">
        <f>IF(AA$12&lt;SUM(E81,E88,E95,E102),1,0)</f>
        <v>0</v>
      </c>
      <c r="DR82" s="1047">
        <f>IF(AB$12&lt;SUM(F81,F88,F95,F102),1,0)</f>
        <v>0</v>
      </c>
      <c r="DS82" s="1047">
        <f t="shared" si="68"/>
        <v>1</v>
      </c>
      <c r="DT82" s="1047">
        <f t="shared" si="69"/>
        <v>1</v>
      </c>
      <c r="DU82" s="1047">
        <f t="shared" si="70"/>
        <v>0</v>
      </c>
      <c r="DV82" s="1047">
        <f t="shared" si="71"/>
        <v>0</v>
      </c>
    </row>
    <row r="83" spans="1:126" ht="15" customHeight="1" x14ac:dyDescent="0.25">
      <c r="A83" s="1585" t="s">
        <v>1067</v>
      </c>
      <c r="B83" s="1834"/>
      <c r="C83" s="800" t="s">
        <v>224</v>
      </c>
      <c r="D83" s="289" t="s">
        <v>1616</v>
      </c>
      <c r="E83" s="373" t="s">
        <v>1617</v>
      </c>
      <c r="F83" s="733" t="s">
        <v>1618</v>
      </c>
      <c r="G83" s="281" t="s">
        <v>1619</v>
      </c>
      <c r="H83" s="374" t="s">
        <v>1620</v>
      </c>
      <c r="I83" s="172" t="str">
        <f t="shared" si="67"/>
        <v xml:space="preserve"> * La variable Pueblos Originarios no puede ser Mayor al Total. * La variable Migrantes no puede ser Mayor al Total.</v>
      </c>
      <c r="K83" s="192"/>
      <c r="L83" s="192"/>
      <c r="M83" s="192"/>
      <c r="N83" s="192"/>
      <c r="O83" s="192"/>
      <c r="AW83" s="606"/>
      <c r="BR83" s="108"/>
      <c r="BS83" s="172"/>
      <c r="BT83" s="172"/>
      <c r="BU83" s="172"/>
      <c r="CB83" s="191" t="str">
        <f>IF(SUM(AE12)&lt;SUM(E83,E90,E97,E104),"* La suma de Población Hombre 42 a 47 meses según resultado de Evaluación no puede ser mayor que la Población Hombres bajo control de la sección A. ","")</f>
        <v/>
      </c>
      <c r="CC83" s="191" t="str">
        <f>IF(SUM(AF12)&lt;SUM(F83,F90,F97,F104),"* La suma de Población Mujeres 42 a 47 meses según resultado de Evaluación no puede ser mayor que la Población Mujeres bajo control de la sección A. ","")</f>
        <v/>
      </c>
      <c r="CD83" s="191" t="str">
        <f t="shared" si="65"/>
        <v xml:space="preserve"> * La variable Pueblos Originarios no puede ser Mayor al Total.</v>
      </c>
      <c r="CE83" s="191" t="str">
        <f t="shared" si="66"/>
        <v xml:space="preserve"> * La variable Migrantes no puede ser Mayor al Total.</v>
      </c>
      <c r="DQ83" s="1047">
        <f>IF(AC$12&lt;SUM(E82,E89,E96,E103),1,0)</f>
        <v>0</v>
      </c>
      <c r="DR83" s="1047">
        <f>IF(AD$12&lt;SUM(F82,F89,F96,F103),1,0)</f>
        <v>0</v>
      </c>
      <c r="DS83" s="1047">
        <f t="shared" si="68"/>
        <v>1</v>
      </c>
      <c r="DT83" s="1047">
        <f t="shared" si="69"/>
        <v>1</v>
      </c>
      <c r="DU83" s="1047">
        <f t="shared" si="70"/>
        <v>0</v>
      </c>
      <c r="DV83" s="1047">
        <f t="shared" si="71"/>
        <v>0</v>
      </c>
    </row>
    <row r="84" spans="1:126" ht="15" customHeight="1" x14ac:dyDescent="0.25">
      <c r="A84" s="1585" t="s">
        <v>1068</v>
      </c>
      <c r="B84" s="1734"/>
      <c r="C84" s="76" t="s">
        <v>225</v>
      </c>
      <c r="D84" s="372" t="s">
        <v>1616</v>
      </c>
      <c r="E84" s="290" t="s">
        <v>1617</v>
      </c>
      <c r="F84" s="734" t="s">
        <v>1618</v>
      </c>
      <c r="G84" s="268" t="s">
        <v>1619</v>
      </c>
      <c r="H84" s="312" t="s">
        <v>1620</v>
      </c>
      <c r="I84" s="172" t="str">
        <f t="shared" si="67"/>
        <v xml:space="preserve"> * La variable Pueblos Originarios no puede ser Mayor al Total. * La variable Migrantes no puede ser Mayor al Total.</v>
      </c>
      <c r="K84" s="192"/>
      <c r="L84" s="192"/>
      <c r="M84" s="192"/>
      <c r="N84" s="192"/>
      <c r="O84" s="192"/>
      <c r="AW84" s="606"/>
      <c r="BR84" s="108"/>
      <c r="BS84" s="172"/>
      <c r="BT84" s="172"/>
      <c r="BU84" s="172"/>
      <c r="CB84" s="191" t="str">
        <f>IF(SUM(AG12)&lt;SUM(E84,E91,E98,E105),"* La suma de Población Hombre 48 a 59 meses según resultado de Evaluación no puede ser mayor que la Población Hombres bajo control de la sección A. ","")</f>
        <v/>
      </c>
      <c r="CC84" s="191" t="str">
        <f>IF(SUM(AH12)&lt;SUM(F84,F91,F98,F105),"* La suma de Población Mujeres 48 a 59 meses según resultado de Evaluación no puede ser mayor que la Población Mujeres bajo control de la sección A. ","")</f>
        <v/>
      </c>
      <c r="CD84" s="191" t="str">
        <f t="shared" si="65"/>
        <v xml:space="preserve"> * La variable Pueblos Originarios no puede ser Mayor al Total.</v>
      </c>
      <c r="CE84" s="191" t="str">
        <f t="shared" si="66"/>
        <v xml:space="preserve"> * La variable Migrantes no puede ser Mayor al Total.</v>
      </c>
      <c r="DQ84" s="1047">
        <f>IF(AE$12&lt;SUM(E83,E90,E97,E104),1,0)</f>
        <v>0</v>
      </c>
      <c r="DR84" s="1047">
        <f>IF(AF$12&lt;SUM(F83,F90,F97,F104),1,0)</f>
        <v>0</v>
      </c>
      <c r="DS84" s="1047">
        <f t="shared" si="68"/>
        <v>1</v>
      </c>
      <c r="DT84" s="1047">
        <f t="shared" si="69"/>
        <v>1</v>
      </c>
      <c r="DU84" s="1047">
        <f t="shared" si="70"/>
        <v>0</v>
      </c>
      <c r="DV84" s="1047">
        <f t="shared" si="71"/>
        <v>0</v>
      </c>
    </row>
    <row r="85" spans="1:126" ht="15" customHeight="1" x14ac:dyDescent="0.25">
      <c r="A85" s="1585" t="s">
        <v>1069</v>
      </c>
      <c r="B85" s="1733" t="s">
        <v>273</v>
      </c>
      <c r="C85" s="73" t="s">
        <v>272</v>
      </c>
      <c r="D85" s="260" t="s">
        <v>1616</v>
      </c>
      <c r="E85" s="288" t="s">
        <v>1617</v>
      </c>
      <c r="F85" s="746" t="s">
        <v>1618</v>
      </c>
      <c r="G85" s="274" t="s">
        <v>1619</v>
      </c>
      <c r="H85" s="687" t="s">
        <v>1620</v>
      </c>
      <c r="I85" s="172" t="str">
        <f t="shared" si="67"/>
        <v xml:space="preserve"> * La variable Pueblos Originarios no puede ser Mayor al Total. * La variable Migrantes no puede ser Mayor al Total.</v>
      </c>
      <c r="K85" s="71"/>
      <c r="L85" s="71"/>
      <c r="M85" s="71"/>
      <c r="N85" s="71"/>
      <c r="O85" s="71"/>
      <c r="AW85" s="606"/>
      <c r="BR85" s="108"/>
      <c r="BS85" s="172"/>
      <c r="BT85" s="172"/>
      <c r="BU85" s="172"/>
      <c r="CD85" s="191" t="str">
        <f>IF(AND(D85&gt;0,OR(G85=""))," * No olvide digitar la variable Pueblos Originarios (Digite Cero si no tiene).",IF(G85&gt;D85," * La variable Pueblos Originarios no puede ser Mayor al Total.",""))</f>
        <v xml:space="preserve"> * La variable Pueblos Originarios no puede ser Mayor al Total.</v>
      </c>
      <c r="CE85" s="191" t="str">
        <f t="shared" si="66"/>
        <v xml:space="preserve"> * La variable Migrantes no puede ser Mayor al Total.</v>
      </c>
      <c r="DQ85" s="1047">
        <f>IF(AG$12&lt;SUM(E84,E91,E98,E105),1,0)</f>
        <v>0</v>
      </c>
      <c r="DR85" s="1047">
        <f>IF(AH$12&lt;SUM(F84,F91,F98,F105),1,0)</f>
        <v>0</v>
      </c>
      <c r="DS85" s="1047">
        <f t="shared" si="68"/>
        <v>1</v>
      </c>
      <c r="DT85" s="1047">
        <f t="shared" si="69"/>
        <v>1</v>
      </c>
      <c r="DU85" s="1047">
        <f t="shared" si="70"/>
        <v>0</v>
      </c>
      <c r="DV85" s="1047">
        <f t="shared" si="71"/>
        <v>0</v>
      </c>
    </row>
    <row r="86" spans="1:126" ht="15" customHeight="1" x14ac:dyDescent="0.25">
      <c r="A86" s="1585" t="s">
        <v>1070</v>
      </c>
      <c r="B86" s="1833"/>
      <c r="C86" s="75" t="s">
        <v>220</v>
      </c>
      <c r="D86" s="301" t="s">
        <v>1616</v>
      </c>
      <c r="E86" s="310" t="s">
        <v>1617</v>
      </c>
      <c r="F86" s="732" t="s">
        <v>1618</v>
      </c>
      <c r="G86" s="277" t="s">
        <v>1619</v>
      </c>
      <c r="H86" s="311" t="s">
        <v>1620</v>
      </c>
      <c r="I86" s="172" t="str">
        <f t="shared" si="67"/>
        <v xml:space="preserve"> * La variable Pueblos Originarios no puede ser Mayor al Total. * La variable Migrantes no puede ser Mayor al Total.</v>
      </c>
      <c r="K86" s="192"/>
      <c r="L86" s="192"/>
      <c r="M86" s="192"/>
      <c r="N86" s="192"/>
      <c r="O86" s="192"/>
      <c r="AW86" s="606"/>
      <c r="BR86" s="108"/>
      <c r="BS86" s="172"/>
      <c r="BT86" s="172"/>
      <c r="BU86" s="172"/>
      <c r="CD86" s="191" t="str">
        <f t="shared" si="65"/>
        <v xml:space="preserve"> * La variable Pueblos Originarios no puede ser Mayor al Total.</v>
      </c>
      <c r="CE86" s="191" t="str">
        <f t="shared" si="66"/>
        <v xml:space="preserve"> * La variable Migrantes no puede ser Mayor al Total.</v>
      </c>
      <c r="DS86" s="1047">
        <f t="shared" si="68"/>
        <v>1</v>
      </c>
      <c r="DT86" s="1047">
        <f t="shared" si="69"/>
        <v>1</v>
      </c>
      <c r="DU86" s="1047">
        <f t="shared" si="70"/>
        <v>0</v>
      </c>
      <c r="DV86" s="1047">
        <f t="shared" si="71"/>
        <v>0</v>
      </c>
    </row>
    <row r="87" spans="1:126" ht="15" customHeight="1" x14ac:dyDescent="0.25">
      <c r="A87" s="1585" t="s">
        <v>1071</v>
      </c>
      <c r="B87" s="1834"/>
      <c r="C87" s="75" t="s">
        <v>221</v>
      </c>
      <c r="D87" s="301" t="s">
        <v>1616</v>
      </c>
      <c r="E87" s="310" t="s">
        <v>1617</v>
      </c>
      <c r="F87" s="732" t="s">
        <v>1618</v>
      </c>
      <c r="G87" s="277" t="s">
        <v>1619</v>
      </c>
      <c r="H87" s="311" t="s">
        <v>1620</v>
      </c>
      <c r="I87" s="172" t="str">
        <f t="shared" si="67"/>
        <v xml:space="preserve"> * La variable Pueblos Originarios no puede ser Mayor al Total. * La variable Migrantes no puede ser Mayor al Total.</v>
      </c>
      <c r="K87" s="192"/>
      <c r="L87" s="192"/>
      <c r="M87" s="192"/>
      <c r="N87" s="192"/>
      <c r="O87" s="192"/>
      <c r="AW87" s="606"/>
      <c r="BR87" s="108"/>
      <c r="BS87" s="172"/>
      <c r="BT87" s="172"/>
      <c r="BU87" s="172"/>
      <c r="CD87" s="191" t="str">
        <f t="shared" si="65"/>
        <v xml:space="preserve"> * La variable Pueblos Originarios no puede ser Mayor al Total.</v>
      </c>
      <c r="CE87" s="191" t="str">
        <f t="shared" si="66"/>
        <v xml:space="preserve"> * La variable Migrantes no puede ser Mayor al Total.</v>
      </c>
      <c r="DS87" s="1047">
        <f t="shared" si="68"/>
        <v>1</v>
      </c>
      <c r="DT87" s="1047">
        <f t="shared" si="69"/>
        <v>1</v>
      </c>
      <c r="DU87" s="1047">
        <f t="shared" si="70"/>
        <v>0</v>
      </c>
      <c r="DV87" s="1047">
        <f t="shared" si="71"/>
        <v>0</v>
      </c>
    </row>
    <row r="88" spans="1:126" ht="15" customHeight="1" x14ac:dyDescent="0.25">
      <c r="A88" s="1585" t="s">
        <v>1072</v>
      </c>
      <c r="B88" s="1834"/>
      <c r="C88" s="75" t="s">
        <v>222</v>
      </c>
      <c r="D88" s="301" t="s">
        <v>1616</v>
      </c>
      <c r="E88" s="310" t="s">
        <v>1617</v>
      </c>
      <c r="F88" s="732" t="s">
        <v>1618</v>
      </c>
      <c r="G88" s="277" t="s">
        <v>1619</v>
      </c>
      <c r="H88" s="311" t="s">
        <v>1620</v>
      </c>
      <c r="I88" s="172" t="str">
        <f t="shared" si="67"/>
        <v xml:space="preserve"> * La variable Pueblos Originarios no puede ser Mayor al Total. * La variable Migrantes no puede ser Mayor al Total.</v>
      </c>
      <c r="K88" s="192"/>
      <c r="L88" s="192"/>
      <c r="M88" s="192"/>
      <c r="N88" s="192"/>
      <c r="O88" s="192"/>
      <c r="AW88" s="606"/>
      <c r="BR88" s="108"/>
      <c r="BS88" s="172"/>
      <c r="BT88" s="172"/>
      <c r="BU88" s="172"/>
      <c r="CD88" s="191" t="str">
        <f t="shared" si="65"/>
        <v xml:space="preserve"> * La variable Pueblos Originarios no puede ser Mayor al Total.</v>
      </c>
      <c r="CE88" s="191" t="str">
        <f t="shared" si="66"/>
        <v xml:space="preserve"> * La variable Migrantes no puede ser Mayor al Total.</v>
      </c>
      <c r="DS88" s="1047">
        <f t="shared" si="68"/>
        <v>1</v>
      </c>
      <c r="DT88" s="1047">
        <f t="shared" si="69"/>
        <v>1</v>
      </c>
      <c r="DU88" s="1047">
        <f t="shared" si="70"/>
        <v>0</v>
      </c>
      <c r="DV88" s="1047">
        <f t="shared" si="71"/>
        <v>0</v>
      </c>
    </row>
    <row r="89" spans="1:126" ht="15" customHeight="1" x14ac:dyDescent="0.25">
      <c r="A89" s="1589" t="s">
        <v>1073</v>
      </c>
      <c r="B89" s="1834"/>
      <c r="C89" s="800" t="s">
        <v>223</v>
      </c>
      <c r="D89" s="289" t="s">
        <v>1616</v>
      </c>
      <c r="E89" s="373" t="s">
        <v>1617</v>
      </c>
      <c r="F89" s="733" t="s">
        <v>1618</v>
      </c>
      <c r="G89" s="281" t="s">
        <v>1619</v>
      </c>
      <c r="H89" s="374" t="s">
        <v>1620</v>
      </c>
      <c r="I89" s="172" t="str">
        <f t="shared" si="67"/>
        <v xml:space="preserve"> * La variable Pueblos Originarios no puede ser Mayor al Total. * La variable Migrantes no puede ser Mayor al Total.</v>
      </c>
      <c r="K89" s="192"/>
      <c r="L89" s="192"/>
      <c r="M89" s="192"/>
      <c r="N89" s="192"/>
      <c r="O89" s="192"/>
      <c r="AW89" s="606"/>
      <c r="BR89" s="108"/>
      <c r="BS89" s="172"/>
      <c r="BT89" s="172"/>
      <c r="BU89" s="172"/>
      <c r="CD89" s="191" t="str">
        <f t="shared" si="65"/>
        <v xml:space="preserve"> * La variable Pueblos Originarios no puede ser Mayor al Total.</v>
      </c>
      <c r="CE89" s="191" t="str">
        <f t="shared" si="66"/>
        <v xml:space="preserve"> * La variable Migrantes no puede ser Mayor al Total.</v>
      </c>
      <c r="DS89" s="1047">
        <f t="shared" si="68"/>
        <v>1</v>
      </c>
      <c r="DT89" s="1047">
        <f t="shared" si="69"/>
        <v>1</v>
      </c>
      <c r="DU89" s="1047">
        <f t="shared" si="70"/>
        <v>0</v>
      </c>
      <c r="DV89" s="1047">
        <f t="shared" si="71"/>
        <v>0</v>
      </c>
    </row>
    <row r="90" spans="1:126" ht="15" customHeight="1" x14ac:dyDescent="0.25">
      <c r="A90" s="1589" t="s">
        <v>1074</v>
      </c>
      <c r="B90" s="1834"/>
      <c r="C90" s="800" t="s">
        <v>224</v>
      </c>
      <c r="D90" s="289" t="s">
        <v>1616</v>
      </c>
      <c r="E90" s="373" t="s">
        <v>1617</v>
      </c>
      <c r="F90" s="733" t="s">
        <v>1618</v>
      </c>
      <c r="G90" s="281" t="s">
        <v>1619</v>
      </c>
      <c r="H90" s="374" t="s">
        <v>1620</v>
      </c>
      <c r="I90" s="172" t="str">
        <f t="shared" si="67"/>
        <v xml:space="preserve"> * La variable Pueblos Originarios no puede ser Mayor al Total. * La variable Migrantes no puede ser Mayor al Total.</v>
      </c>
      <c r="K90" s="192"/>
      <c r="L90" s="192"/>
      <c r="M90" s="192"/>
      <c r="N90" s="192"/>
      <c r="O90" s="192"/>
      <c r="AW90" s="606"/>
      <c r="BR90" s="108"/>
      <c r="BS90" s="172"/>
      <c r="BT90" s="172"/>
      <c r="BU90" s="172"/>
      <c r="CD90" s="191" t="str">
        <f t="shared" si="65"/>
        <v xml:space="preserve"> * La variable Pueblos Originarios no puede ser Mayor al Total.</v>
      </c>
      <c r="CE90" s="191" t="str">
        <f t="shared" si="66"/>
        <v xml:space="preserve"> * La variable Migrantes no puede ser Mayor al Total.</v>
      </c>
      <c r="DS90" s="1047">
        <f t="shared" si="68"/>
        <v>1</v>
      </c>
      <c r="DT90" s="1047">
        <f t="shared" si="69"/>
        <v>1</v>
      </c>
      <c r="DU90" s="1047">
        <f t="shared" si="70"/>
        <v>0</v>
      </c>
      <c r="DV90" s="1047">
        <f t="shared" si="71"/>
        <v>0</v>
      </c>
    </row>
    <row r="91" spans="1:126" ht="15" customHeight="1" x14ac:dyDescent="0.25">
      <c r="A91" s="1589" t="s">
        <v>1075</v>
      </c>
      <c r="B91" s="1734"/>
      <c r="C91" s="76" t="s">
        <v>225</v>
      </c>
      <c r="D91" s="372" t="s">
        <v>1616</v>
      </c>
      <c r="E91" s="290" t="s">
        <v>1617</v>
      </c>
      <c r="F91" s="734" t="s">
        <v>1618</v>
      </c>
      <c r="G91" s="268" t="s">
        <v>1619</v>
      </c>
      <c r="H91" s="312" t="s">
        <v>1620</v>
      </c>
      <c r="I91" s="172" t="str">
        <f t="shared" si="67"/>
        <v xml:space="preserve"> * La variable Pueblos Originarios no puede ser Mayor al Total. * La variable Migrantes no puede ser Mayor al Total.</v>
      </c>
      <c r="K91" s="192"/>
      <c r="L91" s="192"/>
      <c r="M91" s="192"/>
      <c r="N91" s="192"/>
      <c r="O91" s="192"/>
      <c r="AW91" s="606"/>
      <c r="BR91" s="108"/>
      <c r="BS91" s="172"/>
      <c r="BT91" s="172"/>
      <c r="BU91" s="172"/>
      <c r="CD91" s="191" t="str">
        <f t="shared" si="65"/>
        <v xml:space="preserve"> * La variable Pueblos Originarios no puede ser Mayor al Total.</v>
      </c>
      <c r="CE91" s="191" t="str">
        <f t="shared" si="66"/>
        <v xml:space="preserve"> * La variable Migrantes no puede ser Mayor al Total.</v>
      </c>
      <c r="DS91" s="1047">
        <f t="shared" si="68"/>
        <v>1</v>
      </c>
      <c r="DT91" s="1047">
        <f t="shared" si="69"/>
        <v>1</v>
      </c>
      <c r="DU91" s="1047">
        <f t="shared" si="70"/>
        <v>0</v>
      </c>
      <c r="DV91" s="1047">
        <f t="shared" si="71"/>
        <v>0</v>
      </c>
    </row>
    <row r="92" spans="1:126" ht="15" customHeight="1" x14ac:dyDescent="0.25">
      <c r="A92" s="1589" t="s">
        <v>1076</v>
      </c>
      <c r="B92" s="1733" t="s">
        <v>274</v>
      </c>
      <c r="C92" s="73" t="s">
        <v>272</v>
      </c>
      <c r="D92" s="260" t="s">
        <v>1616</v>
      </c>
      <c r="E92" s="288" t="s">
        <v>1617</v>
      </c>
      <c r="F92" s="746" t="s">
        <v>1618</v>
      </c>
      <c r="G92" s="274" t="s">
        <v>1619</v>
      </c>
      <c r="H92" s="687" t="s">
        <v>1620</v>
      </c>
      <c r="I92" s="172" t="str">
        <f t="shared" si="67"/>
        <v xml:space="preserve"> * La variable Pueblos Originarios no puede ser Mayor al Total. * La variable Migrantes no puede ser Mayor al Total.</v>
      </c>
      <c r="K92" s="71"/>
      <c r="L92" s="71"/>
      <c r="M92" s="71"/>
      <c r="N92" s="71"/>
      <c r="O92" s="71"/>
      <c r="AW92" s="606"/>
      <c r="BR92" s="108"/>
      <c r="BS92" s="172"/>
      <c r="BT92" s="172"/>
      <c r="BU92" s="172"/>
      <c r="CD92" s="191" t="str">
        <f t="shared" si="65"/>
        <v xml:space="preserve"> * La variable Pueblos Originarios no puede ser Mayor al Total.</v>
      </c>
      <c r="CE92" s="191" t="str">
        <f t="shared" si="66"/>
        <v xml:space="preserve"> * La variable Migrantes no puede ser Mayor al Total.</v>
      </c>
      <c r="DS92" s="1047">
        <f t="shared" si="68"/>
        <v>1</v>
      </c>
      <c r="DT92" s="1047">
        <f t="shared" si="69"/>
        <v>1</v>
      </c>
      <c r="DU92" s="1047">
        <f t="shared" si="70"/>
        <v>0</v>
      </c>
      <c r="DV92" s="1047">
        <f t="shared" si="71"/>
        <v>0</v>
      </c>
    </row>
    <row r="93" spans="1:126" ht="15" customHeight="1" x14ac:dyDescent="0.25">
      <c r="A93" s="1589" t="s">
        <v>1077</v>
      </c>
      <c r="B93" s="1833"/>
      <c r="C93" s="75" t="s">
        <v>220</v>
      </c>
      <c r="D93" s="301" t="s">
        <v>1616</v>
      </c>
      <c r="E93" s="310" t="s">
        <v>1617</v>
      </c>
      <c r="F93" s="732" t="s">
        <v>1618</v>
      </c>
      <c r="G93" s="277" t="s">
        <v>1619</v>
      </c>
      <c r="H93" s="311" t="s">
        <v>1620</v>
      </c>
      <c r="I93" s="172" t="str">
        <f t="shared" si="67"/>
        <v xml:space="preserve"> * La variable Pueblos Originarios no puede ser Mayor al Total. * La variable Migrantes no puede ser Mayor al Total.</v>
      </c>
      <c r="K93" s="192"/>
      <c r="L93" s="192"/>
      <c r="M93" s="192"/>
      <c r="N93" s="192"/>
      <c r="O93" s="192"/>
      <c r="AW93" s="606"/>
      <c r="BR93" s="108"/>
      <c r="BS93" s="172"/>
      <c r="BT93" s="172"/>
      <c r="BU93" s="172"/>
      <c r="CD93" s="191" t="str">
        <f t="shared" si="65"/>
        <v xml:space="preserve"> * La variable Pueblos Originarios no puede ser Mayor al Total.</v>
      </c>
      <c r="CE93" s="191" t="str">
        <f t="shared" si="66"/>
        <v xml:space="preserve"> * La variable Migrantes no puede ser Mayor al Total.</v>
      </c>
      <c r="DS93" s="1047">
        <f t="shared" si="68"/>
        <v>1</v>
      </c>
      <c r="DT93" s="1047">
        <f t="shared" si="69"/>
        <v>1</v>
      </c>
      <c r="DU93" s="1047">
        <f t="shared" si="70"/>
        <v>0</v>
      </c>
      <c r="DV93" s="1047">
        <f t="shared" si="71"/>
        <v>0</v>
      </c>
    </row>
    <row r="94" spans="1:126" ht="15" customHeight="1" x14ac:dyDescent="0.25">
      <c r="A94" s="1589" t="s">
        <v>1078</v>
      </c>
      <c r="B94" s="1834"/>
      <c r="C94" s="75" t="s">
        <v>221</v>
      </c>
      <c r="D94" s="301" t="s">
        <v>1616</v>
      </c>
      <c r="E94" s="310" t="s">
        <v>1617</v>
      </c>
      <c r="F94" s="732" t="s">
        <v>1618</v>
      </c>
      <c r="G94" s="277" t="s">
        <v>1619</v>
      </c>
      <c r="H94" s="311" t="s">
        <v>1620</v>
      </c>
      <c r="I94" s="172" t="str">
        <f t="shared" si="67"/>
        <v xml:space="preserve"> * La variable Pueblos Originarios no puede ser Mayor al Total. * La variable Migrantes no puede ser Mayor al Total.</v>
      </c>
      <c r="K94" s="192"/>
      <c r="L94" s="192"/>
      <c r="M94" s="192"/>
      <c r="N94" s="192"/>
      <c r="O94" s="192"/>
      <c r="AW94" s="606"/>
      <c r="BR94" s="108"/>
      <c r="BS94" s="172"/>
      <c r="BT94" s="172"/>
      <c r="BU94" s="172"/>
      <c r="CD94" s="191" t="str">
        <f t="shared" si="65"/>
        <v xml:space="preserve"> * La variable Pueblos Originarios no puede ser Mayor al Total.</v>
      </c>
      <c r="CE94" s="191" t="str">
        <f t="shared" si="66"/>
        <v xml:space="preserve"> * La variable Migrantes no puede ser Mayor al Total.</v>
      </c>
      <c r="DS94" s="1047">
        <f t="shared" si="68"/>
        <v>1</v>
      </c>
      <c r="DT94" s="1047">
        <f t="shared" si="69"/>
        <v>1</v>
      </c>
      <c r="DU94" s="1047">
        <f t="shared" si="70"/>
        <v>0</v>
      </c>
      <c r="DV94" s="1047">
        <f t="shared" si="71"/>
        <v>0</v>
      </c>
    </row>
    <row r="95" spans="1:126" ht="15" customHeight="1" x14ac:dyDescent="0.25">
      <c r="A95" s="1589" t="s">
        <v>1079</v>
      </c>
      <c r="B95" s="1834"/>
      <c r="C95" s="75" t="s">
        <v>222</v>
      </c>
      <c r="D95" s="301" t="s">
        <v>1616</v>
      </c>
      <c r="E95" s="310" t="s">
        <v>1617</v>
      </c>
      <c r="F95" s="732" t="s">
        <v>1618</v>
      </c>
      <c r="G95" s="277" t="s">
        <v>1619</v>
      </c>
      <c r="H95" s="311" t="s">
        <v>1620</v>
      </c>
      <c r="I95" s="172" t="str">
        <f t="shared" si="67"/>
        <v xml:space="preserve"> * La variable Pueblos Originarios no puede ser Mayor al Total. * La variable Migrantes no puede ser Mayor al Total.</v>
      </c>
      <c r="K95" s="192"/>
      <c r="L95" s="192"/>
      <c r="M95" s="192"/>
      <c r="N95" s="192"/>
      <c r="O95" s="192"/>
      <c r="AW95" s="606"/>
      <c r="BR95" s="108"/>
      <c r="BS95" s="172"/>
      <c r="BT95" s="172"/>
      <c r="BU95" s="172"/>
      <c r="CD95" s="191" t="str">
        <f t="shared" si="65"/>
        <v xml:space="preserve"> * La variable Pueblos Originarios no puede ser Mayor al Total.</v>
      </c>
      <c r="CE95" s="191" t="str">
        <f t="shared" si="66"/>
        <v xml:space="preserve"> * La variable Migrantes no puede ser Mayor al Total.</v>
      </c>
      <c r="DS95" s="1047">
        <f t="shared" si="68"/>
        <v>1</v>
      </c>
      <c r="DT95" s="1047">
        <f t="shared" si="69"/>
        <v>1</v>
      </c>
      <c r="DU95" s="1047">
        <f t="shared" si="70"/>
        <v>0</v>
      </c>
      <c r="DV95" s="1047">
        <f t="shared" si="71"/>
        <v>0</v>
      </c>
    </row>
    <row r="96" spans="1:126" ht="15" customHeight="1" x14ac:dyDescent="0.25">
      <c r="A96" s="1589" t="s">
        <v>1080</v>
      </c>
      <c r="B96" s="1834"/>
      <c r="C96" s="800" t="s">
        <v>223</v>
      </c>
      <c r="D96" s="301" t="s">
        <v>1616</v>
      </c>
      <c r="E96" s="373" t="s">
        <v>1617</v>
      </c>
      <c r="F96" s="733" t="s">
        <v>1618</v>
      </c>
      <c r="G96" s="281" t="s">
        <v>1619</v>
      </c>
      <c r="H96" s="374" t="s">
        <v>1620</v>
      </c>
      <c r="I96" s="172" t="str">
        <f t="shared" si="67"/>
        <v xml:space="preserve"> * La variable Pueblos Originarios no puede ser Mayor al Total. * La variable Migrantes no puede ser Mayor al Total.</v>
      </c>
      <c r="K96" s="192"/>
      <c r="L96" s="192"/>
      <c r="M96" s="192"/>
      <c r="N96" s="192"/>
      <c r="O96" s="192"/>
      <c r="AW96" s="606"/>
      <c r="BR96" s="108"/>
      <c r="BS96" s="172"/>
      <c r="BT96" s="172"/>
      <c r="BU96" s="172"/>
      <c r="CD96" s="191" t="str">
        <f t="shared" si="65"/>
        <v xml:space="preserve"> * La variable Pueblos Originarios no puede ser Mayor al Total.</v>
      </c>
      <c r="CE96" s="191" t="str">
        <f t="shared" si="66"/>
        <v xml:space="preserve"> * La variable Migrantes no puede ser Mayor al Total.</v>
      </c>
      <c r="DS96" s="1047">
        <f t="shared" si="68"/>
        <v>1</v>
      </c>
      <c r="DT96" s="1047">
        <f t="shared" si="69"/>
        <v>1</v>
      </c>
      <c r="DU96" s="1047">
        <f t="shared" si="70"/>
        <v>0</v>
      </c>
      <c r="DV96" s="1047">
        <f t="shared" si="71"/>
        <v>0</v>
      </c>
    </row>
    <row r="97" spans="1:126" ht="15" customHeight="1" x14ac:dyDescent="0.25">
      <c r="A97" s="1589" t="s">
        <v>1081</v>
      </c>
      <c r="B97" s="1834"/>
      <c r="C97" s="800" t="s">
        <v>224</v>
      </c>
      <c r="D97" s="301" t="s">
        <v>1616</v>
      </c>
      <c r="E97" s="373" t="s">
        <v>1617</v>
      </c>
      <c r="F97" s="733" t="s">
        <v>1618</v>
      </c>
      <c r="G97" s="281" t="s">
        <v>1619</v>
      </c>
      <c r="H97" s="374" t="s">
        <v>1620</v>
      </c>
      <c r="I97" s="172" t="str">
        <f t="shared" si="67"/>
        <v xml:space="preserve"> * La variable Pueblos Originarios no puede ser Mayor al Total. * La variable Migrantes no puede ser Mayor al Total.</v>
      </c>
      <c r="K97" s="192"/>
      <c r="L97" s="192"/>
      <c r="M97" s="192"/>
      <c r="N97" s="192"/>
      <c r="O97" s="192"/>
      <c r="AW97" s="606"/>
      <c r="BR97" s="108"/>
      <c r="BS97" s="172"/>
      <c r="BT97" s="172"/>
      <c r="BU97" s="172"/>
      <c r="CD97" s="191" t="str">
        <f t="shared" si="65"/>
        <v xml:space="preserve"> * La variable Pueblos Originarios no puede ser Mayor al Total.</v>
      </c>
      <c r="CE97" s="191" t="str">
        <f t="shared" si="66"/>
        <v xml:space="preserve"> * La variable Migrantes no puede ser Mayor al Total.</v>
      </c>
      <c r="DS97" s="1047">
        <f t="shared" si="68"/>
        <v>1</v>
      </c>
      <c r="DT97" s="1047">
        <f t="shared" si="69"/>
        <v>1</v>
      </c>
      <c r="DU97" s="1047">
        <f t="shared" si="70"/>
        <v>0</v>
      </c>
      <c r="DV97" s="1047">
        <f t="shared" si="71"/>
        <v>0</v>
      </c>
    </row>
    <row r="98" spans="1:126" ht="15" customHeight="1" x14ac:dyDescent="0.25">
      <c r="A98" s="1585" t="s">
        <v>1082</v>
      </c>
      <c r="B98" s="1734"/>
      <c r="C98" s="76" t="s">
        <v>225</v>
      </c>
      <c r="D98" s="372" t="s">
        <v>1616</v>
      </c>
      <c r="E98" s="373" t="s">
        <v>1617</v>
      </c>
      <c r="F98" s="733" t="s">
        <v>1618</v>
      </c>
      <c r="G98" s="281" t="s">
        <v>1619</v>
      </c>
      <c r="H98" s="374" t="s">
        <v>1620</v>
      </c>
      <c r="I98" s="172" t="str">
        <f t="shared" si="67"/>
        <v xml:space="preserve"> * La variable Pueblos Originarios no puede ser Mayor al Total. * La variable Migrantes no puede ser Mayor al Total.</v>
      </c>
      <c r="K98" s="192"/>
      <c r="L98" s="192"/>
      <c r="M98" s="192"/>
      <c r="N98" s="192"/>
      <c r="O98" s="192"/>
      <c r="AW98" s="606"/>
      <c r="BR98" s="108"/>
      <c r="BS98" s="172"/>
      <c r="BT98" s="172"/>
      <c r="BU98" s="172"/>
      <c r="CD98" s="191" t="str">
        <f t="shared" si="65"/>
        <v xml:space="preserve"> * La variable Pueblos Originarios no puede ser Mayor al Total.</v>
      </c>
      <c r="CE98" s="191" t="str">
        <f t="shared" si="66"/>
        <v xml:space="preserve"> * La variable Migrantes no puede ser Mayor al Total.</v>
      </c>
      <c r="DS98" s="1047">
        <f t="shared" si="68"/>
        <v>1</v>
      </c>
      <c r="DT98" s="1047">
        <f t="shared" si="69"/>
        <v>1</v>
      </c>
      <c r="DU98" s="1047">
        <f t="shared" si="70"/>
        <v>0</v>
      </c>
      <c r="DV98" s="1047">
        <f t="shared" si="71"/>
        <v>0</v>
      </c>
    </row>
    <row r="99" spans="1:126" ht="15" customHeight="1" x14ac:dyDescent="0.25">
      <c r="A99" s="1585" t="s">
        <v>1083</v>
      </c>
      <c r="B99" s="1733" t="s">
        <v>275</v>
      </c>
      <c r="C99" s="73" t="s">
        <v>272</v>
      </c>
      <c r="D99" s="260" t="s">
        <v>1616</v>
      </c>
      <c r="E99" s="261" t="s">
        <v>1617</v>
      </c>
      <c r="F99" s="578" t="s">
        <v>1618</v>
      </c>
      <c r="G99" s="262" t="s">
        <v>1619</v>
      </c>
      <c r="H99" s="309" t="s">
        <v>1620</v>
      </c>
      <c r="I99" s="172" t="str">
        <f t="shared" si="67"/>
        <v xml:space="preserve"> * La variable Pueblos Originarios no puede ser Mayor al Total. * La variable Migrantes no puede ser Mayor al Total.</v>
      </c>
      <c r="K99" s="192"/>
      <c r="L99" s="192"/>
      <c r="M99" s="192"/>
      <c r="N99" s="192"/>
      <c r="O99" s="192"/>
      <c r="AW99" s="606"/>
      <c r="BR99" s="108"/>
      <c r="BS99" s="172"/>
      <c r="BT99" s="172"/>
      <c r="BU99" s="172"/>
      <c r="CD99" s="191" t="str">
        <f t="shared" si="65"/>
        <v xml:space="preserve"> * La variable Pueblos Originarios no puede ser Mayor al Total.</v>
      </c>
      <c r="CE99" s="191" t="str">
        <f t="shared" si="66"/>
        <v xml:space="preserve"> * La variable Migrantes no puede ser Mayor al Total.</v>
      </c>
      <c r="DS99" s="1047">
        <f t="shared" si="68"/>
        <v>1</v>
      </c>
      <c r="DT99" s="1047">
        <f t="shared" si="69"/>
        <v>1</v>
      </c>
      <c r="DU99" s="1047">
        <f t="shared" si="70"/>
        <v>0</v>
      </c>
      <c r="DV99" s="1047">
        <f t="shared" si="71"/>
        <v>0</v>
      </c>
    </row>
    <row r="100" spans="1:126" ht="15" customHeight="1" x14ac:dyDescent="0.25">
      <c r="A100" s="1585" t="s">
        <v>1084</v>
      </c>
      <c r="B100" s="1833"/>
      <c r="C100" s="75" t="s">
        <v>220</v>
      </c>
      <c r="D100" s="301" t="s">
        <v>1616</v>
      </c>
      <c r="E100" s="310" t="s">
        <v>1617</v>
      </c>
      <c r="F100" s="732" t="s">
        <v>1618</v>
      </c>
      <c r="G100" s="277" t="s">
        <v>1619</v>
      </c>
      <c r="H100" s="311" t="s">
        <v>1620</v>
      </c>
      <c r="I100" s="172" t="str">
        <f t="shared" si="67"/>
        <v xml:space="preserve"> * La variable Pueblos Originarios no puede ser Mayor al Total. * La variable Migrantes no puede ser Mayor al Total.</v>
      </c>
      <c r="K100" s="77"/>
      <c r="L100" s="77"/>
      <c r="M100" s="77"/>
      <c r="N100" s="77"/>
      <c r="O100" s="77"/>
      <c r="AW100" s="606"/>
      <c r="BR100" s="108"/>
      <c r="CD100" s="191" t="str">
        <f t="shared" si="65"/>
        <v xml:space="preserve"> * La variable Pueblos Originarios no puede ser Mayor al Total.</v>
      </c>
      <c r="CE100" s="191" t="str">
        <f t="shared" si="66"/>
        <v xml:space="preserve"> * La variable Migrantes no puede ser Mayor al Total.</v>
      </c>
      <c r="DS100" s="1047">
        <f t="shared" si="68"/>
        <v>1</v>
      </c>
      <c r="DT100" s="1047">
        <f t="shared" si="69"/>
        <v>1</v>
      </c>
      <c r="DU100" s="1047">
        <f t="shared" si="70"/>
        <v>0</v>
      </c>
      <c r="DV100" s="1047">
        <f t="shared" si="71"/>
        <v>0</v>
      </c>
    </row>
    <row r="101" spans="1:126" ht="15" customHeight="1" x14ac:dyDescent="0.25">
      <c r="A101" s="1585" t="s">
        <v>1085</v>
      </c>
      <c r="B101" s="1834"/>
      <c r="C101" s="75" t="s">
        <v>221</v>
      </c>
      <c r="D101" s="301" t="s">
        <v>1616</v>
      </c>
      <c r="E101" s="310" t="s">
        <v>1617</v>
      </c>
      <c r="F101" s="732" t="s">
        <v>1618</v>
      </c>
      <c r="G101" s="277" t="s">
        <v>1619</v>
      </c>
      <c r="H101" s="311" t="s">
        <v>1620</v>
      </c>
      <c r="I101" s="172" t="str">
        <f t="shared" si="67"/>
        <v xml:space="preserve"> * La variable Pueblos Originarios no puede ser Mayor al Total. * La variable Migrantes no puede ser Mayor al Total.</v>
      </c>
      <c r="K101" s="77"/>
      <c r="L101" s="77"/>
      <c r="M101" s="77"/>
      <c r="N101" s="77"/>
      <c r="O101" s="77"/>
      <c r="AW101" s="606"/>
      <c r="BR101" s="108"/>
      <c r="CD101" s="191" t="str">
        <f t="shared" si="65"/>
        <v xml:space="preserve"> * La variable Pueblos Originarios no puede ser Mayor al Total.</v>
      </c>
      <c r="CE101" s="191" t="str">
        <f t="shared" si="66"/>
        <v xml:space="preserve"> * La variable Migrantes no puede ser Mayor al Total.</v>
      </c>
      <c r="DS101" s="1047">
        <f t="shared" si="68"/>
        <v>1</v>
      </c>
      <c r="DT101" s="1047">
        <f t="shared" si="69"/>
        <v>1</v>
      </c>
      <c r="DU101" s="1047">
        <f t="shared" si="70"/>
        <v>0</v>
      </c>
      <c r="DV101" s="1047">
        <f t="shared" si="71"/>
        <v>0</v>
      </c>
    </row>
    <row r="102" spans="1:126" ht="15" customHeight="1" x14ac:dyDescent="0.25">
      <c r="A102" s="1585" t="s">
        <v>1086</v>
      </c>
      <c r="B102" s="1834"/>
      <c r="C102" s="75" t="s">
        <v>222</v>
      </c>
      <c r="D102" s="301" t="s">
        <v>1616</v>
      </c>
      <c r="E102" s="310" t="s">
        <v>1617</v>
      </c>
      <c r="F102" s="732" t="s">
        <v>1618</v>
      </c>
      <c r="G102" s="277" t="s">
        <v>1619</v>
      </c>
      <c r="H102" s="311" t="s">
        <v>1620</v>
      </c>
      <c r="I102" s="172" t="str">
        <f t="shared" si="67"/>
        <v xml:space="preserve"> * La variable Pueblos Originarios no puede ser Mayor al Total. * La variable Migrantes no puede ser Mayor al Total.</v>
      </c>
      <c r="K102" s="77"/>
      <c r="L102" s="77"/>
      <c r="M102" s="77"/>
      <c r="N102" s="77"/>
      <c r="O102" s="77"/>
      <c r="AW102" s="606"/>
      <c r="BR102" s="108"/>
      <c r="CD102" s="191" t="str">
        <f t="shared" si="65"/>
        <v xml:space="preserve"> * La variable Pueblos Originarios no puede ser Mayor al Total.</v>
      </c>
      <c r="CE102" s="191" t="str">
        <f t="shared" si="66"/>
        <v xml:space="preserve"> * La variable Migrantes no puede ser Mayor al Total.</v>
      </c>
      <c r="DS102" s="1047">
        <f t="shared" si="68"/>
        <v>1</v>
      </c>
      <c r="DT102" s="1047">
        <f t="shared" si="69"/>
        <v>1</v>
      </c>
      <c r="DU102" s="1047">
        <f t="shared" si="70"/>
        <v>0</v>
      </c>
      <c r="DV102" s="1047">
        <f t="shared" si="71"/>
        <v>0</v>
      </c>
    </row>
    <row r="103" spans="1:126" ht="15" customHeight="1" x14ac:dyDescent="0.25">
      <c r="A103" s="1589" t="s">
        <v>1087</v>
      </c>
      <c r="B103" s="1834"/>
      <c r="C103" s="800" t="s">
        <v>223</v>
      </c>
      <c r="D103" s="289" t="s">
        <v>1616</v>
      </c>
      <c r="E103" s="373" t="s">
        <v>1617</v>
      </c>
      <c r="F103" s="733" t="s">
        <v>1618</v>
      </c>
      <c r="G103" s="281" t="s">
        <v>1619</v>
      </c>
      <c r="H103" s="374" t="s">
        <v>1620</v>
      </c>
      <c r="I103" s="172" t="str">
        <f t="shared" si="67"/>
        <v xml:space="preserve"> * La variable Pueblos Originarios no puede ser Mayor al Total. * La variable Migrantes no puede ser Mayor al Total.</v>
      </c>
      <c r="K103" s="77"/>
      <c r="L103" s="77"/>
      <c r="M103" s="77"/>
      <c r="N103" s="77"/>
      <c r="O103" s="77"/>
      <c r="AW103" s="606"/>
      <c r="BR103" s="108"/>
      <c r="CD103" s="191" t="str">
        <f t="shared" si="65"/>
        <v xml:space="preserve"> * La variable Pueblos Originarios no puede ser Mayor al Total.</v>
      </c>
      <c r="CE103" s="191" t="str">
        <f t="shared" si="66"/>
        <v xml:space="preserve"> * La variable Migrantes no puede ser Mayor al Total.</v>
      </c>
      <c r="DS103" s="1047">
        <f t="shared" si="68"/>
        <v>1</v>
      </c>
      <c r="DT103" s="1047">
        <f t="shared" si="69"/>
        <v>1</v>
      </c>
      <c r="DU103" s="1047">
        <f t="shared" si="70"/>
        <v>0</v>
      </c>
      <c r="DV103" s="1047">
        <f t="shared" si="71"/>
        <v>0</v>
      </c>
    </row>
    <row r="104" spans="1:126" ht="15" customHeight="1" x14ac:dyDescent="0.25">
      <c r="A104" s="1589" t="s">
        <v>1088</v>
      </c>
      <c r="B104" s="1834"/>
      <c r="C104" s="800" t="s">
        <v>224</v>
      </c>
      <c r="D104" s="289" t="s">
        <v>1616</v>
      </c>
      <c r="E104" s="373" t="s">
        <v>1617</v>
      </c>
      <c r="F104" s="733" t="s">
        <v>1618</v>
      </c>
      <c r="G104" s="281" t="s">
        <v>1619</v>
      </c>
      <c r="H104" s="374" t="s">
        <v>1620</v>
      </c>
      <c r="I104" s="172" t="str">
        <f t="shared" si="67"/>
        <v xml:space="preserve"> * La variable Pueblos Originarios no puede ser Mayor al Total. * La variable Migrantes no puede ser Mayor al Total.</v>
      </c>
      <c r="K104" s="77"/>
      <c r="L104" s="77"/>
      <c r="M104" s="77"/>
      <c r="N104" s="77"/>
      <c r="O104" s="77"/>
      <c r="AW104" s="606"/>
      <c r="BR104" s="108"/>
      <c r="CD104" s="191" t="str">
        <f t="shared" si="65"/>
        <v xml:space="preserve"> * La variable Pueblos Originarios no puede ser Mayor al Total.</v>
      </c>
      <c r="CE104" s="191" t="str">
        <f t="shared" si="66"/>
        <v xml:space="preserve"> * La variable Migrantes no puede ser Mayor al Total.</v>
      </c>
      <c r="DS104" s="1047">
        <f t="shared" si="68"/>
        <v>1</v>
      </c>
      <c r="DT104" s="1047">
        <f t="shared" si="69"/>
        <v>1</v>
      </c>
      <c r="DU104" s="1047">
        <f t="shared" si="70"/>
        <v>0</v>
      </c>
      <c r="DV104" s="1047">
        <f t="shared" si="71"/>
        <v>0</v>
      </c>
    </row>
    <row r="105" spans="1:126" ht="15" customHeight="1" x14ac:dyDescent="0.25">
      <c r="A105" s="1589" t="s">
        <v>1089</v>
      </c>
      <c r="B105" s="1734"/>
      <c r="C105" s="76" t="s">
        <v>225</v>
      </c>
      <c r="D105" s="372" t="s">
        <v>1616</v>
      </c>
      <c r="E105" s="290" t="s">
        <v>1617</v>
      </c>
      <c r="F105" s="734" t="s">
        <v>1618</v>
      </c>
      <c r="G105" s="268" t="s">
        <v>1619</v>
      </c>
      <c r="H105" s="312" t="s">
        <v>1620</v>
      </c>
      <c r="I105" s="172" t="str">
        <f t="shared" si="67"/>
        <v xml:space="preserve"> * La variable Pueblos Originarios no puede ser Mayor al Total. * La variable Migrantes no puede ser Mayor al Total.</v>
      </c>
      <c r="K105" s="222"/>
      <c r="L105" s="222"/>
      <c r="AW105" s="606"/>
      <c r="BR105" s="108"/>
      <c r="CD105" s="191" t="str">
        <f t="shared" si="65"/>
        <v xml:space="preserve"> * La variable Pueblos Originarios no puede ser Mayor al Total.</v>
      </c>
      <c r="CE105" s="191" t="str">
        <f>IF(AND(D105&gt;0,OR(H105=""))," * No olvide digitar la variable Migrantes (Digite Cero si no tiene).",IF(H105&gt;D105," * La variable Migrantes no puede ser Mayor al Total.",""))</f>
        <v xml:space="preserve"> * La variable Migrantes no puede ser Mayor al Total.</v>
      </c>
      <c r="DS105" s="1047">
        <f t="shared" si="68"/>
        <v>1</v>
      </c>
      <c r="DT105" s="1047">
        <f t="shared" si="69"/>
        <v>1</v>
      </c>
      <c r="DU105" s="1047">
        <f t="shared" si="70"/>
        <v>0</v>
      </c>
      <c r="DV105" s="1047">
        <f t="shared" si="71"/>
        <v>0</v>
      </c>
    </row>
    <row r="106" spans="1:126" ht="17.100000000000001" customHeight="1" x14ac:dyDescent="0.25">
      <c r="B106" s="1887" t="s">
        <v>276</v>
      </c>
      <c r="C106" s="1887"/>
      <c r="D106" s="1887"/>
      <c r="E106" s="1887"/>
      <c r="F106" s="1887"/>
      <c r="G106" s="1887"/>
      <c r="H106" s="1887"/>
      <c r="I106" s="1887"/>
      <c r="J106" s="1887"/>
      <c r="K106" s="1887"/>
      <c r="L106" s="1887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108"/>
      <c r="AV106" s="108"/>
      <c r="AW106" s="108"/>
      <c r="DS106" s="1047">
        <f t="shared" si="68"/>
        <v>1</v>
      </c>
      <c r="DT106" s="1047">
        <f t="shared" si="69"/>
        <v>1</v>
      </c>
      <c r="DU106" s="1047">
        <f t="shared" si="70"/>
        <v>0</v>
      </c>
      <c r="DV106" s="1047">
        <f t="shared" si="71"/>
        <v>0</v>
      </c>
    </row>
    <row r="107" spans="1:126" ht="21" customHeight="1" x14ac:dyDescent="0.25">
      <c r="B107" s="1778" t="s">
        <v>277</v>
      </c>
      <c r="C107" s="1758"/>
      <c r="D107" s="1802" t="s">
        <v>49</v>
      </c>
      <c r="E107" s="1885" t="s">
        <v>278</v>
      </c>
      <c r="F107" s="1837" t="s">
        <v>213</v>
      </c>
      <c r="G107" s="1837" t="s">
        <v>214</v>
      </c>
      <c r="H107" s="1837" t="s">
        <v>215</v>
      </c>
      <c r="I107" s="1837" t="s">
        <v>216</v>
      </c>
      <c r="J107" s="1837" t="s">
        <v>217</v>
      </c>
      <c r="K107" s="1841" t="s">
        <v>218</v>
      </c>
      <c r="L107" s="1839" t="s">
        <v>279</v>
      </c>
      <c r="M107" s="1835" t="s">
        <v>280</v>
      </c>
      <c r="N107" s="1758" t="s">
        <v>51</v>
      </c>
      <c r="O107" s="1758" t="s">
        <v>108</v>
      </c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108"/>
      <c r="AU107" s="108"/>
      <c r="AV107" s="108"/>
      <c r="AW107" s="108"/>
      <c r="AX107" s="108"/>
      <c r="BS107" s="606"/>
    </row>
    <row r="108" spans="1:126" ht="27" customHeight="1" x14ac:dyDescent="0.25">
      <c r="B108" s="1795"/>
      <c r="C108" s="1760"/>
      <c r="D108" s="1803"/>
      <c r="E108" s="1886"/>
      <c r="F108" s="1838"/>
      <c r="G108" s="1838"/>
      <c r="H108" s="1838"/>
      <c r="I108" s="1838"/>
      <c r="J108" s="1838"/>
      <c r="K108" s="1704"/>
      <c r="L108" s="1840"/>
      <c r="M108" s="1836"/>
      <c r="N108" s="1760"/>
      <c r="O108" s="1760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108"/>
      <c r="AU108" s="108"/>
      <c r="AV108" s="108"/>
      <c r="AW108" s="108"/>
      <c r="AX108" s="108"/>
      <c r="BS108" s="606"/>
    </row>
    <row r="109" spans="1:126" ht="15" customHeight="1" x14ac:dyDescent="0.25">
      <c r="A109" s="1589" t="s">
        <v>1090</v>
      </c>
      <c r="B109" s="1842" t="s">
        <v>281</v>
      </c>
      <c r="C109" s="78" t="s">
        <v>282</v>
      </c>
      <c r="D109" s="321" t="s">
        <v>1616</v>
      </c>
      <c r="E109" s="322" t="s">
        <v>1617</v>
      </c>
      <c r="F109" s="375" t="s">
        <v>1618</v>
      </c>
      <c r="G109" s="375" t="s">
        <v>1619</v>
      </c>
      <c r="H109" s="375" t="s">
        <v>1620</v>
      </c>
      <c r="I109" s="375" t="s">
        <v>1621</v>
      </c>
      <c r="J109" s="375" t="s">
        <v>1622</v>
      </c>
      <c r="K109" s="323" t="s">
        <v>1623</v>
      </c>
      <c r="L109" s="801" t="s">
        <v>1624</v>
      </c>
      <c r="M109" s="802" t="s">
        <v>1625</v>
      </c>
      <c r="N109" s="702" t="s">
        <v>1626</v>
      </c>
      <c r="O109" s="702" t="s">
        <v>1627</v>
      </c>
      <c r="P109" s="110" t="str">
        <f>CD109&amp;CE109&amp;CF109&amp;CG109</f>
        <v xml:space="preserve"> * El Total de Pueblos Originarios no puede ser mayor que el Total.  * El Total según Población Migrante no puede ser mayor que el Total. </v>
      </c>
      <c r="AX109" s="110"/>
      <c r="BS109" s="606"/>
      <c r="CD109" s="191" t="str">
        <f>IF(N109&gt;$D109," * El Total de Pueblos Originarios no puede ser mayor que el Total. ","")</f>
        <v xml:space="preserve"> * El Total de Pueblos Originarios no puede ser mayor que el Total. </v>
      </c>
      <c r="CE109" s="191" t="str">
        <f>IF(O109&gt;$D109," * El Total según Población Migrante no puede ser mayor que el Total. ","")</f>
        <v xml:space="preserve"> * El Total según Población Migrante no puede ser mayor que el Total. </v>
      </c>
      <c r="CF109" s="191" t="str">
        <f>IF(AND($D109&lt;&gt;0,N109=""),"* No olvide ingresar el total según Pueblos Originarios. Digite 0 si no tiene. ","")</f>
        <v/>
      </c>
      <c r="CG109" s="191" t="str">
        <f>IF(AND($D109&lt;&gt;0,O109=""),"* No olvide ingresar el total según Migrantes. Digite 0 si no tiene. ","")</f>
        <v/>
      </c>
    </row>
    <row r="110" spans="1:126" ht="15" customHeight="1" x14ac:dyDescent="0.25">
      <c r="A110" s="1589" t="s">
        <v>1091</v>
      </c>
      <c r="B110" s="1843"/>
      <c r="C110" s="79" t="s">
        <v>283</v>
      </c>
      <c r="D110" s="353" t="s">
        <v>1616</v>
      </c>
      <c r="E110" s="354" t="s">
        <v>1617</v>
      </c>
      <c r="F110" s="376" t="s">
        <v>1618</v>
      </c>
      <c r="G110" s="376" t="s">
        <v>1619</v>
      </c>
      <c r="H110" s="376" t="s">
        <v>1620</v>
      </c>
      <c r="I110" s="376" t="s">
        <v>1621</v>
      </c>
      <c r="J110" s="376" t="s">
        <v>1622</v>
      </c>
      <c r="K110" s="355" t="s">
        <v>1623</v>
      </c>
      <c r="L110" s="803" t="s">
        <v>1624</v>
      </c>
      <c r="M110" s="377" t="s">
        <v>1625</v>
      </c>
      <c r="N110" s="702" t="s">
        <v>1626</v>
      </c>
      <c r="O110" s="702" t="s">
        <v>1627</v>
      </c>
      <c r="P110" s="110" t="str">
        <f>CC110&amp;CD110&amp;CE110&amp;CF110&amp;CG110</f>
        <v xml:space="preserve">* Total de Niños y Niñas que han recibido VDI no puede ser mayor que el total Score de Riesgo .  * El Total de Pueblos Originarios no puede ser mayor que el Total.  * El Total según Población Migrante no puede ser mayor que el Total. </v>
      </c>
      <c r="AX110" s="110"/>
      <c r="BS110" s="606"/>
      <c r="BU110" s="172"/>
      <c r="BV110" s="172"/>
      <c r="BW110" s="172"/>
      <c r="CC110" s="191" t="str">
        <f>IF($D110&lt;$M110, "* Total de Niños y Niñas que han recibido VDI no puede ser mayor que el total Score de Riesgo . ","")</f>
        <v xml:space="preserve">* Total de Niños y Niñas que han recibido VDI no puede ser mayor que el total Score de Riesgo . </v>
      </c>
      <c r="CD110" s="191" t="str">
        <f>IF(N110&gt;$D110," * El Total de Pueblos Originarios no puede ser mayor que el Total. ","")</f>
        <v xml:space="preserve"> * El Total de Pueblos Originarios no puede ser mayor que el Total. </v>
      </c>
      <c r="CE110" s="191" t="str">
        <f>IF(O110&gt;$D110," * El Total según Población Migrante no puede ser mayor que el Total. ","")</f>
        <v xml:space="preserve"> * El Total según Población Migrante no puede ser mayor que el Total. </v>
      </c>
      <c r="CF110" s="191" t="str">
        <f>IF(AND($D110&lt;&gt;0,N110=""),"* No olvide ingresar el total según Pueblos Originarios. Digite 0 si no tiene. ","")</f>
        <v/>
      </c>
      <c r="CG110" s="191" t="str">
        <f>IF(AND($D110&lt;&gt;0,O110=""),"* No olvide ingresar el total según Migrantes. Digite 0 si no tiene. ","")</f>
        <v/>
      </c>
      <c r="DR110" s="1047">
        <f t="shared" ref="DR110:DS112" si="72">IF(N109&gt;$D109,1,0)</f>
        <v>1</v>
      </c>
      <c r="DS110" s="1047">
        <f t="shared" si="72"/>
        <v>1</v>
      </c>
      <c r="DT110" s="1047">
        <f>IF(AND($D109&lt;&gt;0,O109=""),1,0)</f>
        <v>0</v>
      </c>
      <c r="DU110" s="1047">
        <f>IF(AND($D109&lt;&gt;0,O109=""),1,0)</f>
        <v>0</v>
      </c>
    </row>
    <row r="111" spans="1:126" ht="15" customHeight="1" x14ac:dyDescent="0.25">
      <c r="A111" s="1589" t="s">
        <v>1092</v>
      </c>
      <c r="B111" s="1843"/>
      <c r="C111" s="80" t="s">
        <v>284</v>
      </c>
      <c r="D111" s="378" t="s">
        <v>1616</v>
      </c>
      <c r="E111" s="328" t="s">
        <v>1617</v>
      </c>
      <c r="F111" s="379" t="s">
        <v>1618</v>
      </c>
      <c r="G111" s="379" t="s">
        <v>1619</v>
      </c>
      <c r="H111" s="379" t="s">
        <v>1620</v>
      </c>
      <c r="I111" s="379" t="s">
        <v>1621</v>
      </c>
      <c r="J111" s="379" t="s">
        <v>1622</v>
      </c>
      <c r="K111" s="329" t="s">
        <v>1623</v>
      </c>
      <c r="L111" s="804" t="s">
        <v>1624</v>
      </c>
      <c r="M111" s="380" t="s">
        <v>1625</v>
      </c>
      <c r="N111" s="705" t="s">
        <v>1626</v>
      </c>
      <c r="O111" s="705" t="s">
        <v>1627</v>
      </c>
      <c r="P111" s="110" t="str">
        <f>CC111&amp;CD111&amp;CE111&amp;CF111&amp;CG111</f>
        <v xml:space="preserve">* Total de Niños y Niñas que han recibido VDI no puede ser mayor que el total Score de Riesgo Grave.  * El Total de Pueblos Originarios no puede ser mayor que el Total.  * El Total según Población Migrante no puede ser mayor que el Total. </v>
      </c>
      <c r="AX111" s="110"/>
      <c r="BS111" s="606"/>
      <c r="BU111" s="172"/>
      <c r="BV111" s="172"/>
      <c r="BW111" s="172"/>
      <c r="CC111" s="191" t="str">
        <f>IF($D111&lt;$M111, "* Total de Niños y Niñas que han recibido VDI no puede ser mayor que el total Score de Riesgo Grave. ","")</f>
        <v xml:space="preserve">* Total de Niños y Niñas que han recibido VDI no puede ser mayor que el total Score de Riesgo Grave. </v>
      </c>
      <c r="CD111" s="191" t="str">
        <f>IF(N111&gt;$D111," * El Total de Pueblos Originarios no puede ser mayor que el Total. ","")</f>
        <v xml:space="preserve"> * El Total de Pueblos Originarios no puede ser mayor que el Total. </v>
      </c>
      <c r="CE111" s="191" t="str">
        <f>IF(O111&gt;$D111," * El Total según Población Migrante no puede ser mayor que el Total. ","")</f>
        <v xml:space="preserve"> * El Total según Población Migrante no puede ser mayor que el Total. </v>
      </c>
      <c r="CF111" s="191" t="str">
        <f>IF(AND($D111&lt;&gt;0,N111=""),"* No olvide ingresar el total según Pueblos Originarios. Digite 0 si no tiene. ","")</f>
        <v/>
      </c>
      <c r="CG111" s="191" t="str">
        <f>IF(AND($D111&lt;&gt;0,O111=""),"* No olvide ingresar el total según Migrantes. Digite 0 si no tiene. ","")</f>
        <v/>
      </c>
      <c r="DQ111" s="1047">
        <f>IF($D110&lt;$M110, 1,0)</f>
        <v>1</v>
      </c>
      <c r="DR111" s="1047">
        <f t="shared" si="72"/>
        <v>1</v>
      </c>
      <c r="DS111" s="1047">
        <f t="shared" si="72"/>
        <v>1</v>
      </c>
      <c r="DT111" s="1047">
        <f>IF(AND($D110&lt;&gt;0,O110=""),1,0)</f>
        <v>0</v>
      </c>
      <c r="DU111" s="1047">
        <f>IF(AND($D110&lt;&gt;0,O110=""),1,0)</f>
        <v>0</v>
      </c>
    </row>
    <row r="112" spans="1:126" ht="15" customHeight="1" x14ac:dyDescent="0.25">
      <c r="A112" s="1578"/>
      <c r="B112" s="1844"/>
      <c r="C112" s="1463" t="s">
        <v>89</v>
      </c>
      <c r="D112" s="314">
        <f>SUM(E112:L112)</f>
        <v>0</v>
      </c>
      <c r="E112" s="1234">
        <f t="shared" ref="E112:L112" si="73">SUM(E109:E111)</f>
        <v>0</v>
      </c>
      <c r="F112" s="1211">
        <f t="shared" si="73"/>
        <v>0</v>
      </c>
      <c r="G112" s="1211">
        <f t="shared" si="73"/>
        <v>0</v>
      </c>
      <c r="H112" s="1211">
        <f t="shared" si="73"/>
        <v>0</v>
      </c>
      <c r="I112" s="1211">
        <f t="shared" si="73"/>
        <v>0</v>
      </c>
      <c r="J112" s="1211">
        <f t="shared" si="73"/>
        <v>0</v>
      </c>
      <c r="K112" s="940">
        <f t="shared" ref="K112" si="74">SUM(K109:K111)</f>
        <v>0</v>
      </c>
      <c r="L112" s="1464">
        <f t="shared" si="73"/>
        <v>0</v>
      </c>
      <c r="M112" s="381">
        <f>SUM(M110:M111)</f>
        <v>0</v>
      </c>
      <c r="N112" s="1455">
        <f>SUM(N109:N111)</f>
        <v>0</v>
      </c>
      <c r="O112" s="1455">
        <f>SUM(O109:O111)</f>
        <v>0</v>
      </c>
      <c r="AX112" s="110"/>
      <c r="BS112" s="606"/>
      <c r="BU112" s="172"/>
      <c r="BV112" s="172"/>
      <c r="BW112" s="172"/>
      <c r="DQ112" s="1047">
        <f>IF($D111&lt;$M111,1,0)</f>
        <v>1</v>
      </c>
      <c r="DR112" s="1047">
        <f t="shared" si="72"/>
        <v>1</v>
      </c>
      <c r="DS112" s="1047">
        <f t="shared" si="72"/>
        <v>1</v>
      </c>
      <c r="DT112" s="1047">
        <f>IF(AND($D111&lt;&gt;0,O111=""),1,0)</f>
        <v>0</v>
      </c>
      <c r="DU112" s="1047">
        <f>IF(AND($D111&lt;&gt;0,O111=""),1,0)</f>
        <v>0</v>
      </c>
    </row>
    <row r="113" spans="1:108" ht="17.100000000000001" customHeight="1" x14ac:dyDescent="0.25">
      <c r="B113" s="1891" t="s">
        <v>285</v>
      </c>
      <c r="C113" s="1891"/>
      <c r="D113" s="1891"/>
      <c r="E113" s="1891"/>
      <c r="F113" s="1891"/>
      <c r="G113" s="1891"/>
      <c r="H113" s="1465"/>
      <c r="I113" s="224"/>
      <c r="J113" s="224"/>
      <c r="BT113" s="81"/>
      <c r="BU113" s="81"/>
      <c r="BV113" s="81"/>
      <c r="CG113" s="81"/>
      <c r="CH113" s="81"/>
      <c r="CI113" s="81"/>
      <c r="CJ113" s="81"/>
      <c r="CK113" s="81"/>
      <c r="CL113" s="81"/>
      <c r="DC113" s="81"/>
      <c r="DD113" s="81"/>
    </row>
    <row r="114" spans="1:108" ht="14.25" customHeight="1" x14ac:dyDescent="0.25">
      <c r="B114" s="1778" t="s">
        <v>286</v>
      </c>
      <c r="C114" s="1758"/>
      <c r="D114" s="1802" t="s">
        <v>49</v>
      </c>
      <c r="E114" s="1375"/>
      <c r="F114" s="71"/>
      <c r="G114" s="71"/>
      <c r="H114" s="72"/>
      <c r="I114" s="72"/>
      <c r="BT114" s="184"/>
      <c r="BU114" s="184"/>
      <c r="BV114" s="184"/>
      <c r="CG114" s="184"/>
      <c r="CH114" s="184"/>
      <c r="CI114" s="184"/>
      <c r="CJ114" s="184"/>
      <c r="CK114" s="184"/>
      <c r="CL114" s="184"/>
      <c r="DC114" s="184"/>
      <c r="DD114" s="184"/>
    </row>
    <row r="115" spans="1:108" ht="12.75" customHeight="1" x14ac:dyDescent="0.25">
      <c r="B115" s="1795"/>
      <c r="C115" s="1760"/>
      <c r="D115" s="1803"/>
      <c r="E115" s="71"/>
      <c r="F115" s="71"/>
      <c r="G115" s="71"/>
      <c r="H115" s="71"/>
      <c r="I115" s="71"/>
    </row>
    <row r="116" spans="1:108" ht="15" customHeight="1" x14ac:dyDescent="0.25">
      <c r="A116" s="1589" t="s">
        <v>1093</v>
      </c>
      <c r="B116" s="1818" t="s">
        <v>287</v>
      </c>
      <c r="C116" s="1819"/>
      <c r="D116" s="382" t="s">
        <v>1616</v>
      </c>
      <c r="F116" s="192"/>
      <c r="G116" s="192"/>
      <c r="H116" s="192"/>
      <c r="I116" s="192"/>
    </row>
    <row r="117" spans="1:108" ht="15" customHeight="1" x14ac:dyDescent="0.25">
      <c r="A117" s="1589" t="s">
        <v>1094</v>
      </c>
      <c r="B117" s="1814" t="s">
        <v>288</v>
      </c>
      <c r="C117" s="1815"/>
      <c r="D117" s="383" t="s">
        <v>1616</v>
      </c>
      <c r="F117" s="192"/>
      <c r="G117" s="192"/>
      <c r="H117" s="192"/>
      <c r="I117" s="192"/>
    </row>
    <row r="118" spans="1:108" ht="17.100000000000001" customHeight="1" x14ac:dyDescent="0.25">
      <c r="B118" s="1890" t="s">
        <v>289</v>
      </c>
      <c r="C118" s="1890"/>
      <c r="D118" s="1890"/>
      <c r="E118" s="685"/>
      <c r="F118" s="685"/>
      <c r="G118" s="685"/>
      <c r="H118" s="685"/>
      <c r="I118" s="222"/>
      <c r="K118" s="222"/>
    </row>
    <row r="119" spans="1:108" ht="15" customHeight="1" x14ac:dyDescent="0.25">
      <c r="B119" s="1810" t="s">
        <v>290</v>
      </c>
      <c r="C119" s="1811"/>
      <c r="D119" s="1808" t="s">
        <v>49</v>
      </c>
      <c r="I119" s="72"/>
    </row>
    <row r="120" spans="1:108" ht="15" customHeight="1" x14ac:dyDescent="0.25">
      <c r="B120" s="1812"/>
      <c r="C120" s="1813"/>
      <c r="D120" s="1809"/>
      <c r="I120" s="71"/>
    </row>
    <row r="121" spans="1:108" ht="15" customHeight="1" x14ac:dyDescent="0.25">
      <c r="A121" s="1589" t="s">
        <v>1095</v>
      </c>
      <c r="B121" s="1804" t="s">
        <v>291</v>
      </c>
      <c r="C121" s="1805"/>
      <c r="D121" s="382" t="s">
        <v>1616</v>
      </c>
    </row>
    <row r="122" spans="1:108" ht="15" customHeight="1" x14ac:dyDescent="0.25">
      <c r="A122" s="1589" t="s">
        <v>1096</v>
      </c>
      <c r="B122" s="1824" t="s">
        <v>292</v>
      </c>
      <c r="C122" s="1825"/>
      <c r="D122" s="684" t="s">
        <v>1616</v>
      </c>
    </row>
    <row r="123" spans="1:108" ht="15" customHeight="1" x14ac:dyDescent="0.25">
      <c r="A123" s="1589" t="s">
        <v>1097</v>
      </c>
      <c r="B123" s="1806" t="s">
        <v>293</v>
      </c>
      <c r="C123" s="1807"/>
      <c r="D123" s="684" t="s">
        <v>1616</v>
      </c>
    </row>
    <row r="124" spans="1:108" ht="15" customHeight="1" x14ac:dyDescent="0.25">
      <c r="A124" s="1589" t="s">
        <v>1098</v>
      </c>
      <c r="B124" s="1806" t="s">
        <v>294</v>
      </c>
      <c r="C124" s="1807"/>
      <c r="D124" s="684" t="s">
        <v>1616</v>
      </c>
    </row>
    <row r="125" spans="1:108" ht="15" customHeight="1" x14ac:dyDescent="0.25">
      <c r="A125" s="1589" t="s">
        <v>1099</v>
      </c>
      <c r="B125" s="1806" t="s">
        <v>295</v>
      </c>
      <c r="C125" s="1807"/>
      <c r="D125" s="751" t="s">
        <v>1616</v>
      </c>
    </row>
    <row r="126" spans="1:108" ht="15" customHeight="1" x14ac:dyDescent="0.25">
      <c r="A126" s="1578"/>
      <c r="B126" s="1820" t="s">
        <v>89</v>
      </c>
      <c r="C126" s="1821"/>
      <c r="D126" s="1466">
        <f>SUM(D121:D125)</f>
        <v>0</v>
      </c>
    </row>
    <row r="127" spans="1:108" ht="17.100000000000001" customHeight="1" x14ac:dyDescent="0.25">
      <c r="B127" s="1889" t="s">
        <v>296</v>
      </c>
      <c r="C127" s="1889"/>
      <c r="D127" s="1889"/>
      <c r="E127" s="1889"/>
      <c r="F127" s="1889"/>
      <c r="G127" s="1889"/>
      <c r="H127" s="1889"/>
      <c r="I127" s="1889"/>
      <c r="J127" s="1889"/>
      <c r="K127" s="1889"/>
      <c r="L127" s="1889"/>
    </row>
    <row r="128" spans="1:108" ht="15" customHeight="1" x14ac:dyDescent="0.25">
      <c r="B128" s="1778" t="s">
        <v>297</v>
      </c>
      <c r="C128" s="1758"/>
      <c r="D128" s="1778" t="s">
        <v>89</v>
      </c>
      <c r="E128" s="1816"/>
      <c r="F128" s="1758"/>
      <c r="G128" s="1881" t="s">
        <v>298</v>
      </c>
      <c r="H128" s="1882"/>
      <c r="I128" s="1882"/>
      <c r="J128" s="1882"/>
      <c r="K128" s="1882"/>
      <c r="L128" s="1883"/>
      <c r="M128" s="1775" t="s">
        <v>299</v>
      </c>
      <c r="AX128" s="110"/>
      <c r="AY128" s="110"/>
      <c r="AZ128" s="110"/>
      <c r="BA128" s="110"/>
      <c r="BB128" s="110"/>
      <c r="BS128" s="606"/>
      <c r="BT128" s="606"/>
      <c r="BU128" s="606"/>
      <c r="BV128" s="606"/>
      <c r="BW128" s="606"/>
    </row>
    <row r="129" spans="1:126" ht="15" customHeight="1" x14ac:dyDescent="0.25">
      <c r="B129" s="1794"/>
      <c r="C129" s="1759"/>
      <c r="D129" s="1795"/>
      <c r="E129" s="1817"/>
      <c r="F129" s="1760"/>
      <c r="G129" s="1755" t="s">
        <v>300</v>
      </c>
      <c r="H129" s="1757"/>
      <c r="I129" s="1884" t="s">
        <v>301</v>
      </c>
      <c r="J129" s="1757"/>
      <c r="K129" s="1884" t="s">
        <v>302</v>
      </c>
      <c r="L129" s="1756"/>
      <c r="M129" s="1773"/>
      <c r="AX129" s="110"/>
      <c r="AY129" s="110"/>
      <c r="AZ129" s="110"/>
      <c r="BA129" s="110"/>
      <c r="BB129" s="110"/>
      <c r="BS129" s="606"/>
      <c r="BT129" s="606"/>
      <c r="BU129" s="606"/>
      <c r="BV129" s="606"/>
      <c r="BW129" s="606"/>
    </row>
    <row r="130" spans="1:126" ht="15" customHeight="1" x14ac:dyDescent="0.25">
      <c r="B130" s="1795"/>
      <c r="C130" s="1760"/>
      <c r="D130" s="1468" t="s">
        <v>89</v>
      </c>
      <c r="E130" s="603" t="s">
        <v>86</v>
      </c>
      <c r="F130" s="697" t="s">
        <v>227</v>
      </c>
      <c r="G130" s="1457" t="s">
        <v>86</v>
      </c>
      <c r="H130" s="1457" t="s">
        <v>227</v>
      </c>
      <c r="I130" s="1457" t="s">
        <v>86</v>
      </c>
      <c r="J130" s="1457" t="s">
        <v>227</v>
      </c>
      <c r="K130" s="980" t="s">
        <v>86</v>
      </c>
      <c r="L130" s="1440" t="s">
        <v>227</v>
      </c>
      <c r="M130" s="1774"/>
      <c r="AX130" s="110"/>
      <c r="AY130" s="110"/>
      <c r="AZ130" s="110"/>
      <c r="BA130" s="110"/>
      <c r="BB130" s="110"/>
      <c r="BS130" s="606"/>
      <c r="BT130" s="606"/>
      <c r="BU130" s="606"/>
      <c r="BV130" s="606"/>
      <c r="BW130" s="606"/>
    </row>
    <row r="131" spans="1:126" ht="15" customHeight="1" x14ac:dyDescent="0.25">
      <c r="A131" s="1589" t="s">
        <v>1100</v>
      </c>
      <c r="B131" s="1784" t="s">
        <v>303</v>
      </c>
      <c r="C131" s="1785"/>
      <c r="D131" s="1140" t="s">
        <v>1616</v>
      </c>
      <c r="E131" s="699" t="s">
        <v>1617</v>
      </c>
      <c r="F131" s="937" t="s">
        <v>1618</v>
      </c>
      <c r="G131" s="322" t="s">
        <v>1619</v>
      </c>
      <c r="H131" s="325" t="s">
        <v>1620</v>
      </c>
      <c r="I131" s="325" t="s">
        <v>1621</v>
      </c>
      <c r="J131" s="375" t="s">
        <v>1622</v>
      </c>
      <c r="K131" s="375" t="s">
        <v>1623</v>
      </c>
      <c r="L131" s="700" t="s">
        <v>1624</v>
      </c>
      <c r="M131" s="700" t="s">
        <v>1625</v>
      </c>
      <c r="N131" s="110" t="e">
        <f>CB131&amp;CC131&amp;CD131&amp;CE131&amp;CF131&amp;CG131&amp;CH131</f>
        <v>#VALUE!</v>
      </c>
      <c r="AX131" s="110"/>
      <c r="AY131" s="110"/>
      <c r="AZ131" s="110"/>
      <c r="BA131" s="110"/>
      <c r="BB131" s="110"/>
      <c r="BS131" s="606"/>
      <c r="BT131" s="606"/>
      <c r="BU131" s="606"/>
      <c r="BV131" s="606"/>
      <c r="BW131" s="606"/>
      <c r="BY131" s="172"/>
      <c r="BZ131" s="172"/>
      <c r="CA131" s="172"/>
      <c r="CB131" s="191" t="e">
        <f>IF(SUM($G131)&lt;=SUM($AC$12+$AE$12),"","* Hombres de 36 a 47 meses debe ser menor o igual al Total de la población de Hombres bajo control de en sección A misma edad. ")</f>
        <v>#VALUE!</v>
      </c>
      <c r="CC131" s="191" t="e">
        <f>IF(SUM($H131)&lt;=SUM($AD$12+$AF$12),"","* Mujeres de 36 a 47 meses debe ser menor o igual al Total de la población de Mujeres bajo control de en sección A misma edad. ")</f>
        <v>#VALUE!</v>
      </c>
      <c r="CD131" s="191" t="str">
        <f>IF(SUM(I131)&lt;=SUM(AG12,G45),"","* Hombres de 48 a 71 meses clasificados debe ser menor o igual al Total de la población de Hombres bajo control de en sección A y A1 de la misma edad. ")</f>
        <v/>
      </c>
      <c r="CE131" s="191" t="str">
        <f>IF(SUM(J131)&lt;=SUM(AH12,H45),"","* Mujeres de 48 a 71 meses clasificados debe ser menor o igual al Total de la población de Mujeres bajo control de en sección A y A1 de la misma edad. ")</f>
        <v/>
      </c>
      <c r="CF131" s="191" t="e">
        <f>IF(SUM(K131)&lt;=SUM(I45+K45+M45+O45),"","* Hombres de 6 a 9 años clasificados debe ser menor o igual al Total de la población de Hombres bajo control de en sección A1 misma edad ")</f>
        <v>#VALUE!</v>
      </c>
      <c r="CG131" s="191" t="e">
        <f>IF(SUM(L131)&lt;=SUM(J45+L45+N45+P45),"","* Mujeres de 6 a 9 años clasificados debe ser menor o igual al Total de la población de Mujeres bajo control de en sección A1 misma edad ")</f>
        <v>#VALUE!</v>
      </c>
      <c r="CH131" s="191" t="str">
        <f>IF(AND(D131&gt;0,OR(M131=""))," * No olvide digitar la variable Derivación Nivel Secundario. Digite Cero si no tiene.",IF(M131&gt;D131," * La variable Derivación Nivel Secundario no puede ser Mayor al Total.",""))</f>
        <v xml:space="preserve"> * La variable Derivación Nivel Secundario no puede ser Mayor al Total.</v>
      </c>
      <c r="CM131" s="108"/>
      <c r="CN131" s="108"/>
      <c r="DQ131" s="1047" t="e">
        <f>IF(SUM(G131)&lt;=SUM(AC$12+AE$12),0,1)</f>
        <v>#VALUE!</v>
      </c>
      <c r="DR131" s="1047" t="e">
        <f>IF(SUM($H$131)&lt;=SUM(AD$12+AF$12),0,1)</f>
        <v>#VALUE!</v>
      </c>
      <c r="DS131" s="1047">
        <f>IF(SUM($I131)&lt;=SUM($AG$12,$G$45),0,1)</f>
        <v>0</v>
      </c>
      <c r="DT131" s="1047">
        <f>IF(SUM($J131)&lt;=SUM($AH$12,$H$45),0,1)</f>
        <v>0</v>
      </c>
      <c r="DU131" s="1047" t="e">
        <f>IF(SUM($K131)&lt;=SUM($I$45+K45+M45+$O$45),0,1)</f>
        <v>#VALUE!</v>
      </c>
      <c r="DV131" s="1047" t="e">
        <f>IF(SUM($L131)&lt;=SUM($J$45+L45+N45+$P$45),0,1)</f>
        <v>#VALUE!</v>
      </c>
    </row>
    <row r="132" spans="1:126" ht="15" customHeight="1" x14ac:dyDescent="0.25">
      <c r="A132" s="1589" t="s">
        <v>1101</v>
      </c>
      <c r="B132" s="1800" t="s">
        <v>304</v>
      </c>
      <c r="C132" s="1801"/>
      <c r="D132" s="1139" t="s">
        <v>1616</v>
      </c>
      <c r="E132" s="701" t="s">
        <v>1617</v>
      </c>
      <c r="F132" s="938" t="s">
        <v>1618</v>
      </c>
      <c r="G132" s="354" t="s">
        <v>1619</v>
      </c>
      <c r="H132" s="357" t="s">
        <v>1620</v>
      </c>
      <c r="I132" s="357" t="s">
        <v>1621</v>
      </c>
      <c r="J132" s="376" t="s">
        <v>1622</v>
      </c>
      <c r="K132" s="376" t="s">
        <v>1623</v>
      </c>
      <c r="L132" s="702" t="s">
        <v>1624</v>
      </c>
      <c r="M132" s="702" t="s">
        <v>1625</v>
      </c>
      <c r="N132" s="110" t="e">
        <f t="shared" ref="N132:N134" si="75">CB132&amp;CC132&amp;CD132&amp;CE132&amp;CF132&amp;CG132&amp;CH132</f>
        <v>#VALUE!</v>
      </c>
      <c r="AX132" s="110"/>
      <c r="AY132" s="110"/>
      <c r="AZ132" s="110"/>
      <c r="BA132" s="110"/>
      <c r="BB132" s="110"/>
      <c r="BS132" s="606"/>
      <c r="BT132" s="606"/>
      <c r="BU132" s="606"/>
      <c r="BV132" s="606"/>
      <c r="BW132" s="606"/>
      <c r="BY132" s="172"/>
      <c r="BZ132" s="172"/>
      <c r="CA132" s="172"/>
      <c r="CB132" s="191" t="e">
        <f t="shared" ref="CB132:CB134" si="76">IF(SUM($G132)&lt;=SUM($AC$12+$AE$12),"","* Hombres de 36 a 47 meses debe ser menor o igual al Total de la población de Hombres bajo control de en sección A misma edad. ")</f>
        <v>#VALUE!</v>
      </c>
      <c r="CC132" s="191" t="e">
        <f t="shared" ref="CC132:CC134" si="77">IF(SUM($H132)&lt;=SUM($AD$12+$AF$12),"","* Mujeres de 36 a 47 meses debe ser menor o igual al Total de la población de Mujeres bajo control de en sección A misma edad. ")</f>
        <v>#VALUE!</v>
      </c>
      <c r="CD132" s="191" t="str">
        <f t="shared" ref="CD132:CD134" si="78">IF(SUM(I132)&lt;=SUM(AG13,G46),"","* Hombres de 48 a 71 meses clasificados debe ser menor o igual al Total de la población de Hombres bajo control de en sección A y A1 de la misma edad. ")</f>
        <v/>
      </c>
      <c r="CE132" s="191" t="str">
        <f t="shared" ref="CE132:CE134" si="79">IF(SUM(J132)&lt;=SUM(AH13,H46),"","* Mujeres de 48 a 71 meses clasificados debe ser menor o igual al Total de la población de Mujeres bajo control de en sección A y A1 de la misma edad. ")</f>
        <v/>
      </c>
      <c r="CF132" s="191" t="e">
        <f t="shared" ref="CF132:CF133" si="80">IF(SUM(K132)&lt;=SUM(I46+K46+M46+O46),"","* Hombres de 6 a 9 años clasificados debe ser menor o igual al Total de la población de Hombres bajo control de en sección A1 misma edad ")</f>
        <v>#VALUE!</v>
      </c>
      <c r="CG132" s="191" t="e">
        <f t="shared" ref="CG132:CG134" si="81">IF(SUM(L132)&lt;=SUM(J46+L46+N46+P46),"","* Mujeres de 6 a 9 años clasificados debe ser menor o igual al Total de la población de Mujeres bajo control de en sección A1 misma edad ")</f>
        <v>#VALUE!</v>
      </c>
      <c r="CH132" s="191" t="str">
        <f t="shared" ref="CH132:CH134" si="82">IF(AND(D132&gt;0,OR(M132=""))," * No olvide digitar la variable Derivación Nivel Secundario. Digite Cero si no tiene.",IF(M132&gt;D132," * La variable Derivación Nivel Secundario no puede ser Mayor al Total.",""))</f>
        <v xml:space="preserve"> * La variable Derivación Nivel Secundario no puede ser Mayor al Total.</v>
      </c>
      <c r="DQ132" s="1047" t="e">
        <f t="shared" ref="DQ132:DQ134" si="83">IF(SUM(G132)&lt;=SUM(AC$12+AE$12),0,1)</f>
        <v>#VALUE!</v>
      </c>
      <c r="DR132" s="1047" t="e">
        <f t="shared" ref="DR132:DR134" si="84">IF(SUM($H$131)&lt;=SUM(AD$12+AF$12),0,1)</f>
        <v>#VALUE!</v>
      </c>
      <c r="DS132" s="1047">
        <f t="shared" ref="DS132:DS134" si="85">IF(SUM($I132)&lt;=SUM($AG$12,$G$45),0,1)</f>
        <v>0</v>
      </c>
      <c r="DT132" s="1047">
        <f t="shared" ref="DT132:DT133" si="86">IF(SUM($J132)&lt;=SUM($AH$12,$H$45),0,1)</f>
        <v>0</v>
      </c>
      <c r="DU132" s="1047" t="e">
        <f t="shared" ref="DU132:DU134" si="87">IF(SUM($K132)&lt;=SUM($I$45+K46+M46+$O$45),0,1)</f>
        <v>#VALUE!</v>
      </c>
      <c r="DV132" s="1047" t="e">
        <f t="shared" ref="DV132:DV134" si="88">IF(SUM($L132)&lt;=SUM($J$45+L46+N46+$P$45),0,1)</f>
        <v>#VALUE!</v>
      </c>
    </row>
    <row r="133" spans="1:126" ht="15" customHeight="1" x14ac:dyDescent="0.25">
      <c r="A133" s="1589" t="s">
        <v>1102</v>
      </c>
      <c r="B133" s="1800" t="s">
        <v>305</v>
      </c>
      <c r="C133" s="1801"/>
      <c r="D133" s="1139" t="s">
        <v>1616</v>
      </c>
      <c r="E133" s="701" t="s">
        <v>1617</v>
      </c>
      <c r="F133" s="938" t="s">
        <v>1618</v>
      </c>
      <c r="G133" s="354" t="s">
        <v>1619</v>
      </c>
      <c r="H133" s="357" t="s">
        <v>1620</v>
      </c>
      <c r="I133" s="357" t="s">
        <v>1621</v>
      </c>
      <c r="J133" s="376" t="s">
        <v>1622</v>
      </c>
      <c r="K133" s="376" t="s">
        <v>1623</v>
      </c>
      <c r="L133" s="702" t="s">
        <v>1624</v>
      </c>
      <c r="M133" s="702" t="s">
        <v>1625</v>
      </c>
      <c r="N133" s="110" t="e">
        <f t="shared" si="75"/>
        <v>#VALUE!</v>
      </c>
      <c r="AX133" s="110"/>
      <c r="AY133" s="110"/>
      <c r="AZ133" s="110"/>
      <c r="BA133" s="110"/>
      <c r="BB133" s="110"/>
      <c r="BS133" s="606"/>
      <c r="BT133" s="606"/>
      <c r="BU133" s="606"/>
      <c r="BV133" s="606"/>
      <c r="BW133" s="606"/>
      <c r="BY133" s="172"/>
      <c r="BZ133" s="172"/>
      <c r="CA133" s="172"/>
      <c r="CB133" s="191" t="e">
        <f t="shared" si="76"/>
        <v>#VALUE!</v>
      </c>
      <c r="CC133" s="191" t="e">
        <f t="shared" si="77"/>
        <v>#VALUE!</v>
      </c>
      <c r="CD133" s="191" t="str">
        <f t="shared" si="78"/>
        <v/>
      </c>
      <c r="CE133" s="191" t="str">
        <f t="shared" si="79"/>
        <v/>
      </c>
      <c r="CF133" s="191" t="e">
        <f t="shared" si="80"/>
        <v>#VALUE!</v>
      </c>
      <c r="CG133" s="191" t="e">
        <f t="shared" si="81"/>
        <v>#VALUE!</v>
      </c>
      <c r="CH133" s="191" t="str">
        <f t="shared" si="82"/>
        <v xml:space="preserve"> * La variable Derivación Nivel Secundario no puede ser Mayor al Total.</v>
      </c>
      <c r="DQ133" s="1047" t="e">
        <f t="shared" si="83"/>
        <v>#VALUE!</v>
      </c>
      <c r="DR133" s="1047" t="e">
        <f t="shared" si="84"/>
        <v>#VALUE!</v>
      </c>
      <c r="DS133" s="1047">
        <f t="shared" si="85"/>
        <v>0</v>
      </c>
      <c r="DT133" s="1047">
        <f t="shared" si="86"/>
        <v>0</v>
      </c>
      <c r="DU133" s="1047" t="e">
        <f t="shared" si="87"/>
        <v>#VALUE!</v>
      </c>
      <c r="DV133" s="1047" t="e">
        <f t="shared" si="88"/>
        <v>#VALUE!</v>
      </c>
    </row>
    <row r="134" spans="1:126" ht="15" customHeight="1" x14ac:dyDescent="0.25">
      <c r="A134" s="1589" t="s">
        <v>1103</v>
      </c>
      <c r="B134" s="1788" t="s">
        <v>306</v>
      </c>
      <c r="C134" s="1789"/>
      <c r="D134" s="1141" t="s">
        <v>1616</v>
      </c>
      <c r="E134" s="703" t="s">
        <v>1617</v>
      </c>
      <c r="F134" s="939" t="s">
        <v>1618</v>
      </c>
      <c r="G134" s="328" t="s">
        <v>1619</v>
      </c>
      <c r="H134" s="331" t="s">
        <v>1620</v>
      </c>
      <c r="I134" s="331" t="s">
        <v>1621</v>
      </c>
      <c r="J134" s="379" t="s">
        <v>1622</v>
      </c>
      <c r="K134" s="379" t="s">
        <v>1623</v>
      </c>
      <c r="L134" s="705" t="s">
        <v>1624</v>
      </c>
      <c r="M134" s="705" t="s">
        <v>1625</v>
      </c>
      <c r="N134" s="110" t="e">
        <f t="shared" si="75"/>
        <v>#VALUE!</v>
      </c>
      <c r="AX134" s="110"/>
      <c r="AY134" s="110"/>
      <c r="AZ134" s="110"/>
      <c r="BA134" s="110"/>
      <c r="BB134" s="110"/>
      <c r="BS134" s="606"/>
      <c r="BT134" s="606"/>
      <c r="BU134" s="606"/>
      <c r="BV134" s="606"/>
      <c r="BW134" s="606"/>
      <c r="BY134" s="172"/>
      <c r="BZ134" s="172"/>
      <c r="CA134" s="172"/>
      <c r="CB134" s="191" t="e">
        <f t="shared" si="76"/>
        <v>#VALUE!</v>
      </c>
      <c r="CC134" s="191" t="e">
        <f t="shared" si="77"/>
        <v>#VALUE!</v>
      </c>
      <c r="CD134" s="191" t="str">
        <f t="shared" si="78"/>
        <v/>
      </c>
      <c r="CE134" s="191" t="str">
        <f t="shared" si="79"/>
        <v/>
      </c>
      <c r="CF134" s="191" t="e">
        <f>IF(SUM(K134)&lt;=SUM(I48+K48+M48+O48),"","* Hombres de 6 a 9 años clasificados debe ser menor o igual al Total de la población de Hombres bajo control de en sección A1 misma edad ")</f>
        <v>#VALUE!</v>
      </c>
      <c r="CG134" s="191" t="e">
        <f t="shared" si="81"/>
        <v>#VALUE!</v>
      </c>
      <c r="CH134" s="191" t="str">
        <f t="shared" si="82"/>
        <v xml:space="preserve"> * La variable Derivación Nivel Secundario no puede ser Mayor al Total.</v>
      </c>
      <c r="DQ134" s="1047" t="e">
        <f t="shared" si="83"/>
        <v>#VALUE!</v>
      </c>
      <c r="DR134" s="1047" t="e">
        <f t="shared" si="84"/>
        <v>#VALUE!</v>
      </c>
      <c r="DS134" s="1047">
        <f t="shared" si="85"/>
        <v>0</v>
      </c>
      <c r="DT134" s="1047">
        <f>IF(SUM($J134)&lt;=SUM($AH$12,$H$45),0,1)</f>
        <v>0</v>
      </c>
      <c r="DU134" s="1047" t="e">
        <f t="shared" si="87"/>
        <v>#VALUE!</v>
      </c>
      <c r="DV134" s="1047" t="e">
        <f t="shared" si="88"/>
        <v>#VALUE!</v>
      </c>
    </row>
    <row r="135" spans="1:126" ht="15" customHeight="1" x14ac:dyDescent="0.25">
      <c r="A135" s="1591"/>
      <c r="B135" s="1822" t="s">
        <v>89</v>
      </c>
      <c r="C135" s="1823"/>
      <c r="D135" s="1469">
        <f>SUM(E135:F135)</f>
        <v>0</v>
      </c>
      <c r="E135" s="1470">
        <f>+G135+I135+K135</f>
        <v>0</v>
      </c>
      <c r="F135" s="1455">
        <f>+H135+J135+L135</f>
        <v>0</v>
      </c>
      <c r="G135" s="1234">
        <f>SUM(G131:G134)</f>
        <v>0</v>
      </c>
      <c r="H135" s="1445">
        <f>SUM(H131:H134)</f>
        <v>0</v>
      </c>
      <c r="I135" s="1445">
        <f t="shared" ref="I135:K135" si="89">SUM(I131:I134)</f>
        <v>0</v>
      </c>
      <c r="J135" s="1211">
        <f t="shared" si="89"/>
        <v>0</v>
      </c>
      <c r="K135" s="1211">
        <f t="shared" si="89"/>
        <v>0</v>
      </c>
      <c r="L135" s="1455">
        <f>SUM(L131:L134)</f>
        <v>0</v>
      </c>
      <c r="M135" s="1455">
        <f>SUM(M131:M134)</f>
        <v>0</v>
      </c>
      <c r="AX135" s="110"/>
      <c r="AY135" s="110"/>
      <c r="AZ135" s="110"/>
      <c r="BA135" s="110"/>
      <c r="BB135" s="110"/>
      <c r="BS135" s="606"/>
      <c r="BT135" s="606"/>
      <c r="BU135" s="606"/>
      <c r="BV135" s="606"/>
      <c r="BW135" s="606"/>
      <c r="BY135" s="172"/>
      <c r="BZ135" s="172"/>
      <c r="CA135" s="172"/>
      <c r="CI135" s="34"/>
      <c r="CK135" s="34"/>
      <c r="CL135" s="34"/>
    </row>
    <row r="136" spans="1:126" ht="17.100000000000001" customHeight="1" x14ac:dyDescent="0.25">
      <c r="B136" s="1888" t="s">
        <v>307</v>
      </c>
      <c r="C136" s="1888"/>
      <c r="D136" s="1888"/>
      <c r="E136" s="1888"/>
      <c r="F136" s="1888"/>
      <c r="G136" s="1888"/>
      <c r="H136" s="1888"/>
      <c r="I136" s="1888"/>
      <c r="J136" s="1888"/>
      <c r="AX136" s="110"/>
      <c r="BS136" s="606"/>
      <c r="BU136" s="172"/>
      <c r="BV136" s="172"/>
      <c r="BW136" s="172"/>
    </row>
    <row r="137" spans="1:126" ht="15" customHeight="1" x14ac:dyDescent="0.25">
      <c r="B137" s="1778" t="s">
        <v>277</v>
      </c>
      <c r="C137" s="1758"/>
      <c r="D137" s="1802" t="s">
        <v>49</v>
      </c>
      <c r="E137" s="1881" t="s">
        <v>298</v>
      </c>
      <c r="F137" s="1882"/>
      <c r="G137" s="1882"/>
      <c r="H137" s="1882"/>
      <c r="I137" s="1882"/>
      <c r="J137" s="1883"/>
      <c r="BT137" s="172"/>
      <c r="BU137" s="172"/>
      <c r="BV137" s="172"/>
    </row>
    <row r="138" spans="1:126" ht="22.15" customHeight="1" x14ac:dyDescent="0.25">
      <c r="B138" s="1795"/>
      <c r="C138" s="1760"/>
      <c r="D138" s="1803"/>
      <c r="E138" s="1241" t="s">
        <v>308</v>
      </c>
      <c r="F138" s="1242" t="s">
        <v>309</v>
      </c>
      <c r="G138" s="1242" t="s">
        <v>222</v>
      </c>
      <c r="H138" s="1242" t="s">
        <v>300</v>
      </c>
      <c r="I138" s="1242" t="s">
        <v>225</v>
      </c>
      <c r="J138" s="1243" t="s">
        <v>310</v>
      </c>
      <c r="BT138" s="172"/>
      <c r="BU138" s="172"/>
      <c r="BV138" s="172"/>
    </row>
    <row r="139" spans="1:126" ht="15" customHeight="1" x14ac:dyDescent="0.25">
      <c r="A139" s="1589" t="s">
        <v>1104</v>
      </c>
      <c r="B139" s="1784" t="s">
        <v>311</v>
      </c>
      <c r="C139" s="1785"/>
      <c r="D139" s="321" t="s">
        <v>1616</v>
      </c>
      <c r="E139" s="322" t="s">
        <v>1617</v>
      </c>
      <c r="F139" s="375" t="s">
        <v>1618</v>
      </c>
      <c r="G139" s="375" t="s">
        <v>1619</v>
      </c>
      <c r="H139" s="375" t="s">
        <v>1620</v>
      </c>
      <c r="I139" s="375" t="s">
        <v>1621</v>
      </c>
      <c r="J139" s="323" t="s">
        <v>1622</v>
      </c>
      <c r="K139" s="110" t="str">
        <f xml:space="preserve"> CB139 &amp; CC139 &amp; CD139 &amp; CE139 &amp; CF139 &amp; CG139</f>
        <v xml:space="preserve">* Niños(as) de 4 a 11 ms clasificados debe ser menor o igual al Total niños diagnostidos en NORMAL sección A misma edad. * Niños(as) de 12 a 23 ms clasificados debe ser menor o igual al Total niños diagnosticados en NORMAL en sección A misma edad. * Niños(as) de 24 a 35 ms clasificados debe ser menor o igual al Total niños diagnosticados en NORMAL en sección A misma edad. * Niños(as) de 36 a 47 ms clasificados Sin Riesgo debe ser menor o igual a la suma de Diagnostico Nutricional Integrado: Normal de sección A, mismos Grupos de edad. * Niños(as) de 48 a 59 ms clasificados debe ser menor o igual al Total niños diagnosticados en NORMAL en sección A misma edad. * Niños(as) de 60 a 71 ms clasificados debe ser menor o igual al Total niños diagnosticados en NORMAL en sección A1 misma edad. </v>
      </c>
      <c r="BT139" s="172"/>
      <c r="BU139" s="172"/>
      <c r="BV139" s="172"/>
      <c r="CB139" s="191" t="str">
        <f>IF($E139&lt;=SUM($O$36:$V$36),"","* Niños(as) de 4 a 11 ms clasificados debe ser menor o igual al Total niños diagnostidos en NORMAL sección A misma edad. ")</f>
        <v xml:space="preserve">* Niños(as) de 4 a 11 ms clasificados debe ser menor o igual al Total niños diagnostidos en NORMAL sección A misma edad. </v>
      </c>
      <c r="CC139" s="191" t="str">
        <f>IF($F139&lt;=SUM($W$36:$Z$36),"","* Niños(as) de 12 a 23 ms clasificados debe ser menor o igual al Total niños diagnosticados en NORMAL en sección A misma edad. ")</f>
        <v xml:space="preserve">* Niños(as) de 12 a 23 ms clasificados debe ser menor o igual al Total niños diagnosticados en NORMAL en sección A misma edad. </v>
      </c>
      <c r="CD139" s="191" t="str">
        <f>IF($G139&lt;=SUM($AA$36:$AB$36),"","* Niños(as) de 24 a 35 ms clasificados debe ser menor o igual al Total niños diagnosticados en NORMAL en sección A misma edad. ")</f>
        <v xml:space="preserve">* Niños(as) de 24 a 35 ms clasificados debe ser menor o igual al Total niños diagnosticados en NORMAL en sección A misma edad. </v>
      </c>
      <c r="CE139" s="191" t="str">
        <f>IF($H139&lt;=SUM($AC$36:$AF$36),"","* Niños(as) de 36 a 47 ms clasificados Sin Riesgo debe ser menor o igual a la suma de Diagnostico Nutricional Integrado: Normal de sección A, mismos Grupos de edad. ")</f>
        <v xml:space="preserve">* Niños(as) de 36 a 47 ms clasificados Sin Riesgo debe ser menor o igual a la suma de Diagnostico Nutricional Integrado: Normal de sección A, mismos Grupos de edad. </v>
      </c>
      <c r="CF139" s="191" t="str">
        <f>IF($I139&lt;=SUM($AG$36:$AH$36),"","* Niños(as) de 48 a 59 ms clasificados debe ser menor o igual al Total niños diagnosticados en NORMAL en sección A misma edad. ")</f>
        <v xml:space="preserve">* Niños(as) de 48 a 59 ms clasificados debe ser menor o igual al Total niños diagnosticados en NORMAL en sección A misma edad. </v>
      </c>
      <c r="CG139" s="191" t="str">
        <f>IF($J139&lt;=SUM($G$70:$H$70),"","* Niños(as) de 60 a 71 ms clasificados debe ser menor o igual al Total niños diagnosticados en NORMAL en sección A1 misma edad. ")</f>
        <v xml:space="preserve">* Niños(as) de 60 a 71 ms clasificados debe ser menor o igual al Total niños diagnosticados en NORMAL en sección A1 misma edad. </v>
      </c>
      <c r="DQ139" s="1047">
        <f>IF($E139&lt;=SUM($O$36:$V$36),0,1)</f>
        <v>1</v>
      </c>
      <c r="DR139" s="1047">
        <f>IF($F139&lt;=SUM($W$36:$Z$36),0,1)</f>
        <v>1</v>
      </c>
      <c r="DS139" s="1047">
        <f>IF($G139&lt;=SUM($AA$36:$AB$36),0,1)</f>
        <v>1</v>
      </c>
      <c r="DT139" s="1047">
        <f>IF($H139&lt;=SUM($AC$36:$AD$36),0,1)</f>
        <v>1</v>
      </c>
      <c r="DU139" s="1047">
        <f>IF($I139&lt;=SUM($AG$36:$AH$36),0,1)</f>
        <v>1</v>
      </c>
      <c r="DV139" s="1047">
        <f>IF($J139&lt;=SUM($G$70:$H$70),0,1)</f>
        <v>1</v>
      </c>
    </row>
    <row r="140" spans="1:126" ht="15" customHeight="1" x14ac:dyDescent="0.25">
      <c r="A140" s="1589" t="s">
        <v>1105</v>
      </c>
      <c r="B140" s="1788" t="s">
        <v>312</v>
      </c>
      <c r="C140" s="1789"/>
      <c r="D140" s="378" t="s">
        <v>1616</v>
      </c>
      <c r="E140" s="328" t="s">
        <v>1617</v>
      </c>
      <c r="F140" s="379" t="s">
        <v>1618</v>
      </c>
      <c r="G140" s="379" t="s">
        <v>1619</v>
      </c>
      <c r="H140" s="379" t="s">
        <v>1620</v>
      </c>
      <c r="I140" s="379" t="s">
        <v>1621</v>
      </c>
      <c r="J140" s="329" t="s">
        <v>1622</v>
      </c>
      <c r="K140" s="110" t="str">
        <f xml:space="preserve"> CB140 &amp; CC140 &amp; CD140 &amp; CE140 &amp; CF140 &amp; CG140</f>
        <v xml:space="preserve">* Niños(as) de 4 a 11 ms clasificados debe ser menor o igual al Total niños diagnostidos en NORMAL sección A misma edad. * Niños(as) de 12 a 23 ms clasificados debe ser menor o igual al Total niños diagnosticados en NORMAL en sección A misma edad. * Niños(as) de 24 a 35 ms clasificados debe ser menor o igual al Total niños diagnosticados en NORMAL en sección A misma edad. * Niños(as) de 36 a 47 ms. clasificados Con Riesgo debe ser menor o igual a la suma de Diagnostico Nutricional Integrado: Riesgo de denutrir de sección A, mismos Grupos de edad. * Niños(as) de 48 a 59 ms clasificados debe ser menor o igual al Total niños diagnosticados en NORMAL en sección A misma edad. * Niños(as) de 60 a 71 ms clasificados debe ser menor o igual al Total niños diagnosticados en NORMAL en sección A1 misma edad. </v>
      </c>
      <c r="BT140" s="172"/>
      <c r="BU140" s="172"/>
      <c r="BV140" s="172"/>
      <c r="CB140" s="191" t="str">
        <f>IF($E140&lt;=SUM($O$36:$V$36),"","* Niños(as) de 4 a 11 ms clasificados debe ser menor o igual al Total niños diagnostidos en NORMAL sección A misma edad. ")</f>
        <v xml:space="preserve">* Niños(as) de 4 a 11 ms clasificados debe ser menor o igual al Total niños diagnostidos en NORMAL sección A misma edad. </v>
      </c>
      <c r="CC140" s="191" t="str">
        <f>IF($F140&lt;=SUM($W$36:$Z$36),"","* Niños(as) de 12 a 23 ms clasificados debe ser menor o igual al Total niños diagnosticados en NORMAL en sección A misma edad. ")</f>
        <v xml:space="preserve">* Niños(as) de 12 a 23 ms clasificados debe ser menor o igual al Total niños diagnosticados en NORMAL en sección A misma edad. </v>
      </c>
      <c r="CD140" s="191" t="str">
        <f>IF($G140&lt;=SUM($AA$36:$AB$36),"","* Niños(as) de 24 a 35 ms clasificados debe ser menor o igual al Total niños diagnosticados en NORMAL en sección A misma edad. ")</f>
        <v xml:space="preserve">* Niños(as) de 24 a 35 ms clasificados debe ser menor o igual al Total niños diagnosticados en NORMAL en sección A misma edad. </v>
      </c>
      <c r="CE140" s="191" t="str">
        <f>IF($H140&lt;=SUM($AC$32:$AF$32),"","* Niños(as) de 36 a 47 ms. clasificados Con Riesgo debe ser menor o igual a la suma de Diagnostico Nutricional Integrado: Riesgo de denutrir de sección A, mismos Grupos de edad. ")</f>
        <v xml:space="preserve">* Niños(as) de 36 a 47 ms. clasificados Con Riesgo debe ser menor o igual a la suma de Diagnostico Nutricional Integrado: Riesgo de denutrir de sección A, mismos Grupos de edad. </v>
      </c>
      <c r="CF140" s="191" t="str">
        <f>IF($I140&lt;=SUM($AG$36:$AH$36),"","* Niños(as) de 48 a 59 ms clasificados debe ser menor o igual al Total niños diagnosticados en NORMAL en sección A misma edad. ")</f>
        <v xml:space="preserve">* Niños(as) de 48 a 59 ms clasificados debe ser menor o igual al Total niños diagnosticados en NORMAL en sección A misma edad. </v>
      </c>
      <c r="CG140" s="191" t="str">
        <f>IF($J140&lt;=SUM($G$70:$H$70),"","* Niños(as) de 60 a 71 ms clasificados debe ser menor o igual al Total niños diagnosticados en NORMAL en sección A1 misma edad. ")</f>
        <v xml:space="preserve">* Niños(as) de 60 a 71 ms clasificados debe ser menor o igual al Total niños diagnosticados en NORMAL en sección A1 misma edad. </v>
      </c>
      <c r="DQ140" s="1047">
        <f t="shared" ref="DQ140" si="90">IF($E140&lt;=SUM($O$36:$V$36),0,1)</f>
        <v>1</v>
      </c>
      <c r="DR140" s="1047">
        <f>IF($F140&lt;=SUM($W$36:$Z$36),0,1)</f>
        <v>1</v>
      </c>
      <c r="DS140" s="1047">
        <f>IF($G140&lt;=SUM($AA$36:$AB$36),0,1)</f>
        <v>1</v>
      </c>
      <c r="DT140" s="1047">
        <f>IF($H140&lt;=SUM($AC$36:$AD$36),0,1)</f>
        <v>1</v>
      </c>
      <c r="DU140" s="1047">
        <f>IF($I140&lt;=SUM($AG$36:$AH$36),0,1)</f>
        <v>1</v>
      </c>
      <c r="DV140" s="1047">
        <f>IF($J140&lt;=SUM($G$70:$H$70),0,1)</f>
        <v>1</v>
      </c>
    </row>
    <row r="141" spans="1:126" ht="15" customHeight="1" x14ac:dyDescent="0.25">
      <c r="A141" s="1592"/>
      <c r="B141" s="1822" t="s">
        <v>89</v>
      </c>
      <c r="C141" s="1823"/>
      <c r="D141" s="1444">
        <f>SUM(E141:J141)</f>
        <v>0</v>
      </c>
      <c r="E141" s="1234">
        <f t="shared" ref="E141:J141" si="91">SUM(E139:E140)</f>
        <v>0</v>
      </c>
      <c r="F141" s="1211">
        <f t="shared" si="91"/>
        <v>0</v>
      </c>
      <c r="G141" s="1211">
        <f t="shared" si="91"/>
        <v>0</v>
      </c>
      <c r="H141" s="1445">
        <f t="shared" si="91"/>
        <v>0</v>
      </c>
      <c r="I141" s="1211">
        <f t="shared" si="91"/>
        <v>0</v>
      </c>
      <c r="J141" s="940">
        <f t="shared" si="91"/>
        <v>0</v>
      </c>
      <c r="K141" s="110" t="str">
        <f xml:space="preserve"> CF141 &amp; CG141 &amp; CH141 &amp; CI141 &amp; CK141 &amp; CL141</f>
        <v/>
      </c>
      <c r="BT141" s="172"/>
      <c r="BU141" s="172"/>
      <c r="BV141" s="172"/>
      <c r="CM141" s="108"/>
    </row>
    <row r="142" spans="1:126" ht="17.100000000000001" customHeight="1" x14ac:dyDescent="0.25">
      <c r="B142" s="1887" t="s">
        <v>313</v>
      </c>
      <c r="C142" s="1887"/>
      <c r="D142" s="1887"/>
      <c r="E142" s="1887"/>
      <c r="F142" s="1887"/>
      <c r="G142" s="1887"/>
      <c r="H142" s="1887"/>
      <c r="I142" s="1887"/>
      <c r="J142" s="1887"/>
      <c r="K142" s="1887"/>
      <c r="L142" s="1887"/>
      <c r="M142" s="1887"/>
      <c r="N142" s="1887"/>
      <c r="O142" s="1887"/>
      <c r="P142" s="1887"/>
      <c r="Q142" s="1887"/>
      <c r="R142" s="1887"/>
      <c r="S142" s="1887"/>
      <c r="T142" s="1887"/>
      <c r="U142" s="1887"/>
      <c r="V142" s="1887"/>
      <c r="W142" s="1887"/>
      <c r="X142" s="1887"/>
      <c r="Y142" s="1887"/>
      <c r="Z142" s="1887"/>
      <c r="AA142" s="1887"/>
      <c r="AB142" s="1887"/>
      <c r="AC142" s="1887"/>
      <c r="AD142" s="1887"/>
      <c r="AE142" s="1887"/>
      <c r="AF142" s="1887"/>
      <c r="AG142" s="1887"/>
      <c r="AH142" s="1887"/>
      <c r="AI142" s="1887"/>
      <c r="AJ142" s="1887"/>
      <c r="AK142" s="1887"/>
      <c r="AL142" s="1887"/>
      <c r="AM142" s="1887"/>
      <c r="AN142" s="1887"/>
      <c r="AO142" s="1887"/>
      <c r="AP142" s="1887"/>
      <c r="AQ142" s="1887"/>
      <c r="AR142" s="1887"/>
      <c r="AS142" s="108"/>
      <c r="AT142" s="108"/>
      <c r="AU142" s="108"/>
      <c r="AV142" s="108"/>
      <c r="AW142" s="108"/>
    </row>
    <row r="143" spans="1:126" ht="15" customHeight="1" x14ac:dyDescent="0.25">
      <c r="B143" s="1826" t="s">
        <v>314</v>
      </c>
      <c r="C143" s="1827"/>
      <c r="D143" s="1892" t="s">
        <v>49</v>
      </c>
      <c r="E143" s="1893"/>
      <c r="F143" s="1894"/>
      <c r="G143" s="1874" t="s">
        <v>246</v>
      </c>
      <c r="H143" s="1875"/>
      <c r="I143" s="1875"/>
      <c r="J143" s="1875"/>
      <c r="K143" s="1875"/>
      <c r="L143" s="1875"/>
      <c r="M143" s="1875"/>
      <c r="N143" s="1875"/>
      <c r="O143" s="1875"/>
      <c r="P143" s="1875"/>
      <c r="Q143" s="1875"/>
      <c r="R143" s="1875"/>
      <c r="S143" s="1875"/>
      <c r="T143" s="1875"/>
      <c r="U143" s="1875"/>
      <c r="V143" s="1875"/>
      <c r="W143" s="1875"/>
      <c r="X143" s="1875"/>
      <c r="Y143" s="1875"/>
      <c r="Z143" s="1875"/>
      <c r="AA143" s="1875"/>
      <c r="AB143" s="1875"/>
      <c r="AC143" s="1875"/>
      <c r="AD143" s="1875"/>
      <c r="AE143" s="1875"/>
      <c r="AF143" s="1875"/>
      <c r="AG143" s="1875"/>
      <c r="AH143" s="1875"/>
      <c r="AI143" s="1875"/>
      <c r="AJ143" s="1875"/>
      <c r="AK143" s="1875"/>
      <c r="AL143" s="1875"/>
      <c r="AM143" s="1875"/>
      <c r="AN143" s="1875"/>
      <c r="AO143" s="1875"/>
      <c r="AP143" s="1875"/>
      <c r="AQ143" s="1875"/>
      <c r="AR143" s="1876"/>
      <c r="AS143" s="1877" t="s">
        <v>51</v>
      </c>
      <c r="AT143" s="1878"/>
      <c r="AU143" s="1868" t="s">
        <v>108</v>
      </c>
      <c r="AV143" s="1869"/>
      <c r="AW143" s="108"/>
      <c r="AX143" s="108"/>
      <c r="AY143" s="108"/>
      <c r="AZ143" s="108"/>
      <c r="BA143" s="108"/>
      <c r="BS143" s="606"/>
      <c r="BT143" s="606"/>
      <c r="BU143" s="606"/>
      <c r="BV143" s="606"/>
    </row>
    <row r="144" spans="1:126" ht="15" customHeight="1" x14ac:dyDescent="0.25">
      <c r="B144" s="1828"/>
      <c r="C144" s="1829"/>
      <c r="D144" s="1895"/>
      <c r="E144" s="1896"/>
      <c r="F144" s="1897"/>
      <c r="G144" s="1900" t="s">
        <v>212</v>
      </c>
      <c r="H144" s="1872"/>
      <c r="I144" s="1872" t="s">
        <v>213</v>
      </c>
      <c r="J144" s="1872"/>
      <c r="K144" s="1872" t="s">
        <v>214</v>
      </c>
      <c r="L144" s="1872"/>
      <c r="M144" s="1872" t="s">
        <v>215</v>
      </c>
      <c r="N144" s="1872"/>
      <c r="O144" s="1872" t="s">
        <v>216</v>
      </c>
      <c r="P144" s="1872"/>
      <c r="Q144" s="1872" t="s">
        <v>217</v>
      </c>
      <c r="R144" s="1872"/>
      <c r="S144" s="1872" t="s">
        <v>218</v>
      </c>
      <c r="T144" s="1872"/>
      <c r="U144" s="1872" t="s">
        <v>219</v>
      </c>
      <c r="V144" s="1872"/>
      <c r="W144" s="1872" t="s">
        <v>220</v>
      </c>
      <c r="X144" s="1872"/>
      <c r="Y144" s="1872" t="s">
        <v>221</v>
      </c>
      <c r="Z144" s="1872"/>
      <c r="AA144" s="1872" t="s">
        <v>222</v>
      </c>
      <c r="AB144" s="1872"/>
      <c r="AC144" s="1872" t="s">
        <v>223</v>
      </c>
      <c r="AD144" s="1872"/>
      <c r="AE144" s="1872" t="s">
        <v>224</v>
      </c>
      <c r="AF144" s="1872"/>
      <c r="AG144" s="1872" t="s">
        <v>225</v>
      </c>
      <c r="AH144" s="1872"/>
      <c r="AI144" s="1872" t="s">
        <v>310</v>
      </c>
      <c r="AJ144" s="1872"/>
      <c r="AK144" s="1872" t="s">
        <v>315</v>
      </c>
      <c r="AL144" s="1872"/>
      <c r="AM144" s="1872" t="s">
        <v>316</v>
      </c>
      <c r="AN144" s="1872"/>
      <c r="AO144" s="1872" t="s">
        <v>317</v>
      </c>
      <c r="AP144" s="1872"/>
      <c r="AQ144" s="1872" t="s">
        <v>57</v>
      </c>
      <c r="AR144" s="1873"/>
      <c r="AS144" s="1879"/>
      <c r="AT144" s="1880"/>
      <c r="AU144" s="1870"/>
      <c r="AV144" s="1871"/>
      <c r="AW144" s="108"/>
      <c r="AX144" s="108"/>
      <c r="AY144" s="108"/>
      <c r="AZ144" s="108"/>
      <c r="BA144" s="108"/>
      <c r="BS144" s="606"/>
      <c r="BT144" s="606"/>
      <c r="BU144" s="606"/>
      <c r="BV144" s="606"/>
    </row>
    <row r="145" spans="1:124" ht="15" customHeight="1" x14ac:dyDescent="0.25">
      <c r="B145" s="1830"/>
      <c r="C145" s="1831"/>
      <c r="D145" s="1471" t="s">
        <v>226</v>
      </c>
      <c r="E145" s="603" t="s">
        <v>86</v>
      </c>
      <c r="F145" s="974" t="s">
        <v>227</v>
      </c>
      <c r="G145" s="1232" t="s">
        <v>86</v>
      </c>
      <c r="H145" s="980" t="s">
        <v>227</v>
      </c>
      <c r="I145" s="980" t="s">
        <v>86</v>
      </c>
      <c r="J145" s="980" t="s">
        <v>227</v>
      </c>
      <c r="K145" s="980" t="s">
        <v>86</v>
      </c>
      <c r="L145" s="980" t="s">
        <v>227</v>
      </c>
      <c r="M145" s="980" t="s">
        <v>86</v>
      </c>
      <c r="N145" s="980" t="s">
        <v>227</v>
      </c>
      <c r="O145" s="980" t="s">
        <v>86</v>
      </c>
      <c r="P145" s="980" t="s">
        <v>227</v>
      </c>
      <c r="Q145" s="980" t="s">
        <v>86</v>
      </c>
      <c r="R145" s="980" t="s">
        <v>227</v>
      </c>
      <c r="S145" s="980" t="s">
        <v>86</v>
      </c>
      <c r="T145" s="980" t="s">
        <v>227</v>
      </c>
      <c r="U145" s="980" t="s">
        <v>86</v>
      </c>
      <c r="V145" s="980" t="s">
        <v>227</v>
      </c>
      <c r="W145" s="980" t="s">
        <v>86</v>
      </c>
      <c r="X145" s="980" t="s">
        <v>227</v>
      </c>
      <c r="Y145" s="980" t="s">
        <v>86</v>
      </c>
      <c r="Z145" s="980" t="s">
        <v>227</v>
      </c>
      <c r="AA145" s="980" t="s">
        <v>86</v>
      </c>
      <c r="AB145" s="980" t="s">
        <v>227</v>
      </c>
      <c r="AC145" s="980" t="s">
        <v>86</v>
      </c>
      <c r="AD145" s="980" t="s">
        <v>227</v>
      </c>
      <c r="AE145" s="980" t="s">
        <v>86</v>
      </c>
      <c r="AF145" s="980" t="s">
        <v>227</v>
      </c>
      <c r="AG145" s="980" t="s">
        <v>86</v>
      </c>
      <c r="AH145" s="980" t="s">
        <v>227</v>
      </c>
      <c r="AI145" s="980" t="s">
        <v>86</v>
      </c>
      <c r="AJ145" s="980" t="s">
        <v>227</v>
      </c>
      <c r="AK145" s="980" t="s">
        <v>86</v>
      </c>
      <c r="AL145" s="980" t="s">
        <v>227</v>
      </c>
      <c r="AM145" s="980" t="s">
        <v>86</v>
      </c>
      <c r="AN145" s="980" t="s">
        <v>227</v>
      </c>
      <c r="AO145" s="980" t="s">
        <v>86</v>
      </c>
      <c r="AP145" s="980" t="s">
        <v>227</v>
      </c>
      <c r="AQ145" s="980" t="s">
        <v>86</v>
      </c>
      <c r="AR145" s="867" t="s">
        <v>227</v>
      </c>
      <c r="AS145" s="981" t="s">
        <v>86</v>
      </c>
      <c r="AT145" s="867" t="s">
        <v>227</v>
      </c>
      <c r="AU145" s="1232" t="s">
        <v>86</v>
      </c>
      <c r="AV145" s="892" t="s">
        <v>227</v>
      </c>
      <c r="AW145" s="108"/>
      <c r="AX145" s="108"/>
      <c r="AY145" s="108"/>
      <c r="AZ145" s="108"/>
      <c r="BA145" s="108"/>
      <c r="BS145" s="606"/>
      <c r="BT145" s="606"/>
      <c r="BU145" s="606"/>
      <c r="BV145" s="606"/>
    </row>
    <row r="146" spans="1:124" ht="15" customHeight="1" x14ac:dyDescent="0.25">
      <c r="A146" s="1589" t="s">
        <v>1106</v>
      </c>
      <c r="B146" s="1798" t="s">
        <v>907</v>
      </c>
      <c r="C146" s="1799"/>
      <c r="D146" s="1444" t="s">
        <v>1616</v>
      </c>
      <c r="E146" s="1445" t="s">
        <v>1617</v>
      </c>
      <c r="F146" s="940" t="s">
        <v>1618</v>
      </c>
      <c r="G146" s="1442" t="s">
        <v>1619</v>
      </c>
      <c r="H146" s="956" t="s">
        <v>1620</v>
      </c>
      <c r="I146" s="956" t="s">
        <v>1621</v>
      </c>
      <c r="J146" s="956" t="s">
        <v>1622</v>
      </c>
      <c r="K146" s="956" t="s">
        <v>1623</v>
      </c>
      <c r="L146" s="956" t="s">
        <v>1624</v>
      </c>
      <c r="M146" s="956" t="s">
        <v>1625</v>
      </c>
      <c r="N146" s="956" t="s">
        <v>1626</v>
      </c>
      <c r="O146" s="956" t="s">
        <v>1627</v>
      </c>
      <c r="P146" s="956" t="s">
        <v>1628</v>
      </c>
      <c r="Q146" s="956" t="s">
        <v>1629</v>
      </c>
      <c r="R146" s="956" t="s">
        <v>1630</v>
      </c>
      <c r="S146" s="956" t="s">
        <v>1631</v>
      </c>
      <c r="T146" s="956" t="s">
        <v>1632</v>
      </c>
      <c r="U146" s="956" t="s">
        <v>1633</v>
      </c>
      <c r="V146" s="956" t="s">
        <v>1634</v>
      </c>
      <c r="W146" s="956" t="s">
        <v>1635</v>
      </c>
      <c r="X146" s="956" t="s">
        <v>1636</v>
      </c>
      <c r="Y146" s="956" t="s">
        <v>1637</v>
      </c>
      <c r="Z146" s="956" t="s">
        <v>1638</v>
      </c>
      <c r="AA146" s="956" t="s">
        <v>1639</v>
      </c>
      <c r="AB146" s="956" t="s">
        <v>1640</v>
      </c>
      <c r="AC146" s="956" t="s">
        <v>1641</v>
      </c>
      <c r="AD146" s="956" t="s">
        <v>1642</v>
      </c>
      <c r="AE146" s="956" t="s">
        <v>1643</v>
      </c>
      <c r="AF146" s="956" t="s">
        <v>1644</v>
      </c>
      <c r="AG146" s="956" t="s">
        <v>1645</v>
      </c>
      <c r="AH146" s="956" t="s">
        <v>1646</v>
      </c>
      <c r="AI146" s="956" t="s">
        <v>1647</v>
      </c>
      <c r="AJ146" s="956" t="s">
        <v>1648</v>
      </c>
      <c r="AK146" s="956" t="s">
        <v>1649</v>
      </c>
      <c r="AL146" s="956" t="s">
        <v>1650</v>
      </c>
      <c r="AM146" s="956" t="s">
        <v>1651</v>
      </c>
      <c r="AN146" s="956" t="s">
        <v>1652</v>
      </c>
      <c r="AO146" s="956" t="s">
        <v>1653</v>
      </c>
      <c r="AP146" s="956" t="s">
        <v>1654</v>
      </c>
      <c r="AQ146" s="956" t="s">
        <v>1655</v>
      </c>
      <c r="AR146" s="319" t="s">
        <v>1656</v>
      </c>
      <c r="AS146" s="320" t="s">
        <v>1657</v>
      </c>
      <c r="AT146" s="319" t="s">
        <v>1658</v>
      </c>
      <c r="AU146" s="1233" t="s">
        <v>1659</v>
      </c>
      <c r="AV146" s="957" t="s">
        <v>1660</v>
      </c>
      <c r="AW146" s="110" t="str">
        <f>CB146&amp;CC146&amp;CD146&amp;CE146</f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BL146" s="172"/>
      <c r="BM146" s="172"/>
      <c r="BS146" s="606"/>
      <c r="BT146" s="606"/>
      <c r="BU146" s="606"/>
      <c r="BV146" s="606"/>
      <c r="CB146" s="191" t="str">
        <f>IF(AND(E146&gt;0,AS146="")," * No olvide digitar la variable Pueblos Originarios  hombres (Digite Cero si no tiene).",IF(AS146&gt;E146," * La variable Pueblos Originarios  hombres  no debe ser mayor que el Total de Hombres.",""))</f>
        <v xml:space="preserve"> * La variable Pueblos Originarios  hombres  no debe ser mayor que el Total de Hombres.</v>
      </c>
      <c r="CC146" s="191" t="str">
        <f>IF(AND(F146&gt;0,AT146="")," * No olvide digitar la variable Pueblos Originarios Mujeres (Digite Cero si no tiene). Digite Cero si no tiene.",IF(AT146&gt;F146," * La variable Pueblos Originarios Mujeres no debe ser mayor que el Total de Mujeres",""))</f>
        <v xml:space="preserve"> * La variable Pueblos Originarios Mujeres no debe ser mayor que el Total de Mujeres</v>
      </c>
      <c r="CD146" s="191" t="str">
        <f t="shared" ref="CD146:CD190" si="92">IF(AND(E146&gt;0,AU146="")," * No olvide digitar la variable Migrantes hombres (Digite Cero si no tiene).",IF(AU146&gt;E146," * La variable Migrantes  hombres  no debe ser mayor que el Total de Hombres",""))</f>
        <v xml:space="preserve"> * La variable Migrantes  hombres  no debe ser mayor que el Total de Hombres</v>
      </c>
      <c r="CE146" s="191" t="str">
        <f t="shared" ref="CE146:CE190" si="93">IF(AND(F146&gt;0,AV146="")," * No olvide digitar la variable Migrantes Mujeres (Digite Cero si no tiene).",IF(AV146&gt;F146," * La variable Migrantes  Mujeres no debe ser mayor que el Total de Mujeres",""))</f>
        <v xml:space="preserve"> * La variable Migrantes  Mujeres no debe ser mayor que el Total de Mujeres</v>
      </c>
      <c r="DQ146" s="1047">
        <f t="shared" ref="DQ146:DQ190" si="94">IF(AND(E146&gt;0,AS146=""),1,IF(AS146&gt;E146,1,0))</f>
        <v>1</v>
      </c>
      <c r="DR146" s="1047">
        <f t="shared" ref="DR146:DR190" si="95">IF(AND(F146&gt;0,AT146=""),1,IF(AT146&gt;F146,1,0))</f>
        <v>1</v>
      </c>
      <c r="DS146" s="1047">
        <f t="shared" ref="DS146:DS190" si="96">IF(AND(E146&gt;0,AU146=""),1,IF(AU146&gt;E146,1,0))</f>
        <v>1</v>
      </c>
      <c r="DT146" s="1047">
        <f t="shared" ref="DT146:DT190" si="97">IF(AND(F146&gt;0,AV146=""),1,IF(AV146&gt;F146,1,0))</f>
        <v>1</v>
      </c>
    </row>
    <row r="147" spans="1:124" ht="15" customHeight="1" x14ac:dyDescent="0.25">
      <c r="A147" s="1589" t="s">
        <v>1107</v>
      </c>
      <c r="B147" s="1898" t="s">
        <v>319</v>
      </c>
      <c r="C147" s="1899"/>
      <c r="D147" s="338" t="s">
        <v>1616</v>
      </c>
      <c r="E147" s="1136" t="s">
        <v>1617</v>
      </c>
      <c r="F147" s="888" t="s">
        <v>1618</v>
      </c>
      <c r="G147" s="343" t="s">
        <v>1619</v>
      </c>
      <c r="H147" s="645" t="s">
        <v>1620</v>
      </c>
      <c r="I147" s="645" t="s">
        <v>1621</v>
      </c>
      <c r="J147" s="645" t="s">
        <v>1622</v>
      </c>
      <c r="K147" s="645" t="s">
        <v>1623</v>
      </c>
      <c r="L147" s="645" t="s">
        <v>1624</v>
      </c>
      <c r="M147" s="645" t="s">
        <v>1625</v>
      </c>
      <c r="N147" s="645" t="s">
        <v>1626</v>
      </c>
      <c r="O147" s="645" t="s">
        <v>1627</v>
      </c>
      <c r="P147" s="645" t="s">
        <v>1628</v>
      </c>
      <c r="Q147" s="645" t="s">
        <v>1629</v>
      </c>
      <c r="R147" s="645" t="s">
        <v>1630</v>
      </c>
      <c r="S147" s="645" t="s">
        <v>1631</v>
      </c>
      <c r="T147" s="645" t="s">
        <v>1632</v>
      </c>
      <c r="U147" s="645" t="s">
        <v>1633</v>
      </c>
      <c r="V147" s="645" t="s">
        <v>1634</v>
      </c>
      <c r="W147" s="645" t="s">
        <v>1635</v>
      </c>
      <c r="X147" s="645" t="s">
        <v>1636</v>
      </c>
      <c r="Y147" s="645" t="s">
        <v>1637</v>
      </c>
      <c r="Z147" s="645" t="s">
        <v>1638</v>
      </c>
      <c r="AA147" s="645" t="s">
        <v>1639</v>
      </c>
      <c r="AB147" s="645" t="s">
        <v>1640</v>
      </c>
      <c r="AC147" s="645" t="s">
        <v>1641</v>
      </c>
      <c r="AD147" s="645" t="s">
        <v>1642</v>
      </c>
      <c r="AE147" s="645" t="s">
        <v>1643</v>
      </c>
      <c r="AF147" s="645" t="s">
        <v>1644</v>
      </c>
      <c r="AG147" s="645" t="s">
        <v>1645</v>
      </c>
      <c r="AH147" s="645" t="s">
        <v>1646</v>
      </c>
      <c r="AI147" s="645" t="s">
        <v>1647</v>
      </c>
      <c r="AJ147" s="645" t="s">
        <v>1648</v>
      </c>
      <c r="AK147" s="645" t="s">
        <v>1649</v>
      </c>
      <c r="AL147" s="645" t="s">
        <v>1650</v>
      </c>
      <c r="AM147" s="645" t="s">
        <v>1651</v>
      </c>
      <c r="AN147" s="645" t="s">
        <v>1652</v>
      </c>
      <c r="AO147" s="645" t="s">
        <v>1653</v>
      </c>
      <c r="AP147" s="645" t="s">
        <v>1654</v>
      </c>
      <c r="AQ147" s="645" t="s">
        <v>1655</v>
      </c>
      <c r="AR147" s="344" t="s">
        <v>1656</v>
      </c>
      <c r="AS147" s="347" t="s">
        <v>1657</v>
      </c>
      <c r="AT147" s="344" t="s">
        <v>1658</v>
      </c>
      <c r="AU147" s="342" t="s">
        <v>1659</v>
      </c>
      <c r="AV147" s="345" t="s">
        <v>1660</v>
      </c>
      <c r="AW147" s="110" t="str">
        <f t="shared" ref="AW147:AW190" si="98">CB147&amp;CC147&amp;CD147&amp;CE147</f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47" s="110"/>
      <c r="AY147" s="192"/>
      <c r="AZ147" s="192"/>
      <c r="BA147" s="192"/>
      <c r="BB147" s="192"/>
      <c r="BC147" s="192"/>
      <c r="BD147" s="110"/>
      <c r="BE147" s="110"/>
      <c r="BF147" s="110"/>
      <c r="BG147" s="110"/>
      <c r="BH147" s="110"/>
      <c r="BI147" s="110"/>
      <c r="BJ147" s="110"/>
      <c r="BK147" s="110"/>
      <c r="BL147" s="110"/>
      <c r="BM147" s="110"/>
      <c r="BS147" s="606"/>
      <c r="BT147" s="606"/>
      <c r="BU147" s="606"/>
      <c r="BV147" s="606"/>
      <c r="CB147" s="191" t="str">
        <f t="shared" ref="CB147:CB190" si="99">IF(AND(E147&gt;0,AS147="")," * No olvide digitar la variable Pueblos Originarios  hombres (Digite Cero si no tiene).",IF(AS147&gt;E147," * La variable Pueblos Originarios  hombres  no debe ser mayor que el Total de Hombres.",""))</f>
        <v xml:space="preserve"> * La variable Pueblos Originarios  hombres  no debe ser mayor que el Total de Hombres.</v>
      </c>
      <c r="CC147" s="191" t="str">
        <f t="shared" ref="CC147:CC190" si="100">IF(AND(F147&gt;0,AT147="")," * No olvide digitar la variable Pueblos Originarios Mujeres (Digite Cero si no tiene). Digite Cero si no tiene.",IF(AT147&gt;F147," * La variable Pueblos Originarios Mujeres no debe ser mayor que el Total de Mujeres",""))</f>
        <v xml:space="preserve"> * La variable Pueblos Originarios Mujeres no debe ser mayor que el Total de Mujeres</v>
      </c>
      <c r="CD147" s="191" t="str">
        <f t="shared" si="92"/>
        <v xml:space="preserve"> * La variable Migrantes  hombres  no debe ser mayor que el Total de Hombres</v>
      </c>
      <c r="CE147" s="191" t="str">
        <f t="shared" si="93"/>
        <v xml:space="preserve"> * La variable Migrantes  Mujeres no debe ser mayor que el Total de Mujeres</v>
      </c>
      <c r="DQ147" s="1047">
        <f t="shared" si="94"/>
        <v>1</v>
      </c>
      <c r="DR147" s="1047">
        <f t="shared" si="95"/>
        <v>1</v>
      </c>
      <c r="DS147" s="1047">
        <f t="shared" si="96"/>
        <v>1</v>
      </c>
      <c r="DT147" s="1047">
        <f t="shared" si="97"/>
        <v>1</v>
      </c>
    </row>
    <row r="148" spans="1:124" ht="15" customHeight="1" x14ac:dyDescent="0.25">
      <c r="A148" s="1589" t="s">
        <v>1108</v>
      </c>
      <c r="B148" s="1765" t="s">
        <v>320</v>
      </c>
      <c r="C148" s="1766" t="s">
        <v>320</v>
      </c>
      <c r="D148" s="353" t="s">
        <v>1616</v>
      </c>
      <c r="E148" s="1137" t="s">
        <v>1617</v>
      </c>
      <c r="F148" s="889" t="s">
        <v>1618</v>
      </c>
      <c r="G148" s="357" t="s">
        <v>1619</v>
      </c>
      <c r="H148" s="376" t="s">
        <v>1620</v>
      </c>
      <c r="I148" s="376" t="s">
        <v>1621</v>
      </c>
      <c r="J148" s="376" t="s">
        <v>1622</v>
      </c>
      <c r="K148" s="376" t="s">
        <v>1623</v>
      </c>
      <c r="L148" s="376" t="s">
        <v>1624</v>
      </c>
      <c r="M148" s="376" t="s">
        <v>1625</v>
      </c>
      <c r="N148" s="376" t="s">
        <v>1626</v>
      </c>
      <c r="O148" s="376" t="s">
        <v>1627</v>
      </c>
      <c r="P148" s="376" t="s">
        <v>1628</v>
      </c>
      <c r="Q148" s="376" t="s">
        <v>1629</v>
      </c>
      <c r="R148" s="376" t="s">
        <v>1630</v>
      </c>
      <c r="S148" s="376" t="s">
        <v>1631</v>
      </c>
      <c r="T148" s="376" t="s">
        <v>1632</v>
      </c>
      <c r="U148" s="376" t="s">
        <v>1633</v>
      </c>
      <c r="V148" s="376" t="s">
        <v>1634</v>
      </c>
      <c r="W148" s="376" t="s">
        <v>1635</v>
      </c>
      <c r="X148" s="376" t="s">
        <v>1636</v>
      </c>
      <c r="Y148" s="376" t="s">
        <v>1637</v>
      </c>
      <c r="Z148" s="376" t="s">
        <v>1638</v>
      </c>
      <c r="AA148" s="376" t="s">
        <v>1639</v>
      </c>
      <c r="AB148" s="376" t="s">
        <v>1640</v>
      </c>
      <c r="AC148" s="376" t="s">
        <v>1641</v>
      </c>
      <c r="AD148" s="376" t="s">
        <v>1642</v>
      </c>
      <c r="AE148" s="376" t="s">
        <v>1643</v>
      </c>
      <c r="AF148" s="376" t="s">
        <v>1644</v>
      </c>
      <c r="AG148" s="376" t="s">
        <v>1645</v>
      </c>
      <c r="AH148" s="376" t="s">
        <v>1646</v>
      </c>
      <c r="AI148" s="376" t="s">
        <v>1647</v>
      </c>
      <c r="AJ148" s="376" t="s">
        <v>1648</v>
      </c>
      <c r="AK148" s="376" t="s">
        <v>1649</v>
      </c>
      <c r="AL148" s="376" t="s">
        <v>1650</v>
      </c>
      <c r="AM148" s="376" t="s">
        <v>1651</v>
      </c>
      <c r="AN148" s="376" t="s">
        <v>1652</v>
      </c>
      <c r="AO148" s="376" t="s">
        <v>1653</v>
      </c>
      <c r="AP148" s="376" t="s">
        <v>1654</v>
      </c>
      <c r="AQ148" s="376" t="s">
        <v>1655</v>
      </c>
      <c r="AR148" s="356" t="s">
        <v>1656</v>
      </c>
      <c r="AS148" s="358" t="s">
        <v>1657</v>
      </c>
      <c r="AT148" s="356" t="s">
        <v>1658</v>
      </c>
      <c r="AU148" s="354" t="s">
        <v>1659</v>
      </c>
      <c r="AV148" s="355" t="s">
        <v>1660</v>
      </c>
      <c r="AW148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48" s="110"/>
      <c r="AY148" s="110"/>
      <c r="AZ148" s="110"/>
      <c r="BA148" s="110"/>
      <c r="BS148" s="606"/>
      <c r="BT148" s="606"/>
      <c r="BU148" s="606"/>
      <c r="BV148" s="606"/>
      <c r="CB148" s="191" t="str">
        <f t="shared" si="99"/>
        <v xml:space="preserve"> * La variable Pueblos Originarios  hombres  no debe ser mayor que el Total de Hombres.</v>
      </c>
      <c r="CC148" s="191" t="str">
        <f t="shared" si="100"/>
        <v xml:space="preserve"> * La variable Pueblos Originarios Mujeres no debe ser mayor que el Total de Mujeres</v>
      </c>
      <c r="CD148" s="191" t="str">
        <f t="shared" si="92"/>
        <v xml:space="preserve"> * La variable Migrantes  hombres  no debe ser mayor que el Total de Hombres</v>
      </c>
      <c r="CE148" s="191" t="str">
        <f t="shared" si="93"/>
        <v xml:space="preserve"> * La variable Migrantes  Mujeres no debe ser mayor que el Total de Mujeres</v>
      </c>
      <c r="DQ148" s="1047">
        <f t="shared" si="94"/>
        <v>1</v>
      </c>
      <c r="DR148" s="1047">
        <f t="shared" si="95"/>
        <v>1</v>
      </c>
      <c r="DS148" s="1047">
        <f t="shared" si="96"/>
        <v>1</v>
      </c>
      <c r="DT148" s="1047">
        <f t="shared" si="97"/>
        <v>1</v>
      </c>
    </row>
    <row r="149" spans="1:124" ht="15" customHeight="1" x14ac:dyDescent="0.25">
      <c r="A149" s="1589" t="s">
        <v>1109</v>
      </c>
      <c r="B149" s="1765" t="s">
        <v>321</v>
      </c>
      <c r="C149" s="1766" t="s">
        <v>321</v>
      </c>
      <c r="D149" s="353" t="s">
        <v>1616</v>
      </c>
      <c r="E149" s="1137" t="s">
        <v>1617</v>
      </c>
      <c r="F149" s="889" t="s">
        <v>1618</v>
      </c>
      <c r="G149" s="357" t="s">
        <v>1619</v>
      </c>
      <c r="H149" s="376" t="s">
        <v>1620</v>
      </c>
      <c r="I149" s="376" t="s">
        <v>1621</v>
      </c>
      <c r="J149" s="376" t="s">
        <v>1622</v>
      </c>
      <c r="K149" s="376" t="s">
        <v>1623</v>
      </c>
      <c r="L149" s="376" t="s">
        <v>1624</v>
      </c>
      <c r="M149" s="376" t="s">
        <v>1625</v>
      </c>
      <c r="N149" s="376" t="s">
        <v>1626</v>
      </c>
      <c r="O149" s="376" t="s">
        <v>1627</v>
      </c>
      <c r="P149" s="376" t="s">
        <v>1628</v>
      </c>
      <c r="Q149" s="376" t="s">
        <v>1629</v>
      </c>
      <c r="R149" s="376" t="s">
        <v>1630</v>
      </c>
      <c r="S149" s="376" t="s">
        <v>1631</v>
      </c>
      <c r="T149" s="376" t="s">
        <v>1632</v>
      </c>
      <c r="U149" s="376" t="s">
        <v>1633</v>
      </c>
      <c r="V149" s="376" t="s">
        <v>1634</v>
      </c>
      <c r="W149" s="376" t="s">
        <v>1635</v>
      </c>
      <c r="X149" s="376" t="s">
        <v>1636</v>
      </c>
      <c r="Y149" s="376" t="s">
        <v>1637</v>
      </c>
      <c r="Z149" s="376" t="s">
        <v>1638</v>
      </c>
      <c r="AA149" s="376" t="s">
        <v>1639</v>
      </c>
      <c r="AB149" s="376" t="s">
        <v>1640</v>
      </c>
      <c r="AC149" s="376" t="s">
        <v>1641</v>
      </c>
      <c r="AD149" s="376" t="s">
        <v>1642</v>
      </c>
      <c r="AE149" s="376" t="s">
        <v>1643</v>
      </c>
      <c r="AF149" s="376" t="s">
        <v>1644</v>
      </c>
      <c r="AG149" s="376" t="s">
        <v>1645</v>
      </c>
      <c r="AH149" s="376" t="s">
        <v>1646</v>
      </c>
      <c r="AI149" s="376" t="s">
        <v>1647</v>
      </c>
      <c r="AJ149" s="376" t="s">
        <v>1648</v>
      </c>
      <c r="AK149" s="376" t="s">
        <v>1649</v>
      </c>
      <c r="AL149" s="376" t="s">
        <v>1650</v>
      </c>
      <c r="AM149" s="376" t="s">
        <v>1651</v>
      </c>
      <c r="AN149" s="376" t="s">
        <v>1652</v>
      </c>
      <c r="AO149" s="376" t="s">
        <v>1653</v>
      </c>
      <c r="AP149" s="376" t="s">
        <v>1654</v>
      </c>
      <c r="AQ149" s="376" t="s">
        <v>1655</v>
      </c>
      <c r="AR149" s="356" t="s">
        <v>1656</v>
      </c>
      <c r="AS149" s="358" t="s">
        <v>1657</v>
      </c>
      <c r="AT149" s="356" t="s">
        <v>1658</v>
      </c>
      <c r="AU149" s="354" t="s">
        <v>1659</v>
      </c>
      <c r="AV149" s="355" t="s">
        <v>1660</v>
      </c>
      <c r="AW149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CB149" s="191" t="str">
        <f t="shared" si="99"/>
        <v xml:space="preserve"> * La variable Pueblos Originarios  hombres  no debe ser mayor que el Total de Hombres.</v>
      </c>
      <c r="CC149" s="191" t="str">
        <f t="shared" si="100"/>
        <v xml:space="preserve"> * La variable Pueblos Originarios Mujeres no debe ser mayor que el Total de Mujeres</v>
      </c>
      <c r="CD149" s="191" t="str">
        <f t="shared" si="92"/>
        <v xml:space="preserve"> * La variable Migrantes  hombres  no debe ser mayor que el Total de Hombres</v>
      </c>
      <c r="CE149" s="191" t="str">
        <f t="shared" si="93"/>
        <v xml:space="preserve"> * La variable Migrantes  Mujeres no debe ser mayor que el Total de Mujeres</v>
      </c>
      <c r="DQ149" s="1047">
        <f t="shared" si="94"/>
        <v>1</v>
      </c>
      <c r="DR149" s="1047">
        <f t="shared" si="95"/>
        <v>1</v>
      </c>
      <c r="DS149" s="1047">
        <f t="shared" si="96"/>
        <v>1</v>
      </c>
      <c r="DT149" s="1047">
        <f t="shared" si="97"/>
        <v>1</v>
      </c>
    </row>
    <row r="150" spans="1:124" ht="15" customHeight="1" x14ac:dyDescent="0.25">
      <c r="A150" s="1589" t="s">
        <v>1110</v>
      </c>
      <c r="B150" s="1765" t="s">
        <v>322</v>
      </c>
      <c r="C150" s="1766" t="s">
        <v>322</v>
      </c>
      <c r="D150" s="353" t="s">
        <v>1616</v>
      </c>
      <c r="E150" s="1137" t="s">
        <v>1617</v>
      </c>
      <c r="F150" s="889" t="s">
        <v>1618</v>
      </c>
      <c r="G150" s="357" t="s">
        <v>1619</v>
      </c>
      <c r="H150" s="376" t="s">
        <v>1620</v>
      </c>
      <c r="I150" s="376" t="s">
        <v>1621</v>
      </c>
      <c r="J150" s="376" t="s">
        <v>1622</v>
      </c>
      <c r="K150" s="376" t="s">
        <v>1623</v>
      </c>
      <c r="L150" s="376" t="s">
        <v>1624</v>
      </c>
      <c r="M150" s="376" t="s">
        <v>1625</v>
      </c>
      <c r="N150" s="376" t="s">
        <v>1626</v>
      </c>
      <c r="O150" s="376" t="s">
        <v>1627</v>
      </c>
      <c r="P150" s="376" t="s">
        <v>1628</v>
      </c>
      <c r="Q150" s="376" t="s">
        <v>1629</v>
      </c>
      <c r="R150" s="376" t="s">
        <v>1630</v>
      </c>
      <c r="S150" s="376" t="s">
        <v>1631</v>
      </c>
      <c r="T150" s="376" t="s">
        <v>1632</v>
      </c>
      <c r="U150" s="376" t="s">
        <v>1633</v>
      </c>
      <c r="V150" s="376" t="s">
        <v>1634</v>
      </c>
      <c r="W150" s="376" t="s">
        <v>1635</v>
      </c>
      <c r="X150" s="376" t="s">
        <v>1636</v>
      </c>
      <c r="Y150" s="376" t="s">
        <v>1637</v>
      </c>
      <c r="Z150" s="376" t="s">
        <v>1638</v>
      </c>
      <c r="AA150" s="376" t="s">
        <v>1639</v>
      </c>
      <c r="AB150" s="376" t="s">
        <v>1640</v>
      </c>
      <c r="AC150" s="376" t="s">
        <v>1641</v>
      </c>
      <c r="AD150" s="376" t="s">
        <v>1642</v>
      </c>
      <c r="AE150" s="376" t="s">
        <v>1643</v>
      </c>
      <c r="AF150" s="376" t="s">
        <v>1644</v>
      </c>
      <c r="AG150" s="376" t="s">
        <v>1645</v>
      </c>
      <c r="AH150" s="376" t="s">
        <v>1646</v>
      </c>
      <c r="AI150" s="376" t="s">
        <v>1647</v>
      </c>
      <c r="AJ150" s="376" t="s">
        <v>1648</v>
      </c>
      <c r="AK150" s="376" t="s">
        <v>1649</v>
      </c>
      <c r="AL150" s="376" t="s">
        <v>1650</v>
      </c>
      <c r="AM150" s="376" t="s">
        <v>1651</v>
      </c>
      <c r="AN150" s="376" t="s">
        <v>1652</v>
      </c>
      <c r="AO150" s="376" t="s">
        <v>1653</v>
      </c>
      <c r="AP150" s="376" t="s">
        <v>1654</v>
      </c>
      <c r="AQ150" s="376" t="s">
        <v>1655</v>
      </c>
      <c r="AR150" s="356" t="s">
        <v>1656</v>
      </c>
      <c r="AS150" s="358" t="s">
        <v>1657</v>
      </c>
      <c r="AT150" s="356" t="s">
        <v>1658</v>
      </c>
      <c r="AU150" s="354" t="s">
        <v>1659</v>
      </c>
      <c r="AV150" s="355" t="s">
        <v>1660</v>
      </c>
      <c r="AW150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0" s="110"/>
      <c r="AY150" s="110"/>
      <c r="AZ150" s="110"/>
      <c r="BA150" s="110"/>
      <c r="BS150" s="606"/>
      <c r="BT150" s="606"/>
      <c r="BU150" s="606"/>
      <c r="BV150" s="606"/>
      <c r="CB150" s="191" t="str">
        <f t="shared" si="99"/>
        <v xml:space="preserve"> * La variable Pueblos Originarios  hombres  no debe ser mayor que el Total de Hombres.</v>
      </c>
      <c r="CC150" s="191" t="str">
        <f t="shared" si="100"/>
        <v xml:space="preserve"> * La variable Pueblos Originarios Mujeres no debe ser mayor que el Total de Mujeres</v>
      </c>
      <c r="CD150" s="191" t="str">
        <f t="shared" si="92"/>
        <v xml:space="preserve"> * La variable Migrantes  hombres  no debe ser mayor que el Total de Hombres</v>
      </c>
      <c r="CE150" s="191" t="str">
        <f t="shared" si="93"/>
        <v xml:space="preserve"> * La variable Migrantes  Mujeres no debe ser mayor que el Total de Mujeres</v>
      </c>
      <c r="DQ150" s="1047">
        <f t="shared" si="94"/>
        <v>1</v>
      </c>
      <c r="DR150" s="1047">
        <f t="shared" si="95"/>
        <v>1</v>
      </c>
      <c r="DS150" s="1047">
        <f t="shared" si="96"/>
        <v>1</v>
      </c>
      <c r="DT150" s="1047">
        <f t="shared" si="97"/>
        <v>1</v>
      </c>
    </row>
    <row r="151" spans="1:124" ht="15" customHeight="1" x14ac:dyDescent="0.25">
      <c r="A151" s="1589" t="s">
        <v>1111</v>
      </c>
      <c r="B151" s="1765" t="s">
        <v>323</v>
      </c>
      <c r="C151" s="1766" t="s">
        <v>323</v>
      </c>
      <c r="D151" s="353" t="s">
        <v>1616</v>
      </c>
      <c r="E151" s="1137" t="s">
        <v>1617</v>
      </c>
      <c r="F151" s="889" t="s">
        <v>1618</v>
      </c>
      <c r="G151" s="357" t="s">
        <v>1619</v>
      </c>
      <c r="H151" s="376" t="s">
        <v>1620</v>
      </c>
      <c r="I151" s="376" t="s">
        <v>1621</v>
      </c>
      <c r="J151" s="376" t="s">
        <v>1622</v>
      </c>
      <c r="K151" s="376" t="s">
        <v>1623</v>
      </c>
      <c r="L151" s="376" t="s">
        <v>1624</v>
      </c>
      <c r="M151" s="376" t="s">
        <v>1625</v>
      </c>
      <c r="N151" s="376" t="s">
        <v>1626</v>
      </c>
      <c r="O151" s="376" t="s">
        <v>1627</v>
      </c>
      <c r="P151" s="376" t="s">
        <v>1628</v>
      </c>
      <c r="Q151" s="376" t="s">
        <v>1629</v>
      </c>
      <c r="R151" s="376" t="s">
        <v>1630</v>
      </c>
      <c r="S151" s="376" t="s">
        <v>1631</v>
      </c>
      <c r="T151" s="376" t="s">
        <v>1632</v>
      </c>
      <c r="U151" s="376" t="s">
        <v>1633</v>
      </c>
      <c r="V151" s="376" t="s">
        <v>1634</v>
      </c>
      <c r="W151" s="376" t="s">
        <v>1635</v>
      </c>
      <c r="X151" s="376" t="s">
        <v>1636</v>
      </c>
      <c r="Y151" s="376" t="s">
        <v>1637</v>
      </c>
      <c r="Z151" s="376" t="s">
        <v>1638</v>
      </c>
      <c r="AA151" s="376" t="s">
        <v>1639</v>
      </c>
      <c r="AB151" s="376" t="s">
        <v>1640</v>
      </c>
      <c r="AC151" s="376" t="s">
        <v>1641</v>
      </c>
      <c r="AD151" s="376" t="s">
        <v>1642</v>
      </c>
      <c r="AE151" s="376" t="s">
        <v>1643</v>
      </c>
      <c r="AF151" s="376" t="s">
        <v>1644</v>
      </c>
      <c r="AG151" s="376" t="s">
        <v>1645</v>
      </c>
      <c r="AH151" s="376" t="s">
        <v>1646</v>
      </c>
      <c r="AI151" s="376" t="s">
        <v>1647</v>
      </c>
      <c r="AJ151" s="376" t="s">
        <v>1648</v>
      </c>
      <c r="AK151" s="376" t="s">
        <v>1649</v>
      </c>
      <c r="AL151" s="376" t="s">
        <v>1650</v>
      </c>
      <c r="AM151" s="376" t="s">
        <v>1651</v>
      </c>
      <c r="AN151" s="376" t="s">
        <v>1652</v>
      </c>
      <c r="AO151" s="376" t="s">
        <v>1653</v>
      </c>
      <c r="AP151" s="376" t="s">
        <v>1654</v>
      </c>
      <c r="AQ151" s="376" t="s">
        <v>1655</v>
      </c>
      <c r="AR151" s="356" t="s">
        <v>1656</v>
      </c>
      <c r="AS151" s="358" t="s">
        <v>1657</v>
      </c>
      <c r="AT151" s="356" t="s">
        <v>1658</v>
      </c>
      <c r="AU151" s="354" t="s">
        <v>1659</v>
      </c>
      <c r="AV151" s="355" t="s">
        <v>1660</v>
      </c>
      <c r="AW151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1" s="110"/>
      <c r="AY151" s="110"/>
      <c r="AZ151" s="110"/>
      <c r="BA151" s="110"/>
      <c r="BS151" s="606"/>
      <c r="BT151" s="606"/>
      <c r="BU151" s="606"/>
      <c r="BV151" s="606"/>
      <c r="CB151" s="191" t="str">
        <f t="shared" si="99"/>
        <v xml:space="preserve"> * La variable Pueblos Originarios  hombres  no debe ser mayor que el Total de Hombres.</v>
      </c>
      <c r="CC151" s="191" t="str">
        <f t="shared" si="100"/>
        <v xml:space="preserve"> * La variable Pueblos Originarios Mujeres no debe ser mayor que el Total de Mujeres</v>
      </c>
      <c r="CD151" s="191" t="str">
        <f t="shared" si="92"/>
        <v xml:space="preserve"> * La variable Migrantes  hombres  no debe ser mayor que el Total de Hombres</v>
      </c>
      <c r="CE151" s="191" t="str">
        <f t="shared" si="93"/>
        <v xml:space="preserve"> * La variable Migrantes  Mujeres no debe ser mayor que el Total de Mujeres</v>
      </c>
      <c r="DQ151" s="1047">
        <f t="shared" si="94"/>
        <v>1</v>
      </c>
      <c r="DR151" s="1047">
        <f t="shared" si="95"/>
        <v>1</v>
      </c>
      <c r="DS151" s="1047">
        <f t="shared" si="96"/>
        <v>1</v>
      </c>
      <c r="DT151" s="1047">
        <f t="shared" si="97"/>
        <v>1</v>
      </c>
    </row>
    <row r="152" spans="1:124" ht="15" customHeight="1" x14ac:dyDescent="0.25">
      <c r="A152" s="1589" t="s">
        <v>1112</v>
      </c>
      <c r="B152" s="1765" t="s">
        <v>324</v>
      </c>
      <c r="C152" s="1766" t="s">
        <v>325</v>
      </c>
      <c r="D152" s="353" t="s">
        <v>1616</v>
      </c>
      <c r="E152" s="1137" t="s">
        <v>1617</v>
      </c>
      <c r="F152" s="889" t="s">
        <v>1618</v>
      </c>
      <c r="G152" s="357" t="s">
        <v>1619</v>
      </c>
      <c r="H152" s="376" t="s">
        <v>1620</v>
      </c>
      <c r="I152" s="376" t="s">
        <v>1621</v>
      </c>
      <c r="J152" s="376" t="s">
        <v>1622</v>
      </c>
      <c r="K152" s="376" t="s">
        <v>1623</v>
      </c>
      <c r="L152" s="376" t="s">
        <v>1624</v>
      </c>
      <c r="M152" s="376" t="s">
        <v>1625</v>
      </c>
      <c r="N152" s="376" t="s">
        <v>1626</v>
      </c>
      <c r="O152" s="376" t="s">
        <v>1627</v>
      </c>
      <c r="P152" s="376" t="s">
        <v>1628</v>
      </c>
      <c r="Q152" s="376" t="s">
        <v>1629</v>
      </c>
      <c r="R152" s="376" t="s">
        <v>1630</v>
      </c>
      <c r="S152" s="376" t="s">
        <v>1631</v>
      </c>
      <c r="T152" s="376" t="s">
        <v>1632</v>
      </c>
      <c r="U152" s="376" t="s">
        <v>1633</v>
      </c>
      <c r="V152" s="376" t="s">
        <v>1634</v>
      </c>
      <c r="W152" s="376" t="s">
        <v>1635</v>
      </c>
      <c r="X152" s="376" t="s">
        <v>1636</v>
      </c>
      <c r="Y152" s="376" t="s">
        <v>1637</v>
      </c>
      <c r="Z152" s="376" t="s">
        <v>1638</v>
      </c>
      <c r="AA152" s="376" t="s">
        <v>1639</v>
      </c>
      <c r="AB152" s="376" t="s">
        <v>1640</v>
      </c>
      <c r="AC152" s="376" t="s">
        <v>1641</v>
      </c>
      <c r="AD152" s="376" t="s">
        <v>1642</v>
      </c>
      <c r="AE152" s="376" t="s">
        <v>1643</v>
      </c>
      <c r="AF152" s="376" t="s">
        <v>1644</v>
      </c>
      <c r="AG152" s="376" t="s">
        <v>1645</v>
      </c>
      <c r="AH152" s="376" t="s">
        <v>1646</v>
      </c>
      <c r="AI152" s="376" t="s">
        <v>1647</v>
      </c>
      <c r="AJ152" s="376" t="s">
        <v>1648</v>
      </c>
      <c r="AK152" s="376" t="s">
        <v>1649</v>
      </c>
      <c r="AL152" s="376" t="s">
        <v>1650</v>
      </c>
      <c r="AM152" s="376" t="s">
        <v>1651</v>
      </c>
      <c r="AN152" s="376" t="s">
        <v>1652</v>
      </c>
      <c r="AO152" s="376" t="s">
        <v>1653</v>
      </c>
      <c r="AP152" s="376" t="s">
        <v>1654</v>
      </c>
      <c r="AQ152" s="376" t="s">
        <v>1655</v>
      </c>
      <c r="AR152" s="356" t="s">
        <v>1656</v>
      </c>
      <c r="AS152" s="358" t="s">
        <v>1657</v>
      </c>
      <c r="AT152" s="356" t="s">
        <v>1658</v>
      </c>
      <c r="AU152" s="354" t="s">
        <v>1659</v>
      </c>
      <c r="AV152" s="355" t="s">
        <v>1660</v>
      </c>
      <c r="AW152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CB152" s="191" t="str">
        <f t="shared" si="99"/>
        <v xml:space="preserve"> * La variable Pueblos Originarios  hombres  no debe ser mayor que el Total de Hombres.</v>
      </c>
      <c r="CC152" s="191" t="str">
        <f t="shared" si="100"/>
        <v xml:space="preserve"> * La variable Pueblos Originarios Mujeres no debe ser mayor que el Total de Mujeres</v>
      </c>
      <c r="CD152" s="191" t="str">
        <f t="shared" si="92"/>
        <v xml:space="preserve"> * La variable Migrantes  hombres  no debe ser mayor que el Total de Hombres</v>
      </c>
      <c r="CE152" s="191" t="str">
        <f t="shared" si="93"/>
        <v xml:space="preserve"> * La variable Migrantes  Mujeres no debe ser mayor que el Total de Mujeres</v>
      </c>
      <c r="DQ152" s="1047">
        <f t="shared" si="94"/>
        <v>1</v>
      </c>
      <c r="DR152" s="1047">
        <f t="shared" si="95"/>
        <v>1</v>
      </c>
      <c r="DS152" s="1047">
        <f t="shared" si="96"/>
        <v>1</v>
      </c>
      <c r="DT152" s="1047">
        <f t="shared" si="97"/>
        <v>1</v>
      </c>
    </row>
    <row r="153" spans="1:124" ht="15" customHeight="1" x14ac:dyDescent="0.25">
      <c r="A153" s="1589" t="s">
        <v>1113</v>
      </c>
      <c r="B153" s="1765" t="s">
        <v>326</v>
      </c>
      <c r="C153" s="1766" t="s">
        <v>327</v>
      </c>
      <c r="D153" s="353" t="s">
        <v>1616</v>
      </c>
      <c r="E153" s="1137" t="s">
        <v>1617</v>
      </c>
      <c r="F153" s="889" t="s">
        <v>1618</v>
      </c>
      <c r="G153" s="357" t="s">
        <v>1619</v>
      </c>
      <c r="H153" s="376" t="s">
        <v>1620</v>
      </c>
      <c r="I153" s="376" t="s">
        <v>1621</v>
      </c>
      <c r="J153" s="376" t="s">
        <v>1622</v>
      </c>
      <c r="K153" s="376" t="s">
        <v>1623</v>
      </c>
      <c r="L153" s="376" t="s">
        <v>1624</v>
      </c>
      <c r="M153" s="376" t="s">
        <v>1625</v>
      </c>
      <c r="N153" s="376" t="s">
        <v>1626</v>
      </c>
      <c r="O153" s="376" t="s">
        <v>1627</v>
      </c>
      <c r="P153" s="376" t="s">
        <v>1628</v>
      </c>
      <c r="Q153" s="376" t="s">
        <v>1629</v>
      </c>
      <c r="R153" s="376" t="s">
        <v>1630</v>
      </c>
      <c r="S153" s="376" t="s">
        <v>1631</v>
      </c>
      <c r="T153" s="376" t="s">
        <v>1632</v>
      </c>
      <c r="U153" s="376" t="s">
        <v>1633</v>
      </c>
      <c r="V153" s="376" t="s">
        <v>1634</v>
      </c>
      <c r="W153" s="376" t="s">
        <v>1635</v>
      </c>
      <c r="X153" s="376" t="s">
        <v>1636</v>
      </c>
      <c r="Y153" s="376" t="s">
        <v>1637</v>
      </c>
      <c r="Z153" s="376" t="s">
        <v>1638</v>
      </c>
      <c r="AA153" s="376" t="s">
        <v>1639</v>
      </c>
      <c r="AB153" s="376" t="s">
        <v>1640</v>
      </c>
      <c r="AC153" s="376" t="s">
        <v>1641</v>
      </c>
      <c r="AD153" s="376" t="s">
        <v>1642</v>
      </c>
      <c r="AE153" s="376" t="s">
        <v>1643</v>
      </c>
      <c r="AF153" s="376" t="s">
        <v>1644</v>
      </c>
      <c r="AG153" s="376" t="s">
        <v>1645</v>
      </c>
      <c r="AH153" s="376" t="s">
        <v>1646</v>
      </c>
      <c r="AI153" s="376" t="s">
        <v>1647</v>
      </c>
      <c r="AJ153" s="376" t="s">
        <v>1648</v>
      </c>
      <c r="AK153" s="376" t="s">
        <v>1649</v>
      </c>
      <c r="AL153" s="376" t="s">
        <v>1650</v>
      </c>
      <c r="AM153" s="376" t="s">
        <v>1651</v>
      </c>
      <c r="AN153" s="376" t="s">
        <v>1652</v>
      </c>
      <c r="AO153" s="376" t="s">
        <v>1653</v>
      </c>
      <c r="AP153" s="376" t="s">
        <v>1654</v>
      </c>
      <c r="AQ153" s="376" t="s">
        <v>1655</v>
      </c>
      <c r="AR153" s="356" t="s">
        <v>1656</v>
      </c>
      <c r="AS153" s="358" t="s">
        <v>1657</v>
      </c>
      <c r="AT153" s="356" t="s">
        <v>1658</v>
      </c>
      <c r="AU153" s="354" t="s">
        <v>1659</v>
      </c>
      <c r="AV153" s="355" t="s">
        <v>1660</v>
      </c>
      <c r="AW153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3" s="110"/>
      <c r="AY153" s="110"/>
      <c r="AZ153" s="110"/>
      <c r="BA153" s="110"/>
      <c r="BS153" s="606"/>
      <c r="BT153" s="606"/>
      <c r="BU153" s="606"/>
      <c r="BV153" s="606"/>
      <c r="CB153" s="191" t="str">
        <f t="shared" si="99"/>
        <v xml:space="preserve"> * La variable Pueblos Originarios  hombres  no debe ser mayor que el Total de Hombres.</v>
      </c>
      <c r="CC153" s="191" t="str">
        <f t="shared" si="100"/>
        <v xml:space="preserve"> * La variable Pueblos Originarios Mujeres no debe ser mayor que el Total de Mujeres</v>
      </c>
      <c r="CD153" s="191" t="str">
        <f t="shared" si="92"/>
        <v xml:space="preserve"> * La variable Migrantes  hombres  no debe ser mayor que el Total de Hombres</v>
      </c>
      <c r="CE153" s="191" t="str">
        <f t="shared" si="93"/>
        <v xml:space="preserve"> * La variable Migrantes  Mujeres no debe ser mayor que el Total de Mujeres</v>
      </c>
      <c r="DQ153" s="1047">
        <f t="shared" si="94"/>
        <v>1</v>
      </c>
      <c r="DR153" s="1047">
        <f t="shared" si="95"/>
        <v>1</v>
      </c>
      <c r="DS153" s="1047">
        <f t="shared" si="96"/>
        <v>1</v>
      </c>
      <c r="DT153" s="1047">
        <f t="shared" si="97"/>
        <v>1</v>
      </c>
    </row>
    <row r="154" spans="1:124" s="228" customFormat="1" ht="15" customHeight="1" x14ac:dyDescent="0.2">
      <c r="A154" s="1589" t="s">
        <v>1114</v>
      </c>
      <c r="B154" s="1765" t="s">
        <v>328</v>
      </c>
      <c r="C154" s="1766" t="s">
        <v>328</v>
      </c>
      <c r="D154" s="1139" t="s">
        <v>1616</v>
      </c>
      <c r="E154" s="701" t="s">
        <v>1617</v>
      </c>
      <c r="F154" s="890" t="s">
        <v>1618</v>
      </c>
      <c r="G154" s="887" t="s">
        <v>1619</v>
      </c>
      <c r="H154" s="752" t="s">
        <v>1620</v>
      </c>
      <c r="I154" s="752" t="s">
        <v>1621</v>
      </c>
      <c r="J154" s="752" t="s">
        <v>1622</v>
      </c>
      <c r="K154" s="752" t="s">
        <v>1623</v>
      </c>
      <c r="L154" s="752" t="s">
        <v>1624</v>
      </c>
      <c r="M154" s="752" t="s">
        <v>1625</v>
      </c>
      <c r="N154" s="752" t="s">
        <v>1626</v>
      </c>
      <c r="O154" s="752" t="s">
        <v>1627</v>
      </c>
      <c r="P154" s="752" t="s">
        <v>1628</v>
      </c>
      <c r="Q154" s="752" t="s">
        <v>1629</v>
      </c>
      <c r="R154" s="752" t="s">
        <v>1630</v>
      </c>
      <c r="S154" s="752" t="s">
        <v>1631</v>
      </c>
      <c r="T154" s="752" t="s">
        <v>1632</v>
      </c>
      <c r="U154" s="752" t="s">
        <v>1633</v>
      </c>
      <c r="V154" s="752" t="s">
        <v>1634</v>
      </c>
      <c r="W154" s="752" t="s">
        <v>1635</v>
      </c>
      <c r="X154" s="752" t="s">
        <v>1636</v>
      </c>
      <c r="Y154" s="752" t="s">
        <v>1637</v>
      </c>
      <c r="Z154" s="752" t="s">
        <v>1638</v>
      </c>
      <c r="AA154" s="752" t="s">
        <v>1639</v>
      </c>
      <c r="AB154" s="752" t="s">
        <v>1640</v>
      </c>
      <c r="AC154" s="752" t="s">
        <v>1641</v>
      </c>
      <c r="AD154" s="752" t="s">
        <v>1642</v>
      </c>
      <c r="AE154" s="752" t="s">
        <v>1643</v>
      </c>
      <c r="AF154" s="752" t="s">
        <v>1644</v>
      </c>
      <c r="AG154" s="752" t="s">
        <v>1645</v>
      </c>
      <c r="AH154" s="752" t="s">
        <v>1646</v>
      </c>
      <c r="AI154" s="752" t="s">
        <v>1647</v>
      </c>
      <c r="AJ154" s="752" t="s">
        <v>1648</v>
      </c>
      <c r="AK154" s="752" t="s">
        <v>1649</v>
      </c>
      <c r="AL154" s="752" t="s">
        <v>1650</v>
      </c>
      <c r="AM154" s="752" t="s">
        <v>1651</v>
      </c>
      <c r="AN154" s="752" t="s">
        <v>1652</v>
      </c>
      <c r="AO154" s="752" t="s">
        <v>1653</v>
      </c>
      <c r="AP154" s="752" t="s">
        <v>1654</v>
      </c>
      <c r="AQ154" s="752" t="s">
        <v>1655</v>
      </c>
      <c r="AR154" s="805" t="s">
        <v>1656</v>
      </c>
      <c r="AS154" s="753" t="s">
        <v>1657</v>
      </c>
      <c r="AT154" s="805" t="s">
        <v>1658</v>
      </c>
      <c r="AU154" s="941" t="s">
        <v>1659</v>
      </c>
      <c r="AV154" s="754" t="s">
        <v>1660</v>
      </c>
      <c r="AW154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4" s="755"/>
      <c r="AY154" s="755"/>
      <c r="AZ154" s="755"/>
      <c r="BA154" s="755"/>
      <c r="BB154" s="806"/>
      <c r="BC154" s="806"/>
      <c r="BD154" s="806"/>
      <c r="BE154" s="806"/>
      <c r="BF154" s="806"/>
      <c r="BG154" s="806"/>
      <c r="BH154" s="806"/>
      <c r="BI154" s="806"/>
      <c r="BJ154" s="806"/>
      <c r="BK154" s="806"/>
      <c r="BL154" s="806"/>
      <c r="BM154" s="806"/>
      <c r="BN154" s="806"/>
      <c r="BO154" s="806"/>
      <c r="BP154" s="806"/>
      <c r="BQ154" s="806"/>
      <c r="BR154" s="806"/>
      <c r="BS154" s="806"/>
      <c r="BT154" s="806"/>
      <c r="BU154" s="806"/>
      <c r="BV154" s="806"/>
      <c r="CB154" s="191" t="str">
        <f t="shared" si="99"/>
        <v xml:space="preserve"> * La variable Pueblos Originarios  hombres  no debe ser mayor que el Total de Hombres.</v>
      </c>
      <c r="CC154" s="191" t="str">
        <f t="shared" si="100"/>
        <v xml:space="preserve"> * La variable Pueblos Originarios Mujeres no debe ser mayor que el Total de Mujeres</v>
      </c>
      <c r="CD154" s="191" t="str">
        <f t="shared" si="92"/>
        <v xml:space="preserve"> * La variable Migrantes  hombres  no debe ser mayor que el Total de Hombres</v>
      </c>
      <c r="CE154" s="191" t="str">
        <f t="shared" si="93"/>
        <v xml:space="preserve"> * La variable Migrantes  Mujeres no debe ser mayor que el Total de Mujeres</v>
      </c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B154" s="194"/>
      <c r="DQ154" s="1047">
        <f t="shared" si="94"/>
        <v>1</v>
      </c>
      <c r="DR154" s="1047">
        <f t="shared" si="95"/>
        <v>1</v>
      </c>
      <c r="DS154" s="1047">
        <f t="shared" si="96"/>
        <v>1</v>
      </c>
      <c r="DT154" s="1047">
        <f t="shared" si="97"/>
        <v>1</v>
      </c>
    </row>
    <row r="155" spans="1:124" ht="24" customHeight="1" x14ac:dyDescent="0.25">
      <c r="A155" s="1589" t="s">
        <v>1115</v>
      </c>
      <c r="B155" s="1765" t="s">
        <v>329</v>
      </c>
      <c r="C155" s="1766" t="s">
        <v>329</v>
      </c>
      <c r="D155" s="353" t="s">
        <v>1616</v>
      </c>
      <c r="E155" s="1137" t="s">
        <v>1617</v>
      </c>
      <c r="F155" s="889" t="s">
        <v>1618</v>
      </c>
      <c r="G155" s="357" t="s">
        <v>1619</v>
      </c>
      <c r="H155" s="376" t="s">
        <v>1620</v>
      </c>
      <c r="I155" s="376" t="s">
        <v>1621</v>
      </c>
      <c r="J155" s="376" t="s">
        <v>1622</v>
      </c>
      <c r="K155" s="376" t="s">
        <v>1623</v>
      </c>
      <c r="L155" s="376" t="s">
        <v>1624</v>
      </c>
      <c r="M155" s="376" t="s">
        <v>1625</v>
      </c>
      <c r="N155" s="376" t="s">
        <v>1626</v>
      </c>
      <c r="O155" s="376" t="s">
        <v>1627</v>
      </c>
      <c r="P155" s="376" t="s">
        <v>1628</v>
      </c>
      <c r="Q155" s="376" t="s">
        <v>1629</v>
      </c>
      <c r="R155" s="376" t="s">
        <v>1630</v>
      </c>
      <c r="S155" s="376" t="s">
        <v>1631</v>
      </c>
      <c r="T155" s="376" t="s">
        <v>1632</v>
      </c>
      <c r="U155" s="376" t="s">
        <v>1633</v>
      </c>
      <c r="V155" s="376" t="s">
        <v>1634</v>
      </c>
      <c r="W155" s="376" t="s">
        <v>1635</v>
      </c>
      <c r="X155" s="376" t="s">
        <v>1636</v>
      </c>
      <c r="Y155" s="376" t="s">
        <v>1637</v>
      </c>
      <c r="Z155" s="376" t="s">
        <v>1638</v>
      </c>
      <c r="AA155" s="376" t="s">
        <v>1639</v>
      </c>
      <c r="AB155" s="376" t="s">
        <v>1640</v>
      </c>
      <c r="AC155" s="376" t="s">
        <v>1641</v>
      </c>
      <c r="AD155" s="376" t="s">
        <v>1642</v>
      </c>
      <c r="AE155" s="376" t="s">
        <v>1643</v>
      </c>
      <c r="AF155" s="376" t="s">
        <v>1644</v>
      </c>
      <c r="AG155" s="376" t="s">
        <v>1645</v>
      </c>
      <c r="AH155" s="376" t="s">
        <v>1646</v>
      </c>
      <c r="AI155" s="376" t="s">
        <v>1647</v>
      </c>
      <c r="AJ155" s="376" t="s">
        <v>1648</v>
      </c>
      <c r="AK155" s="376" t="s">
        <v>1649</v>
      </c>
      <c r="AL155" s="376" t="s">
        <v>1650</v>
      </c>
      <c r="AM155" s="376" t="s">
        <v>1651</v>
      </c>
      <c r="AN155" s="376" t="s">
        <v>1652</v>
      </c>
      <c r="AO155" s="376" t="s">
        <v>1653</v>
      </c>
      <c r="AP155" s="376" t="s">
        <v>1654</v>
      </c>
      <c r="AQ155" s="376" t="s">
        <v>1655</v>
      </c>
      <c r="AR155" s="356" t="s">
        <v>1656</v>
      </c>
      <c r="AS155" s="358" t="s">
        <v>1657</v>
      </c>
      <c r="AT155" s="356" t="s">
        <v>1658</v>
      </c>
      <c r="AU155" s="354" t="s">
        <v>1659</v>
      </c>
      <c r="AV155" s="355" t="s">
        <v>1660</v>
      </c>
      <c r="AW155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5" s="110"/>
      <c r="AY155" s="110"/>
      <c r="AZ155" s="110"/>
      <c r="BA155" s="110"/>
      <c r="BS155" s="606"/>
      <c r="BT155" s="606"/>
      <c r="BU155" s="606"/>
      <c r="BV155" s="606"/>
      <c r="CB155" s="191" t="str">
        <f t="shared" si="99"/>
        <v xml:space="preserve"> * La variable Pueblos Originarios  hombres  no debe ser mayor que el Total de Hombres.</v>
      </c>
      <c r="CC155" s="191" t="str">
        <f t="shared" si="100"/>
        <v xml:space="preserve"> * La variable Pueblos Originarios Mujeres no debe ser mayor que el Total de Mujeres</v>
      </c>
      <c r="CD155" s="191" t="str">
        <f t="shared" si="92"/>
        <v xml:space="preserve"> * La variable Migrantes  hombres  no debe ser mayor que el Total de Hombres</v>
      </c>
      <c r="CE155" s="191" t="str">
        <f t="shared" si="93"/>
        <v xml:space="preserve"> * La variable Migrantes  Mujeres no debe ser mayor que el Total de Mujeres</v>
      </c>
      <c r="DQ155" s="1047">
        <f t="shared" si="94"/>
        <v>1</v>
      </c>
      <c r="DR155" s="1047">
        <f t="shared" si="95"/>
        <v>1</v>
      </c>
      <c r="DS155" s="1047">
        <f t="shared" si="96"/>
        <v>1</v>
      </c>
      <c r="DT155" s="1047">
        <f t="shared" si="97"/>
        <v>1</v>
      </c>
    </row>
    <row r="156" spans="1:124" s="228" customFormat="1" ht="15" customHeight="1" x14ac:dyDescent="0.2">
      <c r="A156" s="1589" t="s">
        <v>1116</v>
      </c>
      <c r="B156" s="1765" t="s">
        <v>330</v>
      </c>
      <c r="C156" s="1766" t="s">
        <v>331</v>
      </c>
      <c r="D156" s="1139" t="s">
        <v>1616</v>
      </c>
      <c r="E156" s="701" t="s">
        <v>1617</v>
      </c>
      <c r="F156" s="890" t="s">
        <v>1618</v>
      </c>
      <c r="G156" s="887" t="s">
        <v>1619</v>
      </c>
      <c r="H156" s="752" t="s">
        <v>1620</v>
      </c>
      <c r="I156" s="752" t="s">
        <v>1621</v>
      </c>
      <c r="J156" s="752" t="s">
        <v>1622</v>
      </c>
      <c r="K156" s="752" t="s">
        <v>1623</v>
      </c>
      <c r="L156" s="752" t="s">
        <v>1624</v>
      </c>
      <c r="M156" s="752" t="s">
        <v>1625</v>
      </c>
      <c r="N156" s="752" t="s">
        <v>1626</v>
      </c>
      <c r="O156" s="752" t="s">
        <v>1627</v>
      </c>
      <c r="P156" s="752" t="s">
        <v>1628</v>
      </c>
      <c r="Q156" s="752" t="s">
        <v>1629</v>
      </c>
      <c r="R156" s="752" t="s">
        <v>1630</v>
      </c>
      <c r="S156" s="752" t="s">
        <v>1631</v>
      </c>
      <c r="T156" s="752" t="s">
        <v>1632</v>
      </c>
      <c r="U156" s="752" t="s">
        <v>1633</v>
      </c>
      <c r="V156" s="752" t="s">
        <v>1634</v>
      </c>
      <c r="W156" s="752" t="s">
        <v>1635</v>
      </c>
      <c r="X156" s="752" t="s">
        <v>1636</v>
      </c>
      <c r="Y156" s="752" t="s">
        <v>1637</v>
      </c>
      <c r="Z156" s="752" t="s">
        <v>1638</v>
      </c>
      <c r="AA156" s="752" t="s">
        <v>1639</v>
      </c>
      <c r="AB156" s="752" t="s">
        <v>1640</v>
      </c>
      <c r="AC156" s="752" t="s">
        <v>1641</v>
      </c>
      <c r="AD156" s="752" t="s">
        <v>1642</v>
      </c>
      <c r="AE156" s="752" t="s">
        <v>1643</v>
      </c>
      <c r="AF156" s="752" t="s">
        <v>1644</v>
      </c>
      <c r="AG156" s="752" t="s">
        <v>1645</v>
      </c>
      <c r="AH156" s="752" t="s">
        <v>1646</v>
      </c>
      <c r="AI156" s="752" t="s">
        <v>1647</v>
      </c>
      <c r="AJ156" s="752" t="s">
        <v>1648</v>
      </c>
      <c r="AK156" s="752" t="s">
        <v>1649</v>
      </c>
      <c r="AL156" s="752" t="s">
        <v>1650</v>
      </c>
      <c r="AM156" s="752" t="s">
        <v>1651</v>
      </c>
      <c r="AN156" s="752" t="s">
        <v>1652</v>
      </c>
      <c r="AO156" s="752" t="s">
        <v>1653</v>
      </c>
      <c r="AP156" s="752" t="s">
        <v>1654</v>
      </c>
      <c r="AQ156" s="752" t="s">
        <v>1655</v>
      </c>
      <c r="AR156" s="805" t="s">
        <v>1656</v>
      </c>
      <c r="AS156" s="753" t="s">
        <v>1657</v>
      </c>
      <c r="AT156" s="805" t="s">
        <v>1658</v>
      </c>
      <c r="AU156" s="941" t="s">
        <v>1659</v>
      </c>
      <c r="AV156" s="754" t="s">
        <v>1660</v>
      </c>
      <c r="AW156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6" s="755"/>
      <c r="AY156" s="755"/>
      <c r="AZ156" s="755"/>
      <c r="BA156" s="755"/>
      <c r="BB156" s="806"/>
      <c r="BC156" s="806"/>
      <c r="BD156" s="806"/>
      <c r="BE156" s="806"/>
      <c r="BF156" s="806"/>
      <c r="BG156" s="806"/>
      <c r="BH156" s="806"/>
      <c r="BI156" s="806"/>
      <c r="BJ156" s="806"/>
      <c r="BK156" s="806"/>
      <c r="BL156" s="806"/>
      <c r="BM156" s="806"/>
      <c r="BN156" s="806"/>
      <c r="BO156" s="806"/>
      <c r="BP156" s="806"/>
      <c r="BQ156" s="806"/>
      <c r="BR156" s="806"/>
      <c r="BS156" s="806"/>
      <c r="BT156" s="806"/>
      <c r="BU156" s="806"/>
      <c r="BV156" s="806"/>
      <c r="CB156" s="191" t="str">
        <f t="shared" si="99"/>
        <v xml:space="preserve"> * La variable Pueblos Originarios  hombres  no debe ser mayor que el Total de Hombres.</v>
      </c>
      <c r="CC156" s="191" t="str">
        <f t="shared" si="100"/>
        <v xml:space="preserve"> * La variable Pueblos Originarios Mujeres no debe ser mayor que el Total de Mujeres</v>
      </c>
      <c r="CD156" s="191" t="str">
        <f t="shared" si="92"/>
        <v xml:space="preserve"> * La variable Migrantes  hombres  no debe ser mayor que el Total de Hombres</v>
      </c>
      <c r="CE156" s="191" t="str">
        <f t="shared" si="93"/>
        <v xml:space="preserve"> * La variable Migrantes  Mujeres no debe ser mayor que el Total de Mujeres</v>
      </c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B156" s="194"/>
      <c r="DQ156" s="1047">
        <f t="shared" si="94"/>
        <v>1</v>
      </c>
      <c r="DR156" s="1047">
        <f t="shared" si="95"/>
        <v>1</v>
      </c>
      <c r="DS156" s="1047">
        <f t="shared" si="96"/>
        <v>1</v>
      </c>
      <c r="DT156" s="1047">
        <f t="shared" si="97"/>
        <v>1</v>
      </c>
    </row>
    <row r="157" spans="1:124" ht="24.75" customHeight="1" x14ac:dyDescent="0.25">
      <c r="A157" s="1589" t="s">
        <v>1117</v>
      </c>
      <c r="B157" s="1765" t="s">
        <v>332</v>
      </c>
      <c r="C157" s="1766" t="s">
        <v>333</v>
      </c>
      <c r="D157" s="353" t="s">
        <v>1616</v>
      </c>
      <c r="E157" s="1137" t="s">
        <v>1617</v>
      </c>
      <c r="F157" s="889" t="s">
        <v>1618</v>
      </c>
      <c r="G157" s="357" t="s">
        <v>1619</v>
      </c>
      <c r="H157" s="376" t="s">
        <v>1620</v>
      </c>
      <c r="I157" s="376" t="s">
        <v>1621</v>
      </c>
      <c r="J157" s="376" t="s">
        <v>1622</v>
      </c>
      <c r="K157" s="376" t="s">
        <v>1623</v>
      </c>
      <c r="L157" s="376" t="s">
        <v>1624</v>
      </c>
      <c r="M157" s="376" t="s">
        <v>1625</v>
      </c>
      <c r="N157" s="376" t="s">
        <v>1626</v>
      </c>
      <c r="O157" s="376" t="s">
        <v>1627</v>
      </c>
      <c r="P157" s="376" t="s">
        <v>1628</v>
      </c>
      <c r="Q157" s="376" t="s">
        <v>1629</v>
      </c>
      <c r="R157" s="376" t="s">
        <v>1630</v>
      </c>
      <c r="S157" s="376" t="s">
        <v>1631</v>
      </c>
      <c r="T157" s="376" t="s">
        <v>1632</v>
      </c>
      <c r="U157" s="376" t="s">
        <v>1633</v>
      </c>
      <c r="V157" s="376" t="s">
        <v>1634</v>
      </c>
      <c r="W157" s="376" t="s">
        <v>1635</v>
      </c>
      <c r="X157" s="376" t="s">
        <v>1636</v>
      </c>
      <c r="Y157" s="376" t="s">
        <v>1637</v>
      </c>
      <c r="Z157" s="376" t="s">
        <v>1638</v>
      </c>
      <c r="AA157" s="376" t="s">
        <v>1639</v>
      </c>
      <c r="AB157" s="376" t="s">
        <v>1640</v>
      </c>
      <c r="AC157" s="376" t="s">
        <v>1641</v>
      </c>
      <c r="AD157" s="376" t="s">
        <v>1642</v>
      </c>
      <c r="AE157" s="376" t="s">
        <v>1643</v>
      </c>
      <c r="AF157" s="376" t="s">
        <v>1644</v>
      </c>
      <c r="AG157" s="376" t="s">
        <v>1645</v>
      </c>
      <c r="AH157" s="376" t="s">
        <v>1646</v>
      </c>
      <c r="AI157" s="376" t="s">
        <v>1647</v>
      </c>
      <c r="AJ157" s="376" t="s">
        <v>1648</v>
      </c>
      <c r="AK157" s="376" t="s">
        <v>1649</v>
      </c>
      <c r="AL157" s="376" t="s">
        <v>1650</v>
      </c>
      <c r="AM157" s="376" t="s">
        <v>1651</v>
      </c>
      <c r="AN157" s="376" t="s">
        <v>1652</v>
      </c>
      <c r="AO157" s="376" t="s">
        <v>1653</v>
      </c>
      <c r="AP157" s="376" t="s">
        <v>1654</v>
      </c>
      <c r="AQ157" s="376" t="s">
        <v>1655</v>
      </c>
      <c r="AR157" s="356" t="s">
        <v>1656</v>
      </c>
      <c r="AS157" s="358" t="s">
        <v>1657</v>
      </c>
      <c r="AT157" s="356" t="s">
        <v>1658</v>
      </c>
      <c r="AU157" s="354" t="s">
        <v>1659</v>
      </c>
      <c r="AV157" s="355" t="s">
        <v>1660</v>
      </c>
      <c r="AW157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7" s="110"/>
      <c r="AY157" s="110"/>
      <c r="AZ157" s="110"/>
      <c r="BA157" s="110"/>
      <c r="BS157" s="606"/>
      <c r="BT157" s="606"/>
      <c r="BU157" s="606"/>
      <c r="BV157" s="606"/>
      <c r="CB157" s="191" t="str">
        <f t="shared" si="99"/>
        <v xml:space="preserve"> * La variable Pueblos Originarios  hombres  no debe ser mayor que el Total de Hombres.</v>
      </c>
      <c r="CC157" s="191" t="str">
        <f t="shared" si="100"/>
        <v xml:space="preserve"> * La variable Pueblos Originarios Mujeres no debe ser mayor que el Total de Mujeres</v>
      </c>
      <c r="CD157" s="191" t="str">
        <f t="shared" si="92"/>
        <v xml:space="preserve"> * La variable Migrantes  hombres  no debe ser mayor que el Total de Hombres</v>
      </c>
      <c r="CE157" s="191" t="str">
        <f t="shared" si="93"/>
        <v xml:space="preserve"> * La variable Migrantes  Mujeres no debe ser mayor que el Total de Mujeres</v>
      </c>
      <c r="DQ157" s="1047">
        <f t="shared" si="94"/>
        <v>1</v>
      </c>
      <c r="DR157" s="1047">
        <f t="shared" si="95"/>
        <v>1</v>
      </c>
      <c r="DS157" s="1047">
        <f t="shared" si="96"/>
        <v>1</v>
      </c>
      <c r="DT157" s="1047">
        <f t="shared" si="97"/>
        <v>1</v>
      </c>
    </row>
    <row r="158" spans="1:124" ht="15" customHeight="1" x14ac:dyDescent="0.25">
      <c r="A158" s="1589" t="s">
        <v>1118</v>
      </c>
      <c r="B158" s="1765" t="s">
        <v>334</v>
      </c>
      <c r="C158" s="1766" t="s">
        <v>334</v>
      </c>
      <c r="D158" s="353" t="s">
        <v>1616</v>
      </c>
      <c r="E158" s="1137" t="s">
        <v>1617</v>
      </c>
      <c r="F158" s="889" t="s">
        <v>1618</v>
      </c>
      <c r="G158" s="357" t="s">
        <v>1619</v>
      </c>
      <c r="H158" s="376" t="s">
        <v>1620</v>
      </c>
      <c r="I158" s="376" t="s">
        <v>1621</v>
      </c>
      <c r="J158" s="376" t="s">
        <v>1622</v>
      </c>
      <c r="K158" s="376" t="s">
        <v>1623</v>
      </c>
      <c r="L158" s="376" t="s">
        <v>1624</v>
      </c>
      <c r="M158" s="376" t="s">
        <v>1625</v>
      </c>
      <c r="N158" s="376" t="s">
        <v>1626</v>
      </c>
      <c r="O158" s="376" t="s">
        <v>1627</v>
      </c>
      <c r="P158" s="376" t="s">
        <v>1628</v>
      </c>
      <c r="Q158" s="376" t="s">
        <v>1629</v>
      </c>
      <c r="R158" s="376" t="s">
        <v>1630</v>
      </c>
      <c r="S158" s="376" t="s">
        <v>1631</v>
      </c>
      <c r="T158" s="376" t="s">
        <v>1632</v>
      </c>
      <c r="U158" s="376" t="s">
        <v>1633</v>
      </c>
      <c r="V158" s="376" t="s">
        <v>1634</v>
      </c>
      <c r="W158" s="376" t="s">
        <v>1635</v>
      </c>
      <c r="X158" s="376" t="s">
        <v>1636</v>
      </c>
      <c r="Y158" s="376" t="s">
        <v>1637</v>
      </c>
      <c r="Z158" s="376" t="s">
        <v>1638</v>
      </c>
      <c r="AA158" s="376" t="s">
        <v>1639</v>
      </c>
      <c r="AB158" s="376" t="s">
        <v>1640</v>
      </c>
      <c r="AC158" s="376" t="s">
        <v>1641</v>
      </c>
      <c r="AD158" s="376" t="s">
        <v>1642</v>
      </c>
      <c r="AE158" s="376" t="s">
        <v>1643</v>
      </c>
      <c r="AF158" s="376" t="s">
        <v>1644</v>
      </c>
      <c r="AG158" s="376" t="s">
        <v>1645</v>
      </c>
      <c r="AH158" s="376" t="s">
        <v>1646</v>
      </c>
      <c r="AI158" s="376" t="s">
        <v>1647</v>
      </c>
      <c r="AJ158" s="376" t="s">
        <v>1648</v>
      </c>
      <c r="AK158" s="376" t="s">
        <v>1649</v>
      </c>
      <c r="AL158" s="376" t="s">
        <v>1650</v>
      </c>
      <c r="AM158" s="376" t="s">
        <v>1651</v>
      </c>
      <c r="AN158" s="376" t="s">
        <v>1652</v>
      </c>
      <c r="AO158" s="376" t="s">
        <v>1653</v>
      </c>
      <c r="AP158" s="376" t="s">
        <v>1654</v>
      </c>
      <c r="AQ158" s="376" t="s">
        <v>1655</v>
      </c>
      <c r="AR158" s="356" t="s">
        <v>1656</v>
      </c>
      <c r="AS158" s="358" t="s">
        <v>1657</v>
      </c>
      <c r="AT158" s="356" t="s">
        <v>1658</v>
      </c>
      <c r="AU158" s="354" t="s">
        <v>1659</v>
      </c>
      <c r="AV158" s="355" t="s">
        <v>1660</v>
      </c>
      <c r="AW158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8" s="110"/>
      <c r="AY158" s="110"/>
      <c r="AZ158" s="110"/>
      <c r="BA158" s="110"/>
      <c r="BS158" s="606"/>
      <c r="BT158" s="606"/>
      <c r="BU158" s="606"/>
      <c r="BV158" s="606"/>
      <c r="CB158" s="191" t="str">
        <f t="shared" si="99"/>
        <v xml:space="preserve"> * La variable Pueblos Originarios  hombres  no debe ser mayor que el Total de Hombres.</v>
      </c>
      <c r="CC158" s="191" t="str">
        <f t="shared" si="100"/>
        <v xml:space="preserve"> * La variable Pueblos Originarios Mujeres no debe ser mayor que el Total de Mujeres</v>
      </c>
      <c r="CD158" s="191" t="str">
        <f t="shared" si="92"/>
        <v xml:space="preserve"> * La variable Migrantes  hombres  no debe ser mayor que el Total de Hombres</v>
      </c>
      <c r="CE158" s="191" t="str">
        <f t="shared" si="93"/>
        <v xml:space="preserve"> * La variable Migrantes  Mujeres no debe ser mayor que el Total de Mujeres</v>
      </c>
      <c r="DQ158" s="1047">
        <f t="shared" si="94"/>
        <v>1</v>
      </c>
      <c r="DR158" s="1047">
        <f t="shared" si="95"/>
        <v>1</v>
      </c>
      <c r="DS158" s="1047">
        <f t="shared" si="96"/>
        <v>1</v>
      </c>
      <c r="DT158" s="1047">
        <f t="shared" si="97"/>
        <v>1</v>
      </c>
    </row>
    <row r="159" spans="1:124" ht="15" customHeight="1" x14ac:dyDescent="0.25">
      <c r="A159" s="1589" t="s">
        <v>1119</v>
      </c>
      <c r="B159" s="1765" t="s">
        <v>335</v>
      </c>
      <c r="C159" s="1766" t="s">
        <v>335</v>
      </c>
      <c r="D159" s="353" t="s">
        <v>1616</v>
      </c>
      <c r="E159" s="1137" t="s">
        <v>1617</v>
      </c>
      <c r="F159" s="889" t="s">
        <v>1618</v>
      </c>
      <c r="G159" s="357" t="s">
        <v>1619</v>
      </c>
      <c r="H159" s="376" t="s">
        <v>1620</v>
      </c>
      <c r="I159" s="376" t="s">
        <v>1621</v>
      </c>
      <c r="J159" s="376" t="s">
        <v>1622</v>
      </c>
      <c r="K159" s="376" t="s">
        <v>1623</v>
      </c>
      <c r="L159" s="376" t="s">
        <v>1624</v>
      </c>
      <c r="M159" s="376" t="s">
        <v>1625</v>
      </c>
      <c r="N159" s="376" t="s">
        <v>1626</v>
      </c>
      <c r="O159" s="376" t="s">
        <v>1627</v>
      </c>
      <c r="P159" s="376" t="s">
        <v>1628</v>
      </c>
      <c r="Q159" s="376" t="s">
        <v>1629</v>
      </c>
      <c r="R159" s="376" t="s">
        <v>1630</v>
      </c>
      <c r="S159" s="376" t="s">
        <v>1631</v>
      </c>
      <c r="T159" s="376" t="s">
        <v>1632</v>
      </c>
      <c r="U159" s="376" t="s">
        <v>1633</v>
      </c>
      <c r="V159" s="376" t="s">
        <v>1634</v>
      </c>
      <c r="W159" s="376" t="s">
        <v>1635</v>
      </c>
      <c r="X159" s="376" t="s">
        <v>1636</v>
      </c>
      <c r="Y159" s="376" t="s">
        <v>1637</v>
      </c>
      <c r="Z159" s="376" t="s">
        <v>1638</v>
      </c>
      <c r="AA159" s="376" t="s">
        <v>1639</v>
      </c>
      <c r="AB159" s="376" t="s">
        <v>1640</v>
      </c>
      <c r="AC159" s="376" t="s">
        <v>1641</v>
      </c>
      <c r="AD159" s="376" t="s">
        <v>1642</v>
      </c>
      <c r="AE159" s="376" t="s">
        <v>1643</v>
      </c>
      <c r="AF159" s="376" t="s">
        <v>1644</v>
      </c>
      <c r="AG159" s="376" t="s">
        <v>1645</v>
      </c>
      <c r="AH159" s="376" t="s">
        <v>1646</v>
      </c>
      <c r="AI159" s="376" t="s">
        <v>1647</v>
      </c>
      <c r="AJ159" s="376" t="s">
        <v>1648</v>
      </c>
      <c r="AK159" s="376" t="s">
        <v>1649</v>
      </c>
      <c r="AL159" s="376" t="s">
        <v>1650</v>
      </c>
      <c r="AM159" s="376" t="s">
        <v>1651</v>
      </c>
      <c r="AN159" s="376" t="s">
        <v>1652</v>
      </c>
      <c r="AO159" s="376" t="s">
        <v>1653</v>
      </c>
      <c r="AP159" s="376" t="s">
        <v>1654</v>
      </c>
      <c r="AQ159" s="376" t="s">
        <v>1655</v>
      </c>
      <c r="AR159" s="356" t="s">
        <v>1656</v>
      </c>
      <c r="AS159" s="358" t="s">
        <v>1657</v>
      </c>
      <c r="AT159" s="356" t="s">
        <v>1658</v>
      </c>
      <c r="AU159" s="354" t="s">
        <v>1659</v>
      </c>
      <c r="AV159" s="355" t="s">
        <v>1660</v>
      </c>
      <c r="AW159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CB159" s="191" t="str">
        <f t="shared" si="99"/>
        <v xml:space="preserve"> * La variable Pueblos Originarios  hombres  no debe ser mayor que el Total de Hombres.</v>
      </c>
      <c r="CC159" s="191" t="str">
        <f t="shared" si="100"/>
        <v xml:space="preserve"> * La variable Pueblos Originarios Mujeres no debe ser mayor que el Total de Mujeres</v>
      </c>
      <c r="CD159" s="191" t="str">
        <f t="shared" si="92"/>
        <v xml:space="preserve"> * La variable Migrantes  hombres  no debe ser mayor que el Total de Hombres</v>
      </c>
      <c r="CE159" s="191" t="str">
        <f t="shared" si="93"/>
        <v xml:space="preserve"> * La variable Migrantes  Mujeres no debe ser mayor que el Total de Mujeres</v>
      </c>
      <c r="DQ159" s="1047">
        <f t="shared" si="94"/>
        <v>1</v>
      </c>
      <c r="DR159" s="1047">
        <f t="shared" si="95"/>
        <v>1</v>
      </c>
      <c r="DS159" s="1047">
        <f t="shared" si="96"/>
        <v>1</v>
      </c>
      <c r="DT159" s="1047">
        <f t="shared" si="97"/>
        <v>1</v>
      </c>
    </row>
    <row r="160" spans="1:124" ht="15" customHeight="1" x14ac:dyDescent="0.25">
      <c r="A160" s="1589" t="s">
        <v>1120</v>
      </c>
      <c r="B160" s="1765" t="s">
        <v>336</v>
      </c>
      <c r="C160" s="1766" t="s">
        <v>336</v>
      </c>
      <c r="D160" s="353" t="s">
        <v>1616</v>
      </c>
      <c r="E160" s="1137" t="s">
        <v>1617</v>
      </c>
      <c r="F160" s="889" t="s">
        <v>1618</v>
      </c>
      <c r="G160" s="357" t="s">
        <v>1619</v>
      </c>
      <c r="H160" s="376" t="s">
        <v>1620</v>
      </c>
      <c r="I160" s="376" t="s">
        <v>1621</v>
      </c>
      <c r="J160" s="376" t="s">
        <v>1622</v>
      </c>
      <c r="K160" s="376" t="s">
        <v>1623</v>
      </c>
      <c r="L160" s="376" t="s">
        <v>1624</v>
      </c>
      <c r="M160" s="376" t="s">
        <v>1625</v>
      </c>
      <c r="N160" s="376" t="s">
        <v>1626</v>
      </c>
      <c r="O160" s="376" t="s">
        <v>1627</v>
      </c>
      <c r="P160" s="376" t="s">
        <v>1628</v>
      </c>
      <c r="Q160" s="376" t="s">
        <v>1629</v>
      </c>
      <c r="R160" s="376" t="s">
        <v>1630</v>
      </c>
      <c r="S160" s="376" t="s">
        <v>1631</v>
      </c>
      <c r="T160" s="376" t="s">
        <v>1632</v>
      </c>
      <c r="U160" s="376" t="s">
        <v>1633</v>
      </c>
      <c r="V160" s="376" t="s">
        <v>1634</v>
      </c>
      <c r="W160" s="376" t="s">
        <v>1635</v>
      </c>
      <c r="X160" s="376" t="s">
        <v>1636</v>
      </c>
      <c r="Y160" s="376" t="s">
        <v>1637</v>
      </c>
      <c r="Z160" s="376" t="s">
        <v>1638</v>
      </c>
      <c r="AA160" s="376" t="s">
        <v>1639</v>
      </c>
      <c r="AB160" s="376" t="s">
        <v>1640</v>
      </c>
      <c r="AC160" s="376" t="s">
        <v>1641</v>
      </c>
      <c r="AD160" s="376" t="s">
        <v>1642</v>
      </c>
      <c r="AE160" s="376" t="s">
        <v>1643</v>
      </c>
      <c r="AF160" s="376" t="s">
        <v>1644</v>
      </c>
      <c r="AG160" s="376" t="s">
        <v>1645</v>
      </c>
      <c r="AH160" s="376" t="s">
        <v>1646</v>
      </c>
      <c r="AI160" s="376" t="s">
        <v>1647</v>
      </c>
      <c r="AJ160" s="376" t="s">
        <v>1648</v>
      </c>
      <c r="AK160" s="376" t="s">
        <v>1649</v>
      </c>
      <c r="AL160" s="376" t="s">
        <v>1650</v>
      </c>
      <c r="AM160" s="376" t="s">
        <v>1651</v>
      </c>
      <c r="AN160" s="376" t="s">
        <v>1652</v>
      </c>
      <c r="AO160" s="376" t="s">
        <v>1653</v>
      </c>
      <c r="AP160" s="376" t="s">
        <v>1654</v>
      </c>
      <c r="AQ160" s="376" t="s">
        <v>1655</v>
      </c>
      <c r="AR160" s="356" t="s">
        <v>1656</v>
      </c>
      <c r="AS160" s="358" t="s">
        <v>1657</v>
      </c>
      <c r="AT160" s="356" t="s">
        <v>1658</v>
      </c>
      <c r="AU160" s="354" t="s">
        <v>1659</v>
      </c>
      <c r="AV160" s="355" t="s">
        <v>1660</v>
      </c>
      <c r="AW160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0" s="110"/>
      <c r="AY160" s="110"/>
      <c r="AZ160" s="110"/>
      <c r="BA160" s="110"/>
      <c r="BS160" s="606"/>
      <c r="BT160" s="606"/>
      <c r="BU160" s="606"/>
      <c r="BV160" s="606"/>
      <c r="CB160" s="191" t="str">
        <f t="shared" si="99"/>
        <v xml:space="preserve"> * La variable Pueblos Originarios  hombres  no debe ser mayor que el Total de Hombres.</v>
      </c>
      <c r="CC160" s="191" t="str">
        <f t="shared" si="100"/>
        <v xml:space="preserve"> * La variable Pueblos Originarios Mujeres no debe ser mayor que el Total de Mujeres</v>
      </c>
      <c r="CD160" s="191" t="str">
        <f t="shared" si="92"/>
        <v xml:space="preserve"> * La variable Migrantes  hombres  no debe ser mayor que el Total de Hombres</v>
      </c>
      <c r="CE160" s="191" t="str">
        <f t="shared" si="93"/>
        <v xml:space="preserve"> * La variable Migrantes  Mujeres no debe ser mayor que el Total de Mujeres</v>
      </c>
      <c r="DQ160" s="1047">
        <f t="shared" si="94"/>
        <v>1</v>
      </c>
      <c r="DR160" s="1047">
        <f t="shared" si="95"/>
        <v>1</v>
      </c>
      <c r="DS160" s="1047">
        <f t="shared" si="96"/>
        <v>1</v>
      </c>
      <c r="DT160" s="1047">
        <f t="shared" si="97"/>
        <v>1</v>
      </c>
    </row>
    <row r="161" spans="1:124" ht="15" customHeight="1" x14ac:dyDescent="0.25">
      <c r="A161" s="1589" t="s">
        <v>1121</v>
      </c>
      <c r="B161" s="1765" t="s">
        <v>337</v>
      </c>
      <c r="C161" s="1766" t="s">
        <v>337</v>
      </c>
      <c r="D161" s="353" t="s">
        <v>1616</v>
      </c>
      <c r="E161" s="1137" t="s">
        <v>1617</v>
      </c>
      <c r="F161" s="889" t="s">
        <v>1618</v>
      </c>
      <c r="G161" s="357" t="s">
        <v>1619</v>
      </c>
      <c r="H161" s="376" t="s">
        <v>1620</v>
      </c>
      <c r="I161" s="376" t="s">
        <v>1621</v>
      </c>
      <c r="J161" s="376" t="s">
        <v>1622</v>
      </c>
      <c r="K161" s="376" t="s">
        <v>1623</v>
      </c>
      <c r="L161" s="376" t="s">
        <v>1624</v>
      </c>
      <c r="M161" s="376" t="s">
        <v>1625</v>
      </c>
      <c r="N161" s="376" t="s">
        <v>1626</v>
      </c>
      <c r="O161" s="376" t="s">
        <v>1627</v>
      </c>
      <c r="P161" s="376" t="s">
        <v>1628</v>
      </c>
      <c r="Q161" s="376" t="s">
        <v>1629</v>
      </c>
      <c r="R161" s="376" t="s">
        <v>1630</v>
      </c>
      <c r="S161" s="376" t="s">
        <v>1631</v>
      </c>
      <c r="T161" s="376" t="s">
        <v>1632</v>
      </c>
      <c r="U161" s="376" t="s">
        <v>1633</v>
      </c>
      <c r="V161" s="376" t="s">
        <v>1634</v>
      </c>
      <c r="W161" s="376" t="s">
        <v>1635</v>
      </c>
      <c r="X161" s="376" t="s">
        <v>1636</v>
      </c>
      <c r="Y161" s="376" t="s">
        <v>1637</v>
      </c>
      <c r="Z161" s="376" t="s">
        <v>1638</v>
      </c>
      <c r="AA161" s="376" t="s">
        <v>1639</v>
      </c>
      <c r="AB161" s="376" t="s">
        <v>1640</v>
      </c>
      <c r="AC161" s="376" t="s">
        <v>1641</v>
      </c>
      <c r="AD161" s="376" t="s">
        <v>1642</v>
      </c>
      <c r="AE161" s="376" t="s">
        <v>1643</v>
      </c>
      <c r="AF161" s="376" t="s">
        <v>1644</v>
      </c>
      <c r="AG161" s="376" t="s">
        <v>1645</v>
      </c>
      <c r="AH161" s="376" t="s">
        <v>1646</v>
      </c>
      <c r="AI161" s="376" t="s">
        <v>1647</v>
      </c>
      <c r="AJ161" s="376" t="s">
        <v>1648</v>
      </c>
      <c r="AK161" s="376" t="s">
        <v>1649</v>
      </c>
      <c r="AL161" s="376" t="s">
        <v>1650</v>
      </c>
      <c r="AM161" s="376" t="s">
        <v>1651</v>
      </c>
      <c r="AN161" s="376" t="s">
        <v>1652</v>
      </c>
      <c r="AO161" s="376" t="s">
        <v>1653</v>
      </c>
      <c r="AP161" s="376" t="s">
        <v>1654</v>
      </c>
      <c r="AQ161" s="376" t="s">
        <v>1655</v>
      </c>
      <c r="AR161" s="356" t="s">
        <v>1656</v>
      </c>
      <c r="AS161" s="358" t="s">
        <v>1657</v>
      </c>
      <c r="AT161" s="356" t="s">
        <v>1658</v>
      </c>
      <c r="AU161" s="354" t="s">
        <v>1659</v>
      </c>
      <c r="AV161" s="355" t="s">
        <v>1660</v>
      </c>
      <c r="AW161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CB161" s="191" t="str">
        <f t="shared" si="99"/>
        <v xml:space="preserve"> * La variable Pueblos Originarios  hombres  no debe ser mayor que el Total de Hombres.</v>
      </c>
      <c r="CC161" s="191" t="str">
        <f t="shared" si="100"/>
        <v xml:space="preserve"> * La variable Pueblos Originarios Mujeres no debe ser mayor que el Total de Mujeres</v>
      </c>
      <c r="CD161" s="191" t="str">
        <f t="shared" si="92"/>
        <v xml:space="preserve"> * La variable Migrantes  hombres  no debe ser mayor que el Total de Hombres</v>
      </c>
      <c r="CE161" s="191" t="str">
        <f t="shared" si="93"/>
        <v xml:space="preserve"> * La variable Migrantes  Mujeres no debe ser mayor que el Total de Mujeres</v>
      </c>
      <c r="DQ161" s="1047">
        <f t="shared" si="94"/>
        <v>1</v>
      </c>
      <c r="DR161" s="1047">
        <f t="shared" si="95"/>
        <v>1</v>
      </c>
      <c r="DS161" s="1047">
        <f t="shared" si="96"/>
        <v>1</v>
      </c>
      <c r="DT161" s="1047">
        <f t="shared" si="97"/>
        <v>1</v>
      </c>
    </row>
    <row r="162" spans="1:124" s="228" customFormat="1" ht="15" customHeight="1" x14ac:dyDescent="0.2">
      <c r="A162" s="1589" t="s">
        <v>1122</v>
      </c>
      <c r="B162" s="1765" t="s">
        <v>338</v>
      </c>
      <c r="C162" s="1766" t="s">
        <v>338</v>
      </c>
      <c r="D162" s="1139" t="s">
        <v>1616</v>
      </c>
      <c r="E162" s="701" t="s">
        <v>1617</v>
      </c>
      <c r="F162" s="890" t="s">
        <v>1618</v>
      </c>
      <c r="G162" s="887" t="s">
        <v>1619</v>
      </c>
      <c r="H162" s="752" t="s">
        <v>1620</v>
      </c>
      <c r="I162" s="752" t="s">
        <v>1621</v>
      </c>
      <c r="J162" s="752" t="s">
        <v>1622</v>
      </c>
      <c r="K162" s="752" t="s">
        <v>1623</v>
      </c>
      <c r="L162" s="752" t="s">
        <v>1624</v>
      </c>
      <c r="M162" s="752" t="s">
        <v>1625</v>
      </c>
      <c r="N162" s="752" t="s">
        <v>1626</v>
      </c>
      <c r="O162" s="752" t="s">
        <v>1627</v>
      </c>
      <c r="P162" s="752" t="s">
        <v>1628</v>
      </c>
      <c r="Q162" s="752" t="s">
        <v>1629</v>
      </c>
      <c r="R162" s="752" t="s">
        <v>1630</v>
      </c>
      <c r="S162" s="752" t="s">
        <v>1631</v>
      </c>
      <c r="T162" s="752" t="s">
        <v>1632</v>
      </c>
      <c r="U162" s="752" t="s">
        <v>1633</v>
      </c>
      <c r="V162" s="752" t="s">
        <v>1634</v>
      </c>
      <c r="W162" s="752" t="s">
        <v>1635</v>
      </c>
      <c r="X162" s="752" t="s">
        <v>1636</v>
      </c>
      <c r="Y162" s="752" t="s">
        <v>1637</v>
      </c>
      <c r="Z162" s="752" t="s">
        <v>1638</v>
      </c>
      <c r="AA162" s="752" t="s">
        <v>1639</v>
      </c>
      <c r="AB162" s="752" t="s">
        <v>1640</v>
      </c>
      <c r="AC162" s="752" t="s">
        <v>1641</v>
      </c>
      <c r="AD162" s="752" t="s">
        <v>1642</v>
      </c>
      <c r="AE162" s="752" t="s">
        <v>1643</v>
      </c>
      <c r="AF162" s="752" t="s">
        <v>1644</v>
      </c>
      <c r="AG162" s="752" t="s">
        <v>1645</v>
      </c>
      <c r="AH162" s="752" t="s">
        <v>1646</v>
      </c>
      <c r="AI162" s="752" t="s">
        <v>1647</v>
      </c>
      <c r="AJ162" s="752" t="s">
        <v>1648</v>
      </c>
      <c r="AK162" s="752" t="s">
        <v>1649</v>
      </c>
      <c r="AL162" s="752" t="s">
        <v>1650</v>
      </c>
      <c r="AM162" s="752" t="s">
        <v>1651</v>
      </c>
      <c r="AN162" s="752" t="s">
        <v>1652</v>
      </c>
      <c r="AO162" s="752" t="s">
        <v>1653</v>
      </c>
      <c r="AP162" s="752" t="s">
        <v>1654</v>
      </c>
      <c r="AQ162" s="752" t="s">
        <v>1655</v>
      </c>
      <c r="AR162" s="805" t="s">
        <v>1656</v>
      </c>
      <c r="AS162" s="753" t="s">
        <v>1657</v>
      </c>
      <c r="AT162" s="805" t="s">
        <v>1658</v>
      </c>
      <c r="AU162" s="941" t="s">
        <v>1659</v>
      </c>
      <c r="AV162" s="754" t="s">
        <v>1660</v>
      </c>
      <c r="AW162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2" s="755"/>
      <c r="AY162" s="755"/>
      <c r="AZ162" s="755"/>
      <c r="BA162" s="755"/>
      <c r="BB162" s="806"/>
      <c r="BC162" s="806"/>
      <c r="BD162" s="806"/>
      <c r="BE162" s="806"/>
      <c r="BF162" s="806"/>
      <c r="BG162" s="806"/>
      <c r="BH162" s="806"/>
      <c r="BI162" s="806"/>
      <c r="BJ162" s="806"/>
      <c r="BK162" s="806"/>
      <c r="BL162" s="806"/>
      <c r="BM162" s="806"/>
      <c r="BN162" s="806"/>
      <c r="BO162" s="806"/>
      <c r="BP162" s="806"/>
      <c r="BQ162" s="806"/>
      <c r="BR162" s="806"/>
      <c r="BS162" s="806"/>
      <c r="BT162" s="806"/>
      <c r="BU162" s="806"/>
      <c r="BV162" s="806"/>
      <c r="CB162" s="191" t="str">
        <f t="shared" si="99"/>
        <v xml:space="preserve"> * La variable Pueblos Originarios  hombres  no debe ser mayor que el Total de Hombres.</v>
      </c>
      <c r="CC162" s="191" t="str">
        <f t="shared" si="100"/>
        <v xml:space="preserve"> * La variable Pueblos Originarios Mujeres no debe ser mayor que el Total de Mujeres</v>
      </c>
      <c r="CD162" s="191" t="str">
        <f t="shared" si="92"/>
        <v xml:space="preserve"> * La variable Migrantes  hombres  no debe ser mayor que el Total de Hombres</v>
      </c>
      <c r="CE162" s="191" t="str">
        <f t="shared" si="93"/>
        <v xml:space="preserve"> * La variable Migrantes  Mujeres no debe ser mayor que el Total de Mujeres</v>
      </c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B162" s="194"/>
      <c r="DQ162" s="1047">
        <f t="shared" si="94"/>
        <v>1</v>
      </c>
      <c r="DR162" s="1047">
        <f t="shared" si="95"/>
        <v>1</v>
      </c>
      <c r="DS162" s="1047">
        <f t="shared" si="96"/>
        <v>1</v>
      </c>
      <c r="DT162" s="1047">
        <f t="shared" si="97"/>
        <v>1</v>
      </c>
    </row>
    <row r="163" spans="1:124" ht="15" customHeight="1" x14ac:dyDescent="0.25">
      <c r="A163" s="1589" t="s">
        <v>1123</v>
      </c>
      <c r="B163" s="1765" t="s">
        <v>339</v>
      </c>
      <c r="C163" s="1766"/>
      <c r="D163" s="1139" t="s">
        <v>1616</v>
      </c>
      <c r="E163" s="1137" t="s">
        <v>1617</v>
      </c>
      <c r="F163" s="889" t="s">
        <v>1618</v>
      </c>
      <c r="G163" s="357" t="s">
        <v>1619</v>
      </c>
      <c r="H163" s="376" t="s">
        <v>1620</v>
      </c>
      <c r="I163" s="376" t="s">
        <v>1621</v>
      </c>
      <c r="J163" s="376" t="s">
        <v>1622</v>
      </c>
      <c r="K163" s="376" t="s">
        <v>1623</v>
      </c>
      <c r="L163" s="376" t="s">
        <v>1624</v>
      </c>
      <c r="M163" s="376" t="s">
        <v>1625</v>
      </c>
      <c r="N163" s="376" t="s">
        <v>1626</v>
      </c>
      <c r="O163" s="376" t="s">
        <v>1627</v>
      </c>
      <c r="P163" s="376" t="s">
        <v>1628</v>
      </c>
      <c r="Q163" s="376" t="s">
        <v>1629</v>
      </c>
      <c r="R163" s="376" t="s">
        <v>1630</v>
      </c>
      <c r="S163" s="376" t="s">
        <v>1631</v>
      </c>
      <c r="T163" s="376" t="s">
        <v>1632</v>
      </c>
      <c r="U163" s="376" t="s">
        <v>1633</v>
      </c>
      <c r="V163" s="376" t="s">
        <v>1634</v>
      </c>
      <c r="W163" s="376" t="s">
        <v>1635</v>
      </c>
      <c r="X163" s="376" t="s">
        <v>1636</v>
      </c>
      <c r="Y163" s="376" t="s">
        <v>1637</v>
      </c>
      <c r="Z163" s="376" t="s">
        <v>1638</v>
      </c>
      <c r="AA163" s="376" t="s">
        <v>1639</v>
      </c>
      <c r="AB163" s="376" t="s">
        <v>1640</v>
      </c>
      <c r="AC163" s="376" t="s">
        <v>1641</v>
      </c>
      <c r="AD163" s="376" t="s">
        <v>1642</v>
      </c>
      <c r="AE163" s="376" t="s">
        <v>1643</v>
      </c>
      <c r="AF163" s="376" t="s">
        <v>1644</v>
      </c>
      <c r="AG163" s="376" t="s">
        <v>1645</v>
      </c>
      <c r="AH163" s="376" t="s">
        <v>1646</v>
      </c>
      <c r="AI163" s="376" t="s">
        <v>1647</v>
      </c>
      <c r="AJ163" s="376" t="s">
        <v>1648</v>
      </c>
      <c r="AK163" s="376" t="s">
        <v>1649</v>
      </c>
      <c r="AL163" s="376" t="s">
        <v>1650</v>
      </c>
      <c r="AM163" s="376" t="s">
        <v>1651</v>
      </c>
      <c r="AN163" s="376" t="s">
        <v>1652</v>
      </c>
      <c r="AO163" s="376" t="s">
        <v>1653</v>
      </c>
      <c r="AP163" s="376" t="s">
        <v>1654</v>
      </c>
      <c r="AQ163" s="376" t="s">
        <v>1655</v>
      </c>
      <c r="AR163" s="356" t="s">
        <v>1656</v>
      </c>
      <c r="AS163" s="358" t="s">
        <v>1657</v>
      </c>
      <c r="AT163" s="356" t="s">
        <v>1658</v>
      </c>
      <c r="AU163" s="354" t="s">
        <v>1659</v>
      </c>
      <c r="AV163" s="355" t="s">
        <v>1660</v>
      </c>
      <c r="AW163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3" s="110"/>
      <c r="AY163" s="110"/>
      <c r="AZ163" s="110"/>
      <c r="BA163" s="110"/>
      <c r="BS163" s="606"/>
      <c r="BT163" s="606"/>
      <c r="BU163" s="606"/>
      <c r="BV163" s="606"/>
      <c r="CB163" s="191" t="str">
        <f t="shared" si="99"/>
        <v xml:space="preserve"> * La variable Pueblos Originarios  hombres  no debe ser mayor que el Total de Hombres.</v>
      </c>
      <c r="CC163" s="191" t="str">
        <f t="shared" si="100"/>
        <v xml:space="preserve"> * La variable Pueblos Originarios Mujeres no debe ser mayor que el Total de Mujeres</v>
      </c>
      <c r="CD163" s="191" t="str">
        <f t="shared" si="92"/>
        <v xml:space="preserve"> * La variable Migrantes  hombres  no debe ser mayor que el Total de Hombres</v>
      </c>
      <c r="CE163" s="191" t="str">
        <f t="shared" si="93"/>
        <v xml:space="preserve"> * La variable Migrantes  Mujeres no debe ser mayor que el Total de Mujeres</v>
      </c>
      <c r="DQ163" s="1047">
        <f t="shared" si="94"/>
        <v>1</v>
      </c>
      <c r="DR163" s="1047">
        <f t="shared" si="95"/>
        <v>1</v>
      </c>
      <c r="DS163" s="1047">
        <f t="shared" si="96"/>
        <v>1</v>
      </c>
      <c r="DT163" s="1047">
        <f t="shared" si="97"/>
        <v>1</v>
      </c>
    </row>
    <row r="164" spans="1:124" s="228" customFormat="1" ht="15" customHeight="1" x14ac:dyDescent="0.2">
      <c r="A164" s="1589" t="s">
        <v>1124</v>
      </c>
      <c r="B164" s="1765" t="s">
        <v>340</v>
      </c>
      <c r="C164" s="1766" t="s">
        <v>340</v>
      </c>
      <c r="D164" s="1139" t="s">
        <v>1616</v>
      </c>
      <c r="E164" s="701" t="s">
        <v>1617</v>
      </c>
      <c r="F164" s="890" t="s">
        <v>1618</v>
      </c>
      <c r="G164" s="887" t="s">
        <v>1619</v>
      </c>
      <c r="H164" s="752" t="s">
        <v>1620</v>
      </c>
      <c r="I164" s="752" t="s">
        <v>1621</v>
      </c>
      <c r="J164" s="752" t="s">
        <v>1622</v>
      </c>
      <c r="K164" s="752" t="s">
        <v>1623</v>
      </c>
      <c r="L164" s="752" t="s">
        <v>1624</v>
      </c>
      <c r="M164" s="752" t="s">
        <v>1625</v>
      </c>
      <c r="N164" s="752" t="s">
        <v>1626</v>
      </c>
      <c r="O164" s="752" t="s">
        <v>1627</v>
      </c>
      <c r="P164" s="752" t="s">
        <v>1628</v>
      </c>
      <c r="Q164" s="752" t="s">
        <v>1629</v>
      </c>
      <c r="R164" s="752" t="s">
        <v>1630</v>
      </c>
      <c r="S164" s="752" t="s">
        <v>1631</v>
      </c>
      <c r="T164" s="752" t="s">
        <v>1632</v>
      </c>
      <c r="U164" s="752" t="s">
        <v>1633</v>
      </c>
      <c r="V164" s="752" t="s">
        <v>1634</v>
      </c>
      <c r="W164" s="752" t="s">
        <v>1635</v>
      </c>
      <c r="X164" s="752" t="s">
        <v>1636</v>
      </c>
      <c r="Y164" s="752" t="s">
        <v>1637</v>
      </c>
      <c r="Z164" s="752" t="s">
        <v>1638</v>
      </c>
      <c r="AA164" s="752" t="s">
        <v>1639</v>
      </c>
      <c r="AB164" s="752" t="s">
        <v>1640</v>
      </c>
      <c r="AC164" s="752" t="s">
        <v>1641</v>
      </c>
      <c r="AD164" s="752" t="s">
        <v>1642</v>
      </c>
      <c r="AE164" s="752" t="s">
        <v>1643</v>
      </c>
      <c r="AF164" s="752" t="s">
        <v>1644</v>
      </c>
      <c r="AG164" s="752" t="s">
        <v>1645</v>
      </c>
      <c r="AH164" s="752" t="s">
        <v>1646</v>
      </c>
      <c r="AI164" s="752" t="s">
        <v>1647</v>
      </c>
      <c r="AJ164" s="752" t="s">
        <v>1648</v>
      </c>
      <c r="AK164" s="752" t="s">
        <v>1649</v>
      </c>
      <c r="AL164" s="752" t="s">
        <v>1650</v>
      </c>
      <c r="AM164" s="752" t="s">
        <v>1651</v>
      </c>
      <c r="AN164" s="752" t="s">
        <v>1652</v>
      </c>
      <c r="AO164" s="752" t="s">
        <v>1653</v>
      </c>
      <c r="AP164" s="752" t="s">
        <v>1654</v>
      </c>
      <c r="AQ164" s="752" t="s">
        <v>1655</v>
      </c>
      <c r="AR164" s="805" t="s">
        <v>1656</v>
      </c>
      <c r="AS164" s="753" t="s">
        <v>1657</v>
      </c>
      <c r="AT164" s="805" t="s">
        <v>1658</v>
      </c>
      <c r="AU164" s="941" t="s">
        <v>1659</v>
      </c>
      <c r="AV164" s="754" t="s">
        <v>1660</v>
      </c>
      <c r="AW164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4" s="755"/>
      <c r="AY164" s="755"/>
      <c r="AZ164" s="755"/>
      <c r="BA164" s="755"/>
      <c r="BB164" s="806"/>
      <c r="BC164" s="806"/>
      <c r="BD164" s="806"/>
      <c r="BE164" s="806"/>
      <c r="BF164" s="806"/>
      <c r="BG164" s="806"/>
      <c r="BH164" s="806"/>
      <c r="BI164" s="806"/>
      <c r="BJ164" s="806"/>
      <c r="BK164" s="806"/>
      <c r="BL164" s="806"/>
      <c r="BM164" s="806"/>
      <c r="BN164" s="806"/>
      <c r="BO164" s="806"/>
      <c r="BP164" s="806"/>
      <c r="BQ164" s="806"/>
      <c r="BR164" s="806"/>
      <c r="BS164" s="806"/>
      <c r="BT164" s="806"/>
      <c r="BU164" s="806"/>
      <c r="BV164" s="806"/>
      <c r="CB164" s="191" t="str">
        <f t="shared" si="99"/>
        <v xml:space="preserve"> * La variable Pueblos Originarios  hombres  no debe ser mayor que el Total de Hombres.</v>
      </c>
      <c r="CC164" s="191" t="str">
        <f t="shared" si="100"/>
        <v xml:space="preserve"> * La variable Pueblos Originarios Mujeres no debe ser mayor que el Total de Mujeres</v>
      </c>
      <c r="CD164" s="191" t="str">
        <f t="shared" si="92"/>
        <v xml:space="preserve"> * La variable Migrantes  hombres  no debe ser mayor que el Total de Hombres</v>
      </c>
      <c r="CE164" s="191" t="str">
        <f t="shared" si="93"/>
        <v xml:space="preserve"> * La variable Migrantes  Mujeres no debe ser mayor que el Total de Mujeres</v>
      </c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B164" s="194"/>
      <c r="DQ164" s="1047">
        <f t="shared" si="94"/>
        <v>1</v>
      </c>
      <c r="DR164" s="1047">
        <f t="shared" si="95"/>
        <v>1</v>
      </c>
      <c r="DS164" s="1047">
        <f t="shared" si="96"/>
        <v>1</v>
      </c>
      <c r="DT164" s="1047">
        <f t="shared" si="97"/>
        <v>1</v>
      </c>
    </row>
    <row r="165" spans="1:124" ht="15" customHeight="1" x14ac:dyDescent="0.25">
      <c r="A165" s="1589" t="s">
        <v>1125</v>
      </c>
      <c r="B165" s="1765" t="s">
        <v>341</v>
      </c>
      <c r="C165" s="1766" t="s">
        <v>341</v>
      </c>
      <c r="D165" s="353" t="s">
        <v>1616</v>
      </c>
      <c r="E165" s="1137" t="s">
        <v>1617</v>
      </c>
      <c r="F165" s="889" t="s">
        <v>1618</v>
      </c>
      <c r="G165" s="357" t="s">
        <v>1619</v>
      </c>
      <c r="H165" s="376" t="s">
        <v>1620</v>
      </c>
      <c r="I165" s="376" t="s">
        <v>1621</v>
      </c>
      <c r="J165" s="376" t="s">
        <v>1622</v>
      </c>
      <c r="K165" s="376" t="s">
        <v>1623</v>
      </c>
      <c r="L165" s="376" t="s">
        <v>1624</v>
      </c>
      <c r="M165" s="376" t="s">
        <v>1625</v>
      </c>
      <c r="N165" s="376" t="s">
        <v>1626</v>
      </c>
      <c r="O165" s="376" t="s">
        <v>1627</v>
      </c>
      <c r="P165" s="376" t="s">
        <v>1628</v>
      </c>
      <c r="Q165" s="376" t="s">
        <v>1629</v>
      </c>
      <c r="R165" s="376" t="s">
        <v>1630</v>
      </c>
      <c r="S165" s="376" t="s">
        <v>1631</v>
      </c>
      <c r="T165" s="376" t="s">
        <v>1632</v>
      </c>
      <c r="U165" s="376" t="s">
        <v>1633</v>
      </c>
      <c r="V165" s="376" t="s">
        <v>1634</v>
      </c>
      <c r="W165" s="376" t="s">
        <v>1635</v>
      </c>
      <c r="X165" s="376" t="s">
        <v>1636</v>
      </c>
      <c r="Y165" s="376" t="s">
        <v>1637</v>
      </c>
      <c r="Z165" s="376" t="s">
        <v>1638</v>
      </c>
      <c r="AA165" s="376" t="s">
        <v>1639</v>
      </c>
      <c r="AB165" s="376" t="s">
        <v>1640</v>
      </c>
      <c r="AC165" s="376" t="s">
        <v>1641</v>
      </c>
      <c r="AD165" s="376" t="s">
        <v>1642</v>
      </c>
      <c r="AE165" s="376" t="s">
        <v>1643</v>
      </c>
      <c r="AF165" s="376" t="s">
        <v>1644</v>
      </c>
      <c r="AG165" s="376" t="s">
        <v>1645</v>
      </c>
      <c r="AH165" s="376" t="s">
        <v>1646</v>
      </c>
      <c r="AI165" s="376" t="s">
        <v>1647</v>
      </c>
      <c r="AJ165" s="376" t="s">
        <v>1648</v>
      </c>
      <c r="AK165" s="376" t="s">
        <v>1649</v>
      </c>
      <c r="AL165" s="376" t="s">
        <v>1650</v>
      </c>
      <c r="AM165" s="376" t="s">
        <v>1651</v>
      </c>
      <c r="AN165" s="376" t="s">
        <v>1652</v>
      </c>
      <c r="AO165" s="376" t="s">
        <v>1653</v>
      </c>
      <c r="AP165" s="376" t="s">
        <v>1654</v>
      </c>
      <c r="AQ165" s="376" t="s">
        <v>1655</v>
      </c>
      <c r="AR165" s="356" t="s">
        <v>1656</v>
      </c>
      <c r="AS165" s="358" t="s">
        <v>1657</v>
      </c>
      <c r="AT165" s="356" t="s">
        <v>1658</v>
      </c>
      <c r="AU165" s="354" t="s">
        <v>1659</v>
      </c>
      <c r="AV165" s="355" t="s">
        <v>1660</v>
      </c>
      <c r="AW165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CB165" s="191" t="str">
        <f t="shared" si="99"/>
        <v xml:space="preserve"> * La variable Pueblos Originarios  hombres  no debe ser mayor que el Total de Hombres.</v>
      </c>
      <c r="CC165" s="191" t="str">
        <f t="shared" si="100"/>
        <v xml:space="preserve"> * La variable Pueblos Originarios Mujeres no debe ser mayor que el Total de Mujeres</v>
      </c>
      <c r="CD165" s="191" t="str">
        <f t="shared" si="92"/>
        <v xml:space="preserve"> * La variable Migrantes  hombres  no debe ser mayor que el Total de Hombres</v>
      </c>
      <c r="CE165" s="191" t="str">
        <f t="shared" si="93"/>
        <v xml:space="preserve"> * La variable Migrantes  Mujeres no debe ser mayor que el Total de Mujeres</v>
      </c>
      <c r="DQ165" s="1047">
        <f t="shared" si="94"/>
        <v>1</v>
      </c>
      <c r="DR165" s="1047">
        <f t="shared" si="95"/>
        <v>1</v>
      </c>
      <c r="DS165" s="1047">
        <f t="shared" si="96"/>
        <v>1</v>
      </c>
      <c r="DT165" s="1047">
        <f t="shared" si="97"/>
        <v>1</v>
      </c>
    </row>
    <row r="166" spans="1:124" ht="15" customHeight="1" x14ac:dyDescent="0.25">
      <c r="A166" s="1589" t="s">
        <v>1126</v>
      </c>
      <c r="B166" s="1765" t="s">
        <v>342</v>
      </c>
      <c r="C166" s="1766" t="s">
        <v>342</v>
      </c>
      <c r="D166" s="353" t="s">
        <v>1616</v>
      </c>
      <c r="E166" s="1137" t="s">
        <v>1617</v>
      </c>
      <c r="F166" s="889" t="s">
        <v>1618</v>
      </c>
      <c r="G166" s="357" t="s">
        <v>1619</v>
      </c>
      <c r="H166" s="376" t="s">
        <v>1620</v>
      </c>
      <c r="I166" s="376" t="s">
        <v>1621</v>
      </c>
      <c r="J166" s="376" t="s">
        <v>1622</v>
      </c>
      <c r="K166" s="376" t="s">
        <v>1623</v>
      </c>
      <c r="L166" s="376" t="s">
        <v>1624</v>
      </c>
      <c r="M166" s="376" t="s">
        <v>1625</v>
      </c>
      <c r="N166" s="376" t="s">
        <v>1626</v>
      </c>
      <c r="O166" s="376" t="s">
        <v>1627</v>
      </c>
      <c r="P166" s="376" t="s">
        <v>1628</v>
      </c>
      <c r="Q166" s="376" t="s">
        <v>1629</v>
      </c>
      <c r="R166" s="376" t="s">
        <v>1630</v>
      </c>
      <c r="S166" s="376" t="s">
        <v>1631</v>
      </c>
      <c r="T166" s="376" t="s">
        <v>1632</v>
      </c>
      <c r="U166" s="376" t="s">
        <v>1633</v>
      </c>
      <c r="V166" s="376" t="s">
        <v>1634</v>
      </c>
      <c r="W166" s="376" t="s">
        <v>1635</v>
      </c>
      <c r="X166" s="376" t="s">
        <v>1636</v>
      </c>
      <c r="Y166" s="376" t="s">
        <v>1637</v>
      </c>
      <c r="Z166" s="376" t="s">
        <v>1638</v>
      </c>
      <c r="AA166" s="376" t="s">
        <v>1639</v>
      </c>
      <c r="AB166" s="376" t="s">
        <v>1640</v>
      </c>
      <c r="AC166" s="376" t="s">
        <v>1641</v>
      </c>
      <c r="AD166" s="376" t="s">
        <v>1642</v>
      </c>
      <c r="AE166" s="376" t="s">
        <v>1643</v>
      </c>
      <c r="AF166" s="376" t="s">
        <v>1644</v>
      </c>
      <c r="AG166" s="376" t="s">
        <v>1645</v>
      </c>
      <c r="AH166" s="376" t="s">
        <v>1646</v>
      </c>
      <c r="AI166" s="376" t="s">
        <v>1647</v>
      </c>
      <c r="AJ166" s="376" t="s">
        <v>1648</v>
      </c>
      <c r="AK166" s="376" t="s">
        <v>1649</v>
      </c>
      <c r="AL166" s="376" t="s">
        <v>1650</v>
      </c>
      <c r="AM166" s="376" t="s">
        <v>1651</v>
      </c>
      <c r="AN166" s="376" t="s">
        <v>1652</v>
      </c>
      <c r="AO166" s="376" t="s">
        <v>1653</v>
      </c>
      <c r="AP166" s="376" t="s">
        <v>1654</v>
      </c>
      <c r="AQ166" s="376" t="s">
        <v>1655</v>
      </c>
      <c r="AR166" s="356" t="s">
        <v>1656</v>
      </c>
      <c r="AS166" s="358" t="s">
        <v>1657</v>
      </c>
      <c r="AT166" s="356" t="s">
        <v>1658</v>
      </c>
      <c r="AU166" s="354" t="s">
        <v>1659</v>
      </c>
      <c r="AV166" s="355" t="s">
        <v>1660</v>
      </c>
      <c r="AW166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6" s="110"/>
      <c r="AY166" s="110"/>
      <c r="AZ166" s="110"/>
      <c r="BA166" s="110"/>
      <c r="BS166" s="606"/>
      <c r="BT166" s="606"/>
      <c r="BU166" s="606"/>
      <c r="BV166" s="606"/>
      <c r="CB166" s="191" t="str">
        <f t="shared" si="99"/>
        <v xml:space="preserve"> * La variable Pueblos Originarios  hombres  no debe ser mayor que el Total de Hombres.</v>
      </c>
      <c r="CC166" s="191" t="str">
        <f t="shared" si="100"/>
        <v xml:space="preserve"> * La variable Pueblos Originarios Mujeres no debe ser mayor que el Total de Mujeres</v>
      </c>
      <c r="CD166" s="191" t="str">
        <f t="shared" si="92"/>
        <v xml:space="preserve"> * La variable Migrantes  hombres  no debe ser mayor que el Total de Hombres</v>
      </c>
      <c r="CE166" s="191" t="str">
        <f t="shared" si="93"/>
        <v xml:space="preserve"> * La variable Migrantes  Mujeres no debe ser mayor que el Total de Mujeres</v>
      </c>
      <c r="DQ166" s="1047">
        <f t="shared" si="94"/>
        <v>1</v>
      </c>
      <c r="DR166" s="1047">
        <f t="shared" si="95"/>
        <v>1</v>
      </c>
      <c r="DS166" s="1047">
        <f t="shared" si="96"/>
        <v>1</v>
      </c>
      <c r="DT166" s="1047">
        <f t="shared" si="97"/>
        <v>1</v>
      </c>
    </row>
    <row r="167" spans="1:124" s="228" customFormat="1" ht="15" customHeight="1" x14ac:dyDescent="0.2">
      <c r="A167" s="1589" t="s">
        <v>1127</v>
      </c>
      <c r="B167" s="1765" t="s">
        <v>343</v>
      </c>
      <c r="C167" s="1766" t="s">
        <v>343</v>
      </c>
      <c r="D167" s="1139" t="s">
        <v>1616</v>
      </c>
      <c r="E167" s="701" t="s">
        <v>1617</v>
      </c>
      <c r="F167" s="890" t="s">
        <v>1618</v>
      </c>
      <c r="G167" s="887" t="s">
        <v>1619</v>
      </c>
      <c r="H167" s="752" t="s">
        <v>1620</v>
      </c>
      <c r="I167" s="752" t="s">
        <v>1621</v>
      </c>
      <c r="J167" s="752" t="s">
        <v>1622</v>
      </c>
      <c r="K167" s="752" t="s">
        <v>1623</v>
      </c>
      <c r="L167" s="752" t="s">
        <v>1624</v>
      </c>
      <c r="M167" s="752" t="s">
        <v>1625</v>
      </c>
      <c r="N167" s="752" t="s">
        <v>1626</v>
      </c>
      <c r="O167" s="752" t="s">
        <v>1627</v>
      </c>
      <c r="P167" s="752" t="s">
        <v>1628</v>
      </c>
      <c r="Q167" s="752" t="s">
        <v>1629</v>
      </c>
      <c r="R167" s="752" t="s">
        <v>1630</v>
      </c>
      <c r="S167" s="752" t="s">
        <v>1631</v>
      </c>
      <c r="T167" s="752" t="s">
        <v>1632</v>
      </c>
      <c r="U167" s="752" t="s">
        <v>1633</v>
      </c>
      <c r="V167" s="752" t="s">
        <v>1634</v>
      </c>
      <c r="W167" s="752" t="s">
        <v>1635</v>
      </c>
      <c r="X167" s="752" t="s">
        <v>1636</v>
      </c>
      <c r="Y167" s="752" t="s">
        <v>1637</v>
      </c>
      <c r="Z167" s="752" t="s">
        <v>1638</v>
      </c>
      <c r="AA167" s="752" t="s">
        <v>1639</v>
      </c>
      <c r="AB167" s="752" t="s">
        <v>1640</v>
      </c>
      <c r="AC167" s="752" t="s">
        <v>1641</v>
      </c>
      <c r="AD167" s="752" t="s">
        <v>1642</v>
      </c>
      <c r="AE167" s="752" t="s">
        <v>1643</v>
      </c>
      <c r="AF167" s="752" t="s">
        <v>1644</v>
      </c>
      <c r="AG167" s="752" t="s">
        <v>1645</v>
      </c>
      <c r="AH167" s="752" t="s">
        <v>1646</v>
      </c>
      <c r="AI167" s="752" t="s">
        <v>1647</v>
      </c>
      <c r="AJ167" s="752" t="s">
        <v>1648</v>
      </c>
      <c r="AK167" s="752" t="s">
        <v>1649</v>
      </c>
      <c r="AL167" s="752" t="s">
        <v>1650</v>
      </c>
      <c r="AM167" s="752" t="s">
        <v>1651</v>
      </c>
      <c r="AN167" s="752" t="s">
        <v>1652</v>
      </c>
      <c r="AO167" s="752" t="s">
        <v>1653</v>
      </c>
      <c r="AP167" s="752" t="s">
        <v>1654</v>
      </c>
      <c r="AQ167" s="752" t="s">
        <v>1655</v>
      </c>
      <c r="AR167" s="805" t="s">
        <v>1656</v>
      </c>
      <c r="AS167" s="753" t="s">
        <v>1657</v>
      </c>
      <c r="AT167" s="805" t="s">
        <v>1658</v>
      </c>
      <c r="AU167" s="941" t="s">
        <v>1659</v>
      </c>
      <c r="AV167" s="754" t="s">
        <v>1660</v>
      </c>
      <c r="AW167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7" s="755"/>
      <c r="AY167" s="755"/>
      <c r="AZ167" s="755"/>
      <c r="BA167" s="755"/>
      <c r="BB167" s="806"/>
      <c r="BC167" s="806"/>
      <c r="BD167" s="806"/>
      <c r="BE167" s="806"/>
      <c r="BF167" s="806"/>
      <c r="BG167" s="806"/>
      <c r="BH167" s="806"/>
      <c r="BI167" s="806"/>
      <c r="BJ167" s="806"/>
      <c r="BK167" s="806"/>
      <c r="BL167" s="806"/>
      <c r="BM167" s="806"/>
      <c r="BN167" s="806"/>
      <c r="BO167" s="806"/>
      <c r="BP167" s="806"/>
      <c r="BQ167" s="806"/>
      <c r="BR167" s="806"/>
      <c r="BS167" s="806"/>
      <c r="BT167" s="806"/>
      <c r="BU167" s="806"/>
      <c r="BV167" s="806"/>
      <c r="CB167" s="191" t="str">
        <f t="shared" si="99"/>
        <v xml:space="preserve"> * La variable Pueblos Originarios  hombres  no debe ser mayor que el Total de Hombres.</v>
      </c>
      <c r="CC167" s="191" t="str">
        <f t="shared" si="100"/>
        <v xml:space="preserve"> * La variable Pueblos Originarios Mujeres no debe ser mayor que el Total de Mujeres</v>
      </c>
      <c r="CD167" s="191" t="str">
        <f t="shared" si="92"/>
        <v xml:space="preserve"> * La variable Migrantes  hombres  no debe ser mayor que el Total de Hombres</v>
      </c>
      <c r="CE167" s="191" t="str">
        <f t="shared" si="93"/>
        <v xml:space="preserve"> * La variable Migrantes  Mujeres no debe ser mayor que el Total de Mujeres</v>
      </c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B167" s="194"/>
      <c r="DQ167" s="1047">
        <f t="shared" si="94"/>
        <v>1</v>
      </c>
      <c r="DR167" s="1047">
        <f t="shared" si="95"/>
        <v>1</v>
      </c>
      <c r="DS167" s="1047">
        <f t="shared" si="96"/>
        <v>1</v>
      </c>
      <c r="DT167" s="1047">
        <f t="shared" si="97"/>
        <v>1</v>
      </c>
    </row>
    <row r="168" spans="1:124" s="228" customFormat="1" ht="15" customHeight="1" x14ac:dyDescent="0.2">
      <c r="A168" s="1589" t="s">
        <v>1128</v>
      </c>
      <c r="B168" s="1765" t="s">
        <v>344</v>
      </c>
      <c r="C168" s="1766" t="s">
        <v>344</v>
      </c>
      <c r="D168" s="1139" t="s">
        <v>1616</v>
      </c>
      <c r="E168" s="701" t="s">
        <v>1617</v>
      </c>
      <c r="F168" s="890" t="s">
        <v>1618</v>
      </c>
      <c r="G168" s="887" t="s">
        <v>1619</v>
      </c>
      <c r="H168" s="752" t="s">
        <v>1620</v>
      </c>
      <c r="I168" s="752" t="s">
        <v>1621</v>
      </c>
      <c r="J168" s="752" t="s">
        <v>1622</v>
      </c>
      <c r="K168" s="752" t="s">
        <v>1623</v>
      </c>
      <c r="L168" s="752" t="s">
        <v>1624</v>
      </c>
      <c r="M168" s="752" t="s">
        <v>1625</v>
      </c>
      <c r="N168" s="752" t="s">
        <v>1626</v>
      </c>
      <c r="O168" s="752" t="s">
        <v>1627</v>
      </c>
      <c r="P168" s="752" t="s">
        <v>1628</v>
      </c>
      <c r="Q168" s="752" t="s">
        <v>1629</v>
      </c>
      <c r="R168" s="752" t="s">
        <v>1630</v>
      </c>
      <c r="S168" s="752" t="s">
        <v>1631</v>
      </c>
      <c r="T168" s="752" t="s">
        <v>1632</v>
      </c>
      <c r="U168" s="752" t="s">
        <v>1633</v>
      </c>
      <c r="V168" s="752" t="s">
        <v>1634</v>
      </c>
      <c r="W168" s="752" t="s">
        <v>1635</v>
      </c>
      <c r="X168" s="752" t="s">
        <v>1636</v>
      </c>
      <c r="Y168" s="752" t="s">
        <v>1637</v>
      </c>
      <c r="Z168" s="752" t="s">
        <v>1638</v>
      </c>
      <c r="AA168" s="752" t="s">
        <v>1639</v>
      </c>
      <c r="AB168" s="752" t="s">
        <v>1640</v>
      </c>
      <c r="AC168" s="752" t="s">
        <v>1641</v>
      </c>
      <c r="AD168" s="752" t="s">
        <v>1642</v>
      </c>
      <c r="AE168" s="752" t="s">
        <v>1643</v>
      </c>
      <c r="AF168" s="752" t="s">
        <v>1644</v>
      </c>
      <c r="AG168" s="752" t="s">
        <v>1645</v>
      </c>
      <c r="AH168" s="752" t="s">
        <v>1646</v>
      </c>
      <c r="AI168" s="752" t="s">
        <v>1647</v>
      </c>
      <c r="AJ168" s="752" t="s">
        <v>1648</v>
      </c>
      <c r="AK168" s="752" t="s">
        <v>1649</v>
      </c>
      <c r="AL168" s="752" t="s">
        <v>1650</v>
      </c>
      <c r="AM168" s="752" t="s">
        <v>1651</v>
      </c>
      <c r="AN168" s="752" t="s">
        <v>1652</v>
      </c>
      <c r="AO168" s="752" t="s">
        <v>1653</v>
      </c>
      <c r="AP168" s="752" t="s">
        <v>1654</v>
      </c>
      <c r="AQ168" s="752" t="s">
        <v>1655</v>
      </c>
      <c r="AR168" s="805" t="s">
        <v>1656</v>
      </c>
      <c r="AS168" s="753" t="s">
        <v>1657</v>
      </c>
      <c r="AT168" s="805" t="s">
        <v>1658</v>
      </c>
      <c r="AU168" s="941" t="s">
        <v>1659</v>
      </c>
      <c r="AV168" s="754" t="s">
        <v>1660</v>
      </c>
      <c r="AW168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8" s="755"/>
      <c r="AY168" s="755"/>
      <c r="AZ168" s="755"/>
      <c r="BA168" s="755"/>
      <c r="BB168" s="806"/>
      <c r="BC168" s="806"/>
      <c r="BD168" s="806"/>
      <c r="BE168" s="806"/>
      <c r="BF168" s="806"/>
      <c r="BG168" s="806"/>
      <c r="BH168" s="806"/>
      <c r="BI168" s="806"/>
      <c r="BJ168" s="806"/>
      <c r="BK168" s="806"/>
      <c r="BL168" s="806"/>
      <c r="BM168" s="806"/>
      <c r="BN168" s="806"/>
      <c r="BO168" s="806"/>
      <c r="BP168" s="806"/>
      <c r="BQ168" s="806"/>
      <c r="BR168" s="806"/>
      <c r="BS168" s="806"/>
      <c r="BT168" s="806"/>
      <c r="BU168" s="806"/>
      <c r="BV168" s="806"/>
      <c r="CB168" s="191" t="str">
        <f t="shared" si="99"/>
        <v xml:space="preserve"> * La variable Pueblos Originarios  hombres  no debe ser mayor que el Total de Hombres.</v>
      </c>
      <c r="CC168" s="191" t="str">
        <f t="shared" si="100"/>
        <v xml:space="preserve"> * La variable Pueblos Originarios Mujeres no debe ser mayor que el Total de Mujeres</v>
      </c>
      <c r="CD168" s="191" t="str">
        <f t="shared" si="92"/>
        <v xml:space="preserve"> * La variable Migrantes  hombres  no debe ser mayor que el Total de Hombres</v>
      </c>
      <c r="CE168" s="191" t="str">
        <f t="shared" si="93"/>
        <v xml:space="preserve"> * La variable Migrantes  Mujeres no debe ser mayor que el Total de Mujeres</v>
      </c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B168" s="194"/>
      <c r="DQ168" s="1047">
        <f t="shared" si="94"/>
        <v>1</v>
      </c>
      <c r="DR168" s="1047">
        <f t="shared" si="95"/>
        <v>1</v>
      </c>
      <c r="DS168" s="1047">
        <f t="shared" si="96"/>
        <v>1</v>
      </c>
      <c r="DT168" s="1047">
        <f t="shared" si="97"/>
        <v>1</v>
      </c>
    </row>
    <row r="169" spans="1:124" ht="15" customHeight="1" x14ac:dyDescent="0.25">
      <c r="A169" s="1589" t="s">
        <v>1129</v>
      </c>
      <c r="B169" s="1765" t="s">
        <v>345</v>
      </c>
      <c r="C169" s="1766" t="s">
        <v>345</v>
      </c>
      <c r="D169" s="353" t="s">
        <v>1616</v>
      </c>
      <c r="E169" s="1137" t="s">
        <v>1617</v>
      </c>
      <c r="F169" s="889" t="s">
        <v>1618</v>
      </c>
      <c r="G169" s="357" t="s">
        <v>1619</v>
      </c>
      <c r="H169" s="376" t="s">
        <v>1620</v>
      </c>
      <c r="I169" s="376" t="s">
        <v>1621</v>
      </c>
      <c r="J169" s="376" t="s">
        <v>1622</v>
      </c>
      <c r="K169" s="376" t="s">
        <v>1623</v>
      </c>
      <c r="L169" s="376" t="s">
        <v>1624</v>
      </c>
      <c r="M169" s="376" t="s">
        <v>1625</v>
      </c>
      <c r="N169" s="376" t="s">
        <v>1626</v>
      </c>
      <c r="O169" s="376" t="s">
        <v>1627</v>
      </c>
      <c r="P169" s="376" t="s">
        <v>1628</v>
      </c>
      <c r="Q169" s="376" t="s">
        <v>1629</v>
      </c>
      <c r="R169" s="376" t="s">
        <v>1630</v>
      </c>
      <c r="S169" s="376" t="s">
        <v>1631</v>
      </c>
      <c r="T169" s="376" t="s">
        <v>1632</v>
      </c>
      <c r="U169" s="376" t="s">
        <v>1633</v>
      </c>
      <c r="V169" s="376" t="s">
        <v>1634</v>
      </c>
      <c r="W169" s="376" t="s">
        <v>1635</v>
      </c>
      <c r="X169" s="376" t="s">
        <v>1636</v>
      </c>
      <c r="Y169" s="376" t="s">
        <v>1637</v>
      </c>
      <c r="Z169" s="376" t="s">
        <v>1638</v>
      </c>
      <c r="AA169" s="376" t="s">
        <v>1639</v>
      </c>
      <c r="AB169" s="376" t="s">
        <v>1640</v>
      </c>
      <c r="AC169" s="376" t="s">
        <v>1641</v>
      </c>
      <c r="AD169" s="376" t="s">
        <v>1642</v>
      </c>
      <c r="AE169" s="376" t="s">
        <v>1643</v>
      </c>
      <c r="AF169" s="376" t="s">
        <v>1644</v>
      </c>
      <c r="AG169" s="376" t="s">
        <v>1645</v>
      </c>
      <c r="AH169" s="376" t="s">
        <v>1646</v>
      </c>
      <c r="AI169" s="376" t="s">
        <v>1647</v>
      </c>
      <c r="AJ169" s="376" t="s">
        <v>1648</v>
      </c>
      <c r="AK169" s="376" t="s">
        <v>1649</v>
      </c>
      <c r="AL169" s="376" t="s">
        <v>1650</v>
      </c>
      <c r="AM169" s="376" t="s">
        <v>1651</v>
      </c>
      <c r="AN169" s="376" t="s">
        <v>1652</v>
      </c>
      <c r="AO169" s="376" t="s">
        <v>1653</v>
      </c>
      <c r="AP169" s="376" t="s">
        <v>1654</v>
      </c>
      <c r="AQ169" s="376" t="s">
        <v>1655</v>
      </c>
      <c r="AR169" s="356" t="s">
        <v>1656</v>
      </c>
      <c r="AS169" s="358" t="s">
        <v>1657</v>
      </c>
      <c r="AT169" s="356" t="s">
        <v>1658</v>
      </c>
      <c r="AU169" s="354" t="s">
        <v>1659</v>
      </c>
      <c r="AV169" s="355" t="s">
        <v>1660</v>
      </c>
      <c r="AW169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9" s="110"/>
      <c r="AY169" s="110"/>
      <c r="AZ169" s="110"/>
      <c r="BA169" s="110"/>
      <c r="BS169" s="606"/>
      <c r="BT169" s="606"/>
      <c r="BU169" s="606"/>
      <c r="BV169" s="606"/>
      <c r="CB169" s="191" t="str">
        <f t="shared" si="99"/>
        <v xml:space="preserve"> * La variable Pueblos Originarios  hombres  no debe ser mayor que el Total de Hombres.</v>
      </c>
      <c r="CC169" s="191" t="str">
        <f t="shared" si="100"/>
        <v xml:space="preserve"> * La variable Pueblos Originarios Mujeres no debe ser mayor que el Total de Mujeres</v>
      </c>
      <c r="CD169" s="191" t="str">
        <f t="shared" si="92"/>
        <v xml:space="preserve"> * La variable Migrantes  hombres  no debe ser mayor que el Total de Hombres</v>
      </c>
      <c r="CE169" s="191" t="str">
        <f t="shared" si="93"/>
        <v xml:space="preserve"> * La variable Migrantes  Mujeres no debe ser mayor que el Total de Mujeres</v>
      </c>
      <c r="DQ169" s="1047">
        <f t="shared" si="94"/>
        <v>1</v>
      </c>
      <c r="DR169" s="1047">
        <f t="shared" si="95"/>
        <v>1</v>
      </c>
      <c r="DS169" s="1047">
        <f t="shared" si="96"/>
        <v>1</v>
      </c>
      <c r="DT169" s="1047">
        <f t="shared" si="97"/>
        <v>1</v>
      </c>
    </row>
    <row r="170" spans="1:124" ht="15" customHeight="1" x14ac:dyDescent="0.25">
      <c r="A170" s="1589" t="s">
        <v>1130</v>
      </c>
      <c r="B170" s="1765" t="s">
        <v>346</v>
      </c>
      <c r="C170" s="1766" t="s">
        <v>346</v>
      </c>
      <c r="D170" s="353" t="s">
        <v>1616</v>
      </c>
      <c r="E170" s="1137" t="s">
        <v>1617</v>
      </c>
      <c r="F170" s="889" t="s">
        <v>1618</v>
      </c>
      <c r="G170" s="357" t="s">
        <v>1619</v>
      </c>
      <c r="H170" s="376" t="s">
        <v>1620</v>
      </c>
      <c r="I170" s="376" t="s">
        <v>1621</v>
      </c>
      <c r="J170" s="376" t="s">
        <v>1622</v>
      </c>
      <c r="K170" s="376" t="s">
        <v>1623</v>
      </c>
      <c r="L170" s="376" t="s">
        <v>1624</v>
      </c>
      <c r="M170" s="376" t="s">
        <v>1625</v>
      </c>
      <c r="N170" s="376" t="s">
        <v>1626</v>
      </c>
      <c r="O170" s="376" t="s">
        <v>1627</v>
      </c>
      <c r="P170" s="376" t="s">
        <v>1628</v>
      </c>
      <c r="Q170" s="376" t="s">
        <v>1629</v>
      </c>
      <c r="R170" s="376" t="s">
        <v>1630</v>
      </c>
      <c r="S170" s="376" t="s">
        <v>1631</v>
      </c>
      <c r="T170" s="376" t="s">
        <v>1632</v>
      </c>
      <c r="U170" s="376" t="s">
        <v>1633</v>
      </c>
      <c r="V170" s="376" t="s">
        <v>1634</v>
      </c>
      <c r="W170" s="376" t="s">
        <v>1635</v>
      </c>
      <c r="X170" s="376" t="s">
        <v>1636</v>
      </c>
      <c r="Y170" s="376" t="s">
        <v>1637</v>
      </c>
      <c r="Z170" s="376" t="s">
        <v>1638</v>
      </c>
      <c r="AA170" s="376" t="s">
        <v>1639</v>
      </c>
      <c r="AB170" s="376" t="s">
        <v>1640</v>
      </c>
      <c r="AC170" s="376" t="s">
        <v>1641</v>
      </c>
      <c r="AD170" s="376" t="s">
        <v>1642</v>
      </c>
      <c r="AE170" s="376" t="s">
        <v>1643</v>
      </c>
      <c r="AF170" s="376" t="s">
        <v>1644</v>
      </c>
      <c r="AG170" s="376" t="s">
        <v>1645</v>
      </c>
      <c r="AH170" s="376" t="s">
        <v>1646</v>
      </c>
      <c r="AI170" s="376" t="s">
        <v>1647</v>
      </c>
      <c r="AJ170" s="376" t="s">
        <v>1648</v>
      </c>
      <c r="AK170" s="376" t="s">
        <v>1649</v>
      </c>
      <c r="AL170" s="376" t="s">
        <v>1650</v>
      </c>
      <c r="AM170" s="376" t="s">
        <v>1651</v>
      </c>
      <c r="AN170" s="376" t="s">
        <v>1652</v>
      </c>
      <c r="AO170" s="376" t="s">
        <v>1653</v>
      </c>
      <c r="AP170" s="376" t="s">
        <v>1654</v>
      </c>
      <c r="AQ170" s="376" t="s">
        <v>1655</v>
      </c>
      <c r="AR170" s="356" t="s">
        <v>1656</v>
      </c>
      <c r="AS170" s="358" t="s">
        <v>1657</v>
      </c>
      <c r="AT170" s="356" t="s">
        <v>1658</v>
      </c>
      <c r="AU170" s="354" t="s">
        <v>1659</v>
      </c>
      <c r="AV170" s="355" t="s">
        <v>1660</v>
      </c>
      <c r="AW170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0" s="110"/>
      <c r="AY170" s="110"/>
      <c r="AZ170" s="110"/>
      <c r="BA170" s="110"/>
      <c r="BS170" s="606"/>
      <c r="BT170" s="606"/>
      <c r="BU170" s="606"/>
      <c r="BV170" s="606"/>
      <c r="CB170" s="191" t="str">
        <f t="shared" si="99"/>
        <v xml:space="preserve"> * La variable Pueblos Originarios  hombres  no debe ser mayor que el Total de Hombres.</v>
      </c>
      <c r="CC170" s="191" t="str">
        <f t="shared" si="100"/>
        <v xml:space="preserve"> * La variable Pueblos Originarios Mujeres no debe ser mayor que el Total de Mujeres</v>
      </c>
      <c r="CD170" s="191" t="str">
        <f t="shared" si="92"/>
        <v xml:space="preserve"> * La variable Migrantes  hombres  no debe ser mayor que el Total de Hombres</v>
      </c>
      <c r="CE170" s="191" t="str">
        <f t="shared" si="93"/>
        <v xml:space="preserve"> * La variable Migrantes  Mujeres no debe ser mayor que el Total de Mujeres</v>
      </c>
      <c r="DQ170" s="1047">
        <f t="shared" si="94"/>
        <v>1</v>
      </c>
      <c r="DR170" s="1047">
        <f t="shared" si="95"/>
        <v>1</v>
      </c>
      <c r="DS170" s="1047">
        <f t="shared" si="96"/>
        <v>1</v>
      </c>
      <c r="DT170" s="1047">
        <f t="shared" si="97"/>
        <v>1</v>
      </c>
    </row>
    <row r="171" spans="1:124" ht="15" customHeight="1" x14ac:dyDescent="0.25">
      <c r="A171" s="1589" t="s">
        <v>1131</v>
      </c>
      <c r="B171" s="1765" t="s">
        <v>347</v>
      </c>
      <c r="C171" s="1766" t="s">
        <v>347</v>
      </c>
      <c r="D171" s="353" t="s">
        <v>1616</v>
      </c>
      <c r="E171" s="1137" t="s">
        <v>1617</v>
      </c>
      <c r="F171" s="889" t="s">
        <v>1618</v>
      </c>
      <c r="G171" s="357" t="s">
        <v>1619</v>
      </c>
      <c r="H171" s="376" t="s">
        <v>1620</v>
      </c>
      <c r="I171" s="376" t="s">
        <v>1621</v>
      </c>
      <c r="J171" s="376" t="s">
        <v>1622</v>
      </c>
      <c r="K171" s="376" t="s">
        <v>1623</v>
      </c>
      <c r="L171" s="376" t="s">
        <v>1624</v>
      </c>
      <c r="M171" s="376" t="s">
        <v>1625</v>
      </c>
      <c r="N171" s="376" t="s">
        <v>1626</v>
      </c>
      <c r="O171" s="376" t="s">
        <v>1627</v>
      </c>
      <c r="P171" s="376" t="s">
        <v>1628</v>
      </c>
      <c r="Q171" s="376" t="s">
        <v>1629</v>
      </c>
      <c r="R171" s="376" t="s">
        <v>1630</v>
      </c>
      <c r="S171" s="376" t="s">
        <v>1631</v>
      </c>
      <c r="T171" s="376" t="s">
        <v>1632</v>
      </c>
      <c r="U171" s="376" t="s">
        <v>1633</v>
      </c>
      <c r="V171" s="376" t="s">
        <v>1634</v>
      </c>
      <c r="W171" s="376" t="s">
        <v>1635</v>
      </c>
      <c r="X171" s="376" t="s">
        <v>1636</v>
      </c>
      <c r="Y171" s="376" t="s">
        <v>1637</v>
      </c>
      <c r="Z171" s="376" t="s">
        <v>1638</v>
      </c>
      <c r="AA171" s="376" t="s">
        <v>1639</v>
      </c>
      <c r="AB171" s="376" t="s">
        <v>1640</v>
      </c>
      <c r="AC171" s="376" t="s">
        <v>1641</v>
      </c>
      <c r="AD171" s="376" t="s">
        <v>1642</v>
      </c>
      <c r="AE171" s="376" t="s">
        <v>1643</v>
      </c>
      <c r="AF171" s="376" t="s">
        <v>1644</v>
      </c>
      <c r="AG171" s="376" t="s">
        <v>1645</v>
      </c>
      <c r="AH171" s="376" t="s">
        <v>1646</v>
      </c>
      <c r="AI171" s="376" t="s">
        <v>1647</v>
      </c>
      <c r="AJ171" s="376" t="s">
        <v>1648</v>
      </c>
      <c r="AK171" s="376" t="s">
        <v>1649</v>
      </c>
      <c r="AL171" s="376" t="s">
        <v>1650</v>
      </c>
      <c r="AM171" s="376" t="s">
        <v>1651</v>
      </c>
      <c r="AN171" s="376" t="s">
        <v>1652</v>
      </c>
      <c r="AO171" s="376" t="s">
        <v>1653</v>
      </c>
      <c r="AP171" s="376" t="s">
        <v>1654</v>
      </c>
      <c r="AQ171" s="376" t="s">
        <v>1655</v>
      </c>
      <c r="AR171" s="356" t="s">
        <v>1656</v>
      </c>
      <c r="AS171" s="358" t="s">
        <v>1657</v>
      </c>
      <c r="AT171" s="356" t="s">
        <v>1658</v>
      </c>
      <c r="AU171" s="354" t="s">
        <v>1659</v>
      </c>
      <c r="AV171" s="355" t="s">
        <v>1660</v>
      </c>
      <c r="AW171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1" s="110"/>
      <c r="AY171" s="110"/>
      <c r="AZ171" s="110"/>
      <c r="BA171" s="110"/>
      <c r="BS171" s="606"/>
      <c r="BT171" s="606"/>
      <c r="BU171" s="606"/>
      <c r="BV171" s="606"/>
      <c r="CB171" s="191" t="str">
        <f t="shared" si="99"/>
        <v xml:space="preserve"> * La variable Pueblos Originarios  hombres  no debe ser mayor que el Total de Hombres.</v>
      </c>
      <c r="CC171" s="191" t="str">
        <f t="shared" si="100"/>
        <v xml:space="preserve"> * La variable Pueblos Originarios Mujeres no debe ser mayor que el Total de Mujeres</v>
      </c>
      <c r="CD171" s="191" t="str">
        <f t="shared" si="92"/>
        <v xml:space="preserve"> * La variable Migrantes  hombres  no debe ser mayor que el Total de Hombres</v>
      </c>
      <c r="CE171" s="191" t="str">
        <f t="shared" si="93"/>
        <v xml:space="preserve"> * La variable Migrantes  Mujeres no debe ser mayor que el Total de Mujeres</v>
      </c>
      <c r="DQ171" s="1047">
        <f t="shared" si="94"/>
        <v>1</v>
      </c>
      <c r="DR171" s="1047">
        <f t="shared" si="95"/>
        <v>1</v>
      </c>
      <c r="DS171" s="1047">
        <f t="shared" si="96"/>
        <v>1</v>
      </c>
      <c r="DT171" s="1047">
        <f t="shared" si="97"/>
        <v>1</v>
      </c>
    </row>
    <row r="172" spans="1:124" ht="15" customHeight="1" x14ac:dyDescent="0.25">
      <c r="A172" s="1589" t="s">
        <v>1132</v>
      </c>
      <c r="B172" s="1765" t="s">
        <v>348</v>
      </c>
      <c r="C172" s="1766" t="s">
        <v>348</v>
      </c>
      <c r="D172" s="353" t="s">
        <v>1616</v>
      </c>
      <c r="E172" s="1137" t="s">
        <v>1617</v>
      </c>
      <c r="F172" s="889" t="s">
        <v>1618</v>
      </c>
      <c r="G172" s="357" t="s">
        <v>1619</v>
      </c>
      <c r="H172" s="376" t="s">
        <v>1620</v>
      </c>
      <c r="I172" s="376" t="s">
        <v>1621</v>
      </c>
      <c r="J172" s="376" t="s">
        <v>1622</v>
      </c>
      <c r="K172" s="376" t="s">
        <v>1623</v>
      </c>
      <c r="L172" s="376" t="s">
        <v>1624</v>
      </c>
      <c r="M172" s="376" t="s">
        <v>1625</v>
      </c>
      <c r="N172" s="376" t="s">
        <v>1626</v>
      </c>
      <c r="O172" s="376" t="s">
        <v>1627</v>
      </c>
      <c r="P172" s="376" t="s">
        <v>1628</v>
      </c>
      <c r="Q172" s="376" t="s">
        <v>1629</v>
      </c>
      <c r="R172" s="376" t="s">
        <v>1630</v>
      </c>
      <c r="S172" s="376" t="s">
        <v>1631</v>
      </c>
      <c r="T172" s="376" t="s">
        <v>1632</v>
      </c>
      <c r="U172" s="376" t="s">
        <v>1633</v>
      </c>
      <c r="V172" s="376" t="s">
        <v>1634</v>
      </c>
      <c r="W172" s="376" t="s">
        <v>1635</v>
      </c>
      <c r="X172" s="376" t="s">
        <v>1636</v>
      </c>
      <c r="Y172" s="376" t="s">
        <v>1637</v>
      </c>
      <c r="Z172" s="376" t="s">
        <v>1638</v>
      </c>
      <c r="AA172" s="376" t="s">
        <v>1639</v>
      </c>
      <c r="AB172" s="376" t="s">
        <v>1640</v>
      </c>
      <c r="AC172" s="376" t="s">
        <v>1641</v>
      </c>
      <c r="AD172" s="376" t="s">
        <v>1642</v>
      </c>
      <c r="AE172" s="376" t="s">
        <v>1643</v>
      </c>
      <c r="AF172" s="376" t="s">
        <v>1644</v>
      </c>
      <c r="AG172" s="376" t="s">
        <v>1645</v>
      </c>
      <c r="AH172" s="376" t="s">
        <v>1646</v>
      </c>
      <c r="AI172" s="376" t="s">
        <v>1647</v>
      </c>
      <c r="AJ172" s="376" t="s">
        <v>1648</v>
      </c>
      <c r="AK172" s="376" t="s">
        <v>1649</v>
      </c>
      <c r="AL172" s="376" t="s">
        <v>1650</v>
      </c>
      <c r="AM172" s="376" t="s">
        <v>1651</v>
      </c>
      <c r="AN172" s="376" t="s">
        <v>1652</v>
      </c>
      <c r="AO172" s="376" t="s">
        <v>1653</v>
      </c>
      <c r="AP172" s="376" t="s">
        <v>1654</v>
      </c>
      <c r="AQ172" s="376" t="s">
        <v>1655</v>
      </c>
      <c r="AR172" s="356" t="s">
        <v>1656</v>
      </c>
      <c r="AS172" s="358" t="s">
        <v>1657</v>
      </c>
      <c r="AT172" s="356" t="s">
        <v>1658</v>
      </c>
      <c r="AU172" s="354" t="s">
        <v>1659</v>
      </c>
      <c r="AV172" s="355" t="s">
        <v>1660</v>
      </c>
      <c r="AW172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2" s="110"/>
      <c r="AY172" s="110"/>
      <c r="AZ172" s="110"/>
      <c r="BA172" s="110"/>
      <c r="BS172" s="606"/>
      <c r="BT172" s="606"/>
      <c r="BU172" s="606"/>
      <c r="BV172" s="606"/>
      <c r="CB172" s="191" t="str">
        <f t="shared" si="99"/>
        <v xml:space="preserve"> * La variable Pueblos Originarios  hombres  no debe ser mayor que el Total de Hombres.</v>
      </c>
      <c r="CC172" s="191" t="str">
        <f t="shared" si="100"/>
        <v xml:space="preserve"> * La variable Pueblos Originarios Mujeres no debe ser mayor que el Total de Mujeres</v>
      </c>
      <c r="CD172" s="191" t="str">
        <f t="shared" si="92"/>
        <v xml:space="preserve"> * La variable Migrantes  hombres  no debe ser mayor que el Total de Hombres</v>
      </c>
      <c r="CE172" s="191" t="str">
        <f t="shared" si="93"/>
        <v xml:space="preserve"> * La variable Migrantes  Mujeres no debe ser mayor que el Total de Mujeres</v>
      </c>
      <c r="DQ172" s="1047">
        <f t="shared" si="94"/>
        <v>1</v>
      </c>
      <c r="DR172" s="1047">
        <f t="shared" si="95"/>
        <v>1</v>
      </c>
      <c r="DS172" s="1047">
        <f t="shared" si="96"/>
        <v>1</v>
      </c>
      <c r="DT172" s="1047">
        <f t="shared" si="97"/>
        <v>1</v>
      </c>
    </row>
    <row r="173" spans="1:124" ht="15" customHeight="1" x14ac:dyDescent="0.25">
      <c r="A173" s="1589" t="s">
        <v>1133</v>
      </c>
      <c r="B173" s="1765" t="s">
        <v>349</v>
      </c>
      <c r="C173" s="1766" t="s">
        <v>349</v>
      </c>
      <c r="D173" s="353" t="s">
        <v>1616</v>
      </c>
      <c r="E173" s="1137" t="s">
        <v>1617</v>
      </c>
      <c r="F173" s="889" t="s">
        <v>1618</v>
      </c>
      <c r="G173" s="357" t="s">
        <v>1619</v>
      </c>
      <c r="H173" s="376" t="s">
        <v>1620</v>
      </c>
      <c r="I173" s="376" t="s">
        <v>1621</v>
      </c>
      <c r="J173" s="376" t="s">
        <v>1622</v>
      </c>
      <c r="K173" s="376" t="s">
        <v>1623</v>
      </c>
      <c r="L173" s="376" t="s">
        <v>1624</v>
      </c>
      <c r="M173" s="376" t="s">
        <v>1625</v>
      </c>
      <c r="N173" s="376" t="s">
        <v>1626</v>
      </c>
      <c r="O173" s="376" t="s">
        <v>1627</v>
      </c>
      <c r="P173" s="376" t="s">
        <v>1628</v>
      </c>
      <c r="Q173" s="376" t="s">
        <v>1629</v>
      </c>
      <c r="R173" s="376" t="s">
        <v>1630</v>
      </c>
      <c r="S173" s="376" t="s">
        <v>1631</v>
      </c>
      <c r="T173" s="376" t="s">
        <v>1632</v>
      </c>
      <c r="U173" s="376" t="s">
        <v>1633</v>
      </c>
      <c r="V173" s="376" t="s">
        <v>1634</v>
      </c>
      <c r="W173" s="376" t="s">
        <v>1635</v>
      </c>
      <c r="X173" s="376" t="s">
        <v>1636</v>
      </c>
      <c r="Y173" s="376" t="s">
        <v>1637</v>
      </c>
      <c r="Z173" s="376" t="s">
        <v>1638</v>
      </c>
      <c r="AA173" s="376" t="s">
        <v>1639</v>
      </c>
      <c r="AB173" s="376" t="s">
        <v>1640</v>
      </c>
      <c r="AC173" s="376" t="s">
        <v>1641</v>
      </c>
      <c r="AD173" s="376" t="s">
        <v>1642</v>
      </c>
      <c r="AE173" s="376" t="s">
        <v>1643</v>
      </c>
      <c r="AF173" s="376" t="s">
        <v>1644</v>
      </c>
      <c r="AG173" s="376" t="s">
        <v>1645</v>
      </c>
      <c r="AH173" s="376" t="s">
        <v>1646</v>
      </c>
      <c r="AI173" s="376" t="s">
        <v>1647</v>
      </c>
      <c r="AJ173" s="376" t="s">
        <v>1648</v>
      </c>
      <c r="AK173" s="376" t="s">
        <v>1649</v>
      </c>
      <c r="AL173" s="376" t="s">
        <v>1650</v>
      </c>
      <c r="AM173" s="376" t="s">
        <v>1651</v>
      </c>
      <c r="AN173" s="376" t="s">
        <v>1652</v>
      </c>
      <c r="AO173" s="376" t="s">
        <v>1653</v>
      </c>
      <c r="AP173" s="376" t="s">
        <v>1654</v>
      </c>
      <c r="AQ173" s="376" t="s">
        <v>1655</v>
      </c>
      <c r="AR173" s="356" t="s">
        <v>1656</v>
      </c>
      <c r="AS173" s="358" t="s">
        <v>1657</v>
      </c>
      <c r="AT173" s="356" t="s">
        <v>1658</v>
      </c>
      <c r="AU173" s="354" t="s">
        <v>1659</v>
      </c>
      <c r="AV173" s="355" t="s">
        <v>1660</v>
      </c>
      <c r="AW173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3" s="110"/>
      <c r="AY173" s="110"/>
      <c r="AZ173" s="110"/>
      <c r="BA173" s="110"/>
      <c r="BS173" s="606"/>
      <c r="BT173" s="606"/>
      <c r="BU173" s="606"/>
      <c r="BV173" s="606"/>
      <c r="CB173" s="191" t="str">
        <f t="shared" si="99"/>
        <v xml:space="preserve"> * La variable Pueblos Originarios  hombres  no debe ser mayor que el Total de Hombres.</v>
      </c>
      <c r="CC173" s="191" t="str">
        <f t="shared" si="100"/>
        <v xml:space="preserve"> * La variable Pueblos Originarios Mujeres no debe ser mayor que el Total de Mujeres</v>
      </c>
      <c r="CD173" s="191" t="str">
        <f t="shared" si="92"/>
        <v xml:space="preserve"> * La variable Migrantes  hombres  no debe ser mayor que el Total de Hombres</v>
      </c>
      <c r="CE173" s="191" t="str">
        <f t="shared" si="93"/>
        <v xml:space="preserve"> * La variable Migrantes  Mujeres no debe ser mayor que el Total de Mujeres</v>
      </c>
      <c r="DQ173" s="1047">
        <f t="shared" si="94"/>
        <v>1</v>
      </c>
      <c r="DR173" s="1047">
        <f t="shared" si="95"/>
        <v>1</v>
      </c>
      <c r="DS173" s="1047">
        <f t="shared" si="96"/>
        <v>1</v>
      </c>
      <c r="DT173" s="1047">
        <f t="shared" si="97"/>
        <v>1</v>
      </c>
    </row>
    <row r="174" spans="1:124" ht="15" customHeight="1" x14ac:dyDescent="0.25">
      <c r="A174" s="1589" t="s">
        <v>1134</v>
      </c>
      <c r="B174" s="1765" t="s">
        <v>350</v>
      </c>
      <c r="C174" s="1766" t="s">
        <v>350</v>
      </c>
      <c r="D174" s="353" t="s">
        <v>1616</v>
      </c>
      <c r="E174" s="1137" t="s">
        <v>1617</v>
      </c>
      <c r="F174" s="889" t="s">
        <v>1618</v>
      </c>
      <c r="G174" s="357" t="s">
        <v>1619</v>
      </c>
      <c r="H174" s="376" t="s">
        <v>1620</v>
      </c>
      <c r="I174" s="376" t="s">
        <v>1621</v>
      </c>
      <c r="J174" s="376" t="s">
        <v>1622</v>
      </c>
      <c r="K174" s="376" t="s">
        <v>1623</v>
      </c>
      <c r="L174" s="376" t="s">
        <v>1624</v>
      </c>
      <c r="M174" s="376" t="s">
        <v>1625</v>
      </c>
      <c r="N174" s="376" t="s">
        <v>1626</v>
      </c>
      <c r="O174" s="376" t="s">
        <v>1627</v>
      </c>
      <c r="P174" s="376" t="s">
        <v>1628</v>
      </c>
      <c r="Q174" s="376" t="s">
        <v>1629</v>
      </c>
      <c r="R174" s="376" t="s">
        <v>1630</v>
      </c>
      <c r="S174" s="376" t="s">
        <v>1631</v>
      </c>
      <c r="T174" s="376" t="s">
        <v>1632</v>
      </c>
      <c r="U174" s="376" t="s">
        <v>1633</v>
      </c>
      <c r="V174" s="376" t="s">
        <v>1634</v>
      </c>
      <c r="W174" s="376" t="s">
        <v>1635</v>
      </c>
      <c r="X174" s="376" t="s">
        <v>1636</v>
      </c>
      <c r="Y174" s="376" t="s">
        <v>1637</v>
      </c>
      <c r="Z174" s="376" t="s">
        <v>1638</v>
      </c>
      <c r="AA174" s="376" t="s">
        <v>1639</v>
      </c>
      <c r="AB174" s="376" t="s">
        <v>1640</v>
      </c>
      <c r="AC174" s="376" t="s">
        <v>1641</v>
      </c>
      <c r="AD174" s="376" t="s">
        <v>1642</v>
      </c>
      <c r="AE174" s="376" t="s">
        <v>1643</v>
      </c>
      <c r="AF174" s="376" t="s">
        <v>1644</v>
      </c>
      <c r="AG174" s="376" t="s">
        <v>1645</v>
      </c>
      <c r="AH174" s="376" t="s">
        <v>1646</v>
      </c>
      <c r="AI174" s="376" t="s">
        <v>1647</v>
      </c>
      <c r="AJ174" s="376" t="s">
        <v>1648</v>
      </c>
      <c r="AK174" s="376" t="s">
        <v>1649</v>
      </c>
      <c r="AL174" s="376" t="s">
        <v>1650</v>
      </c>
      <c r="AM174" s="376" t="s">
        <v>1651</v>
      </c>
      <c r="AN174" s="376" t="s">
        <v>1652</v>
      </c>
      <c r="AO174" s="376" t="s">
        <v>1653</v>
      </c>
      <c r="AP174" s="376" t="s">
        <v>1654</v>
      </c>
      <c r="AQ174" s="376" t="s">
        <v>1655</v>
      </c>
      <c r="AR174" s="356" t="s">
        <v>1656</v>
      </c>
      <c r="AS174" s="358" t="s">
        <v>1657</v>
      </c>
      <c r="AT174" s="356" t="s">
        <v>1658</v>
      </c>
      <c r="AU174" s="354" t="s">
        <v>1659</v>
      </c>
      <c r="AV174" s="355" t="s">
        <v>1660</v>
      </c>
      <c r="AW174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4" s="110"/>
      <c r="AY174" s="110"/>
      <c r="AZ174" s="110"/>
      <c r="BA174" s="110"/>
      <c r="BS174" s="606"/>
      <c r="BT174" s="606"/>
      <c r="BU174" s="606"/>
      <c r="BV174" s="606"/>
      <c r="CB174" s="191" t="str">
        <f t="shared" si="99"/>
        <v xml:space="preserve"> * La variable Pueblos Originarios  hombres  no debe ser mayor que el Total de Hombres.</v>
      </c>
      <c r="CC174" s="191" t="str">
        <f t="shared" si="100"/>
        <v xml:space="preserve"> * La variable Pueblos Originarios Mujeres no debe ser mayor que el Total de Mujeres</v>
      </c>
      <c r="CD174" s="191" t="str">
        <f t="shared" si="92"/>
        <v xml:space="preserve"> * La variable Migrantes  hombres  no debe ser mayor que el Total de Hombres</v>
      </c>
      <c r="CE174" s="191" t="str">
        <f t="shared" si="93"/>
        <v xml:space="preserve"> * La variable Migrantes  Mujeres no debe ser mayor que el Total de Mujeres</v>
      </c>
      <c r="DQ174" s="1047">
        <f t="shared" si="94"/>
        <v>1</v>
      </c>
      <c r="DR174" s="1047">
        <f t="shared" si="95"/>
        <v>1</v>
      </c>
      <c r="DS174" s="1047">
        <f t="shared" si="96"/>
        <v>1</v>
      </c>
      <c r="DT174" s="1047">
        <f t="shared" si="97"/>
        <v>1</v>
      </c>
    </row>
    <row r="175" spans="1:124" ht="15" customHeight="1" x14ac:dyDescent="0.25">
      <c r="A175" s="1589" t="s">
        <v>1135</v>
      </c>
      <c r="B175" s="1765" t="s">
        <v>351</v>
      </c>
      <c r="C175" s="1766" t="s">
        <v>351</v>
      </c>
      <c r="D175" s="353" t="s">
        <v>1616</v>
      </c>
      <c r="E175" s="1137" t="s">
        <v>1617</v>
      </c>
      <c r="F175" s="889" t="s">
        <v>1618</v>
      </c>
      <c r="G175" s="357" t="s">
        <v>1619</v>
      </c>
      <c r="H175" s="376" t="s">
        <v>1620</v>
      </c>
      <c r="I175" s="376" t="s">
        <v>1621</v>
      </c>
      <c r="J175" s="376" t="s">
        <v>1622</v>
      </c>
      <c r="K175" s="376" t="s">
        <v>1623</v>
      </c>
      <c r="L175" s="376" t="s">
        <v>1624</v>
      </c>
      <c r="M175" s="376" t="s">
        <v>1625</v>
      </c>
      <c r="N175" s="376" t="s">
        <v>1626</v>
      </c>
      <c r="O175" s="376" t="s">
        <v>1627</v>
      </c>
      <c r="P175" s="376" t="s">
        <v>1628</v>
      </c>
      <c r="Q175" s="376" t="s">
        <v>1629</v>
      </c>
      <c r="R175" s="376" t="s">
        <v>1630</v>
      </c>
      <c r="S175" s="376" t="s">
        <v>1631</v>
      </c>
      <c r="T175" s="376" t="s">
        <v>1632</v>
      </c>
      <c r="U175" s="376" t="s">
        <v>1633</v>
      </c>
      <c r="V175" s="376" t="s">
        <v>1634</v>
      </c>
      <c r="W175" s="376" t="s">
        <v>1635</v>
      </c>
      <c r="X175" s="376" t="s">
        <v>1636</v>
      </c>
      <c r="Y175" s="376" t="s">
        <v>1637</v>
      </c>
      <c r="Z175" s="376" t="s">
        <v>1638</v>
      </c>
      <c r="AA175" s="376" t="s">
        <v>1639</v>
      </c>
      <c r="AB175" s="376" t="s">
        <v>1640</v>
      </c>
      <c r="AC175" s="376" t="s">
        <v>1641</v>
      </c>
      <c r="AD175" s="376" t="s">
        <v>1642</v>
      </c>
      <c r="AE175" s="376" t="s">
        <v>1643</v>
      </c>
      <c r="AF175" s="376" t="s">
        <v>1644</v>
      </c>
      <c r="AG175" s="376" t="s">
        <v>1645</v>
      </c>
      <c r="AH175" s="376" t="s">
        <v>1646</v>
      </c>
      <c r="AI175" s="376" t="s">
        <v>1647</v>
      </c>
      <c r="AJ175" s="376" t="s">
        <v>1648</v>
      </c>
      <c r="AK175" s="376" t="s">
        <v>1649</v>
      </c>
      <c r="AL175" s="376" t="s">
        <v>1650</v>
      </c>
      <c r="AM175" s="376" t="s">
        <v>1651</v>
      </c>
      <c r="AN175" s="376" t="s">
        <v>1652</v>
      </c>
      <c r="AO175" s="376" t="s">
        <v>1653</v>
      </c>
      <c r="AP175" s="376" t="s">
        <v>1654</v>
      </c>
      <c r="AQ175" s="376" t="s">
        <v>1655</v>
      </c>
      <c r="AR175" s="356" t="s">
        <v>1656</v>
      </c>
      <c r="AS175" s="358" t="s">
        <v>1657</v>
      </c>
      <c r="AT175" s="356" t="s">
        <v>1658</v>
      </c>
      <c r="AU175" s="354" t="s">
        <v>1659</v>
      </c>
      <c r="AV175" s="355" t="s">
        <v>1660</v>
      </c>
      <c r="AW175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5" s="110"/>
      <c r="AY175" s="110"/>
      <c r="AZ175" s="110"/>
      <c r="BA175" s="110"/>
      <c r="BS175" s="606"/>
      <c r="BT175" s="606"/>
      <c r="BU175" s="606"/>
      <c r="BV175" s="606"/>
      <c r="CB175" s="191" t="str">
        <f t="shared" si="99"/>
        <v xml:space="preserve"> * La variable Pueblos Originarios  hombres  no debe ser mayor que el Total de Hombres.</v>
      </c>
      <c r="CC175" s="191" t="str">
        <f t="shared" si="100"/>
        <v xml:space="preserve"> * La variable Pueblos Originarios Mujeres no debe ser mayor que el Total de Mujeres</v>
      </c>
      <c r="CD175" s="191" t="str">
        <f t="shared" si="92"/>
        <v xml:space="preserve"> * La variable Migrantes  hombres  no debe ser mayor que el Total de Hombres</v>
      </c>
      <c r="CE175" s="191" t="str">
        <f t="shared" si="93"/>
        <v xml:space="preserve"> * La variable Migrantes  Mujeres no debe ser mayor que el Total de Mujeres</v>
      </c>
      <c r="DQ175" s="1047">
        <f t="shared" si="94"/>
        <v>1</v>
      </c>
      <c r="DR175" s="1047">
        <f t="shared" si="95"/>
        <v>1</v>
      </c>
      <c r="DS175" s="1047">
        <f t="shared" si="96"/>
        <v>1</v>
      </c>
      <c r="DT175" s="1047">
        <f t="shared" si="97"/>
        <v>1</v>
      </c>
    </row>
    <row r="176" spans="1:124" ht="15" customHeight="1" x14ac:dyDescent="0.25">
      <c r="A176" s="1589" t="s">
        <v>1136</v>
      </c>
      <c r="B176" s="1765" t="s">
        <v>352</v>
      </c>
      <c r="C176" s="1766"/>
      <c r="D176" s="338" t="s">
        <v>1616</v>
      </c>
      <c r="E176" s="1136" t="s">
        <v>1617</v>
      </c>
      <c r="F176" s="888" t="s">
        <v>1618</v>
      </c>
      <c r="G176" s="343" t="s">
        <v>1619</v>
      </c>
      <c r="H176" s="645" t="s">
        <v>1620</v>
      </c>
      <c r="I176" s="645" t="s">
        <v>1621</v>
      </c>
      <c r="J176" s="645" t="s">
        <v>1622</v>
      </c>
      <c r="K176" s="645" t="s">
        <v>1623</v>
      </c>
      <c r="L176" s="645" t="s">
        <v>1624</v>
      </c>
      <c r="M176" s="645" t="s">
        <v>1625</v>
      </c>
      <c r="N176" s="645" t="s">
        <v>1626</v>
      </c>
      <c r="O176" s="645" t="s">
        <v>1627</v>
      </c>
      <c r="P176" s="645" t="s">
        <v>1628</v>
      </c>
      <c r="Q176" s="645" t="s">
        <v>1629</v>
      </c>
      <c r="R176" s="645" t="s">
        <v>1630</v>
      </c>
      <c r="S176" s="645" t="s">
        <v>1631</v>
      </c>
      <c r="T176" s="645" t="s">
        <v>1632</v>
      </c>
      <c r="U176" s="645" t="s">
        <v>1633</v>
      </c>
      <c r="V176" s="645" t="s">
        <v>1634</v>
      </c>
      <c r="W176" s="645" t="s">
        <v>1635</v>
      </c>
      <c r="X176" s="645" t="s">
        <v>1636</v>
      </c>
      <c r="Y176" s="645" t="s">
        <v>1637</v>
      </c>
      <c r="Z176" s="645" t="s">
        <v>1638</v>
      </c>
      <c r="AA176" s="645" t="s">
        <v>1639</v>
      </c>
      <c r="AB176" s="645" t="s">
        <v>1640</v>
      </c>
      <c r="AC176" s="645" t="s">
        <v>1641</v>
      </c>
      <c r="AD176" s="645" t="s">
        <v>1642</v>
      </c>
      <c r="AE176" s="645" t="s">
        <v>1643</v>
      </c>
      <c r="AF176" s="645" t="s">
        <v>1644</v>
      </c>
      <c r="AG176" s="645" t="s">
        <v>1645</v>
      </c>
      <c r="AH176" s="645" t="s">
        <v>1646</v>
      </c>
      <c r="AI176" s="645" t="s">
        <v>1647</v>
      </c>
      <c r="AJ176" s="645" t="s">
        <v>1648</v>
      </c>
      <c r="AK176" s="645" t="s">
        <v>1649</v>
      </c>
      <c r="AL176" s="645" t="s">
        <v>1650</v>
      </c>
      <c r="AM176" s="645" t="s">
        <v>1651</v>
      </c>
      <c r="AN176" s="645" t="s">
        <v>1652</v>
      </c>
      <c r="AO176" s="645" t="s">
        <v>1653</v>
      </c>
      <c r="AP176" s="645" t="s">
        <v>1654</v>
      </c>
      <c r="AQ176" s="645" t="s">
        <v>1655</v>
      </c>
      <c r="AR176" s="344" t="s">
        <v>1656</v>
      </c>
      <c r="AS176" s="347" t="s">
        <v>1657</v>
      </c>
      <c r="AT176" s="344" t="s">
        <v>1658</v>
      </c>
      <c r="AU176" s="342" t="s">
        <v>1659</v>
      </c>
      <c r="AV176" s="345" t="s">
        <v>1660</v>
      </c>
      <c r="AW176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CB176" s="191" t="str">
        <f t="shared" si="99"/>
        <v xml:space="preserve"> * La variable Pueblos Originarios  hombres  no debe ser mayor que el Total de Hombres.</v>
      </c>
      <c r="CC176" s="191" t="str">
        <f t="shared" si="100"/>
        <v xml:space="preserve"> * La variable Pueblos Originarios Mujeres no debe ser mayor que el Total de Mujeres</v>
      </c>
      <c r="CD176" s="191" t="str">
        <f t="shared" si="92"/>
        <v xml:space="preserve"> * La variable Migrantes  hombres  no debe ser mayor que el Total de Hombres</v>
      </c>
      <c r="CE176" s="191" t="str">
        <f t="shared" si="93"/>
        <v xml:space="preserve"> * La variable Migrantes  Mujeres no debe ser mayor que el Total de Mujeres</v>
      </c>
      <c r="DQ176" s="1047">
        <f t="shared" si="94"/>
        <v>1</v>
      </c>
      <c r="DR176" s="1047">
        <f t="shared" si="95"/>
        <v>1</v>
      </c>
      <c r="DS176" s="1047">
        <f t="shared" si="96"/>
        <v>1</v>
      </c>
      <c r="DT176" s="1047">
        <f t="shared" si="97"/>
        <v>1</v>
      </c>
    </row>
    <row r="177" spans="1:124" ht="15" customHeight="1" x14ac:dyDescent="0.25">
      <c r="A177" s="1589" t="s">
        <v>1137</v>
      </c>
      <c r="B177" s="1765" t="s">
        <v>353</v>
      </c>
      <c r="C177" s="1766" t="s">
        <v>353</v>
      </c>
      <c r="D177" s="353" t="s">
        <v>1616</v>
      </c>
      <c r="E177" s="1137" t="s">
        <v>1617</v>
      </c>
      <c r="F177" s="889" t="s">
        <v>1618</v>
      </c>
      <c r="G177" s="357" t="s">
        <v>1619</v>
      </c>
      <c r="H177" s="376" t="s">
        <v>1620</v>
      </c>
      <c r="I177" s="376" t="s">
        <v>1621</v>
      </c>
      <c r="J177" s="376" t="s">
        <v>1622</v>
      </c>
      <c r="K177" s="376" t="s">
        <v>1623</v>
      </c>
      <c r="L177" s="376" t="s">
        <v>1624</v>
      </c>
      <c r="M177" s="376" t="s">
        <v>1625</v>
      </c>
      <c r="N177" s="376" t="s">
        <v>1626</v>
      </c>
      <c r="O177" s="376" t="s">
        <v>1627</v>
      </c>
      <c r="P177" s="376" t="s">
        <v>1628</v>
      </c>
      <c r="Q177" s="376" t="s">
        <v>1629</v>
      </c>
      <c r="R177" s="376" t="s">
        <v>1630</v>
      </c>
      <c r="S177" s="376" t="s">
        <v>1631</v>
      </c>
      <c r="T177" s="376" t="s">
        <v>1632</v>
      </c>
      <c r="U177" s="376" t="s">
        <v>1633</v>
      </c>
      <c r="V177" s="376" t="s">
        <v>1634</v>
      </c>
      <c r="W177" s="376" t="s">
        <v>1635</v>
      </c>
      <c r="X177" s="376" t="s">
        <v>1636</v>
      </c>
      <c r="Y177" s="376" t="s">
        <v>1637</v>
      </c>
      <c r="Z177" s="376" t="s">
        <v>1638</v>
      </c>
      <c r="AA177" s="376" t="s">
        <v>1639</v>
      </c>
      <c r="AB177" s="376" t="s">
        <v>1640</v>
      </c>
      <c r="AC177" s="376" t="s">
        <v>1641</v>
      </c>
      <c r="AD177" s="376" t="s">
        <v>1642</v>
      </c>
      <c r="AE177" s="376" t="s">
        <v>1643</v>
      </c>
      <c r="AF177" s="376" t="s">
        <v>1644</v>
      </c>
      <c r="AG177" s="376" t="s">
        <v>1645</v>
      </c>
      <c r="AH177" s="376" t="s">
        <v>1646</v>
      </c>
      <c r="AI177" s="376" t="s">
        <v>1647</v>
      </c>
      <c r="AJ177" s="376" t="s">
        <v>1648</v>
      </c>
      <c r="AK177" s="376" t="s">
        <v>1649</v>
      </c>
      <c r="AL177" s="376" t="s">
        <v>1650</v>
      </c>
      <c r="AM177" s="376" t="s">
        <v>1651</v>
      </c>
      <c r="AN177" s="376" t="s">
        <v>1652</v>
      </c>
      <c r="AO177" s="376" t="s">
        <v>1653</v>
      </c>
      <c r="AP177" s="376" t="s">
        <v>1654</v>
      </c>
      <c r="AQ177" s="376" t="s">
        <v>1655</v>
      </c>
      <c r="AR177" s="356" t="s">
        <v>1656</v>
      </c>
      <c r="AS177" s="358" t="s">
        <v>1657</v>
      </c>
      <c r="AT177" s="356" t="s">
        <v>1658</v>
      </c>
      <c r="AU177" s="354" t="s">
        <v>1659</v>
      </c>
      <c r="AV177" s="355" t="s">
        <v>1660</v>
      </c>
      <c r="AW177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7" s="110"/>
      <c r="AY177" s="110"/>
      <c r="AZ177" s="110"/>
      <c r="BA177" s="110"/>
      <c r="BS177" s="606"/>
      <c r="BT177" s="606"/>
      <c r="BU177" s="606"/>
      <c r="BV177" s="606"/>
      <c r="CB177" s="191" t="str">
        <f t="shared" si="99"/>
        <v xml:space="preserve"> * La variable Pueblos Originarios  hombres  no debe ser mayor que el Total de Hombres.</v>
      </c>
      <c r="CC177" s="191" t="str">
        <f t="shared" si="100"/>
        <v xml:space="preserve"> * La variable Pueblos Originarios Mujeres no debe ser mayor que el Total de Mujeres</v>
      </c>
      <c r="CD177" s="191" t="str">
        <f t="shared" si="92"/>
        <v xml:space="preserve"> * La variable Migrantes  hombres  no debe ser mayor que el Total de Hombres</v>
      </c>
      <c r="CE177" s="191" t="str">
        <f t="shared" si="93"/>
        <v xml:space="preserve"> * La variable Migrantes  Mujeres no debe ser mayor que el Total de Mujeres</v>
      </c>
      <c r="DQ177" s="1047">
        <f t="shared" si="94"/>
        <v>1</v>
      </c>
      <c r="DR177" s="1047">
        <f t="shared" si="95"/>
        <v>1</v>
      </c>
      <c r="DS177" s="1047">
        <f t="shared" si="96"/>
        <v>1</v>
      </c>
      <c r="DT177" s="1047">
        <f t="shared" si="97"/>
        <v>1</v>
      </c>
    </row>
    <row r="178" spans="1:124" ht="15" customHeight="1" x14ac:dyDescent="0.25">
      <c r="A178" s="1589" t="s">
        <v>1138</v>
      </c>
      <c r="B178" s="1765" t="s">
        <v>354</v>
      </c>
      <c r="C178" s="1766" t="s">
        <v>354</v>
      </c>
      <c r="D178" s="353" t="s">
        <v>1616</v>
      </c>
      <c r="E178" s="1137" t="s">
        <v>1617</v>
      </c>
      <c r="F178" s="889" t="s">
        <v>1618</v>
      </c>
      <c r="G178" s="357" t="s">
        <v>1619</v>
      </c>
      <c r="H178" s="376" t="s">
        <v>1620</v>
      </c>
      <c r="I178" s="376" t="s">
        <v>1621</v>
      </c>
      <c r="J178" s="376" t="s">
        <v>1622</v>
      </c>
      <c r="K178" s="376" t="s">
        <v>1623</v>
      </c>
      <c r="L178" s="376" t="s">
        <v>1624</v>
      </c>
      <c r="M178" s="376" t="s">
        <v>1625</v>
      </c>
      <c r="N178" s="376" t="s">
        <v>1626</v>
      </c>
      <c r="O178" s="376" t="s">
        <v>1627</v>
      </c>
      <c r="P178" s="376" t="s">
        <v>1628</v>
      </c>
      <c r="Q178" s="376" t="s">
        <v>1629</v>
      </c>
      <c r="R178" s="376" t="s">
        <v>1630</v>
      </c>
      <c r="S178" s="376" t="s">
        <v>1631</v>
      </c>
      <c r="T178" s="376" t="s">
        <v>1632</v>
      </c>
      <c r="U178" s="376" t="s">
        <v>1633</v>
      </c>
      <c r="V178" s="376" t="s">
        <v>1634</v>
      </c>
      <c r="W178" s="376" t="s">
        <v>1635</v>
      </c>
      <c r="X178" s="376" t="s">
        <v>1636</v>
      </c>
      <c r="Y178" s="376" t="s">
        <v>1637</v>
      </c>
      <c r="Z178" s="376" t="s">
        <v>1638</v>
      </c>
      <c r="AA178" s="376" t="s">
        <v>1639</v>
      </c>
      <c r="AB178" s="376" t="s">
        <v>1640</v>
      </c>
      <c r="AC178" s="376" t="s">
        <v>1641</v>
      </c>
      <c r="AD178" s="376" t="s">
        <v>1642</v>
      </c>
      <c r="AE178" s="376" t="s">
        <v>1643</v>
      </c>
      <c r="AF178" s="376" t="s">
        <v>1644</v>
      </c>
      <c r="AG178" s="376" t="s">
        <v>1645</v>
      </c>
      <c r="AH178" s="376" t="s">
        <v>1646</v>
      </c>
      <c r="AI178" s="376" t="s">
        <v>1647</v>
      </c>
      <c r="AJ178" s="376" t="s">
        <v>1648</v>
      </c>
      <c r="AK178" s="376" t="s">
        <v>1649</v>
      </c>
      <c r="AL178" s="376" t="s">
        <v>1650</v>
      </c>
      <c r="AM178" s="376" t="s">
        <v>1651</v>
      </c>
      <c r="AN178" s="376" t="s">
        <v>1652</v>
      </c>
      <c r="AO178" s="376" t="s">
        <v>1653</v>
      </c>
      <c r="AP178" s="376" t="s">
        <v>1654</v>
      </c>
      <c r="AQ178" s="376" t="s">
        <v>1655</v>
      </c>
      <c r="AR178" s="356" t="s">
        <v>1656</v>
      </c>
      <c r="AS178" s="358" t="s">
        <v>1657</v>
      </c>
      <c r="AT178" s="356" t="s">
        <v>1658</v>
      </c>
      <c r="AU178" s="354" t="s">
        <v>1659</v>
      </c>
      <c r="AV178" s="355" t="s">
        <v>1660</v>
      </c>
      <c r="AW178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8" s="110"/>
      <c r="AY178" s="110"/>
      <c r="AZ178" s="110"/>
      <c r="BA178" s="110"/>
      <c r="BS178" s="606"/>
      <c r="BT178" s="606"/>
      <c r="BU178" s="606"/>
      <c r="BV178" s="606"/>
      <c r="CB178" s="191" t="str">
        <f t="shared" si="99"/>
        <v xml:space="preserve"> * La variable Pueblos Originarios  hombres  no debe ser mayor que el Total de Hombres.</v>
      </c>
      <c r="CC178" s="191" t="str">
        <f t="shared" si="100"/>
        <v xml:space="preserve"> * La variable Pueblos Originarios Mujeres no debe ser mayor que el Total de Mujeres</v>
      </c>
      <c r="CD178" s="191" t="str">
        <f t="shared" si="92"/>
        <v xml:space="preserve"> * La variable Migrantes  hombres  no debe ser mayor que el Total de Hombres</v>
      </c>
      <c r="CE178" s="191" t="str">
        <f t="shared" si="93"/>
        <v xml:space="preserve"> * La variable Migrantes  Mujeres no debe ser mayor que el Total de Mujeres</v>
      </c>
      <c r="DQ178" s="1047">
        <f t="shared" si="94"/>
        <v>1</v>
      </c>
      <c r="DR178" s="1047">
        <f t="shared" si="95"/>
        <v>1</v>
      </c>
      <c r="DS178" s="1047">
        <f t="shared" si="96"/>
        <v>1</v>
      </c>
      <c r="DT178" s="1047">
        <f t="shared" si="97"/>
        <v>1</v>
      </c>
    </row>
    <row r="179" spans="1:124" ht="15" customHeight="1" x14ac:dyDescent="0.25">
      <c r="A179" s="1589" t="s">
        <v>1139</v>
      </c>
      <c r="B179" s="1765" t="s">
        <v>355</v>
      </c>
      <c r="C179" s="1766"/>
      <c r="D179" s="353" t="s">
        <v>1616</v>
      </c>
      <c r="E179" s="1137" t="s">
        <v>1617</v>
      </c>
      <c r="F179" s="889" t="s">
        <v>1618</v>
      </c>
      <c r="G179" s="357" t="s">
        <v>1619</v>
      </c>
      <c r="H179" s="376" t="s">
        <v>1620</v>
      </c>
      <c r="I179" s="376" t="s">
        <v>1621</v>
      </c>
      <c r="J179" s="376" t="s">
        <v>1622</v>
      </c>
      <c r="K179" s="376" t="s">
        <v>1623</v>
      </c>
      <c r="L179" s="376" t="s">
        <v>1624</v>
      </c>
      <c r="M179" s="376" t="s">
        <v>1625</v>
      </c>
      <c r="N179" s="376" t="s">
        <v>1626</v>
      </c>
      <c r="O179" s="376" t="s">
        <v>1627</v>
      </c>
      <c r="P179" s="376" t="s">
        <v>1628</v>
      </c>
      <c r="Q179" s="376" t="s">
        <v>1629</v>
      </c>
      <c r="R179" s="376" t="s">
        <v>1630</v>
      </c>
      <c r="S179" s="376" t="s">
        <v>1631</v>
      </c>
      <c r="T179" s="376" t="s">
        <v>1632</v>
      </c>
      <c r="U179" s="376" t="s">
        <v>1633</v>
      </c>
      <c r="V179" s="376" t="s">
        <v>1634</v>
      </c>
      <c r="W179" s="376" t="s">
        <v>1635</v>
      </c>
      <c r="X179" s="376" t="s">
        <v>1636</v>
      </c>
      <c r="Y179" s="376" t="s">
        <v>1637</v>
      </c>
      <c r="Z179" s="376" t="s">
        <v>1638</v>
      </c>
      <c r="AA179" s="376" t="s">
        <v>1639</v>
      </c>
      <c r="AB179" s="376" t="s">
        <v>1640</v>
      </c>
      <c r="AC179" s="376" t="s">
        <v>1641</v>
      </c>
      <c r="AD179" s="376" t="s">
        <v>1642</v>
      </c>
      <c r="AE179" s="376" t="s">
        <v>1643</v>
      </c>
      <c r="AF179" s="376" t="s">
        <v>1644</v>
      </c>
      <c r="AG179" s="376" t="s">
        <v>1645</v>
      </c>
      <c r="AH179" s="376" t="s">
        <v>1646</v>
      </c>
      <c r="AI179" s="376" t="s">
        <v>1647</v>
      </c>
      <c r="AJ179" s="376" t="s">
        <v>1648</v>
      </c>
      <c r="AK179" s="376" t="s">
        <v>1649</v>
      </c>
      <c r="AL179" s="376" t="s">
        <v>1650</v>
      </c>
      <c r="AM179" s="376" t="s">
        <v>1651</v>
      </c>
      <c r="AN179" s="376" t="s">
        <v>1652</v>
      </c>
      <c r="AO179" s="376" t="s">
        <v>1653</v>
      </c>
      <c r="AP179" s="376" t="s">
        <v>1654</v>
      </c>
      <c r="AQ179" s="376" t="s">
        <v>1655</v>
      </c>
      <c r="AR179" s="356" t="s">
        <v>1656</v>
      </c>
      <c r="AS179" s="358" t="s">
        <v>1657</v>
      </c>
      <c r="AT179" s="356" t="s">
        <v>1658</v>
      </c>
      <c r="AU179" s="354" t="s">
        <v>1659</v>
      </c>
      <c r="AV179" s="355" t="s">
        <v>1660</v>
      </c>
      <c r="AW179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9" s="110"/>
      <c r="AY179" s="110"/>
      <c r="AZ179" s="110"/>
      <c r="BA179" s="110"/>
      <c r="BS179" s="606"/>
      <c r="BT179" s="606"/>
      <c r="BU179" s="606"/>
      <c r="BV179" s="606"/>
      <c r="CB179" s="191" t="str">
        <f t="shared" si="99"/>
        <v xml:space="preserve"> * La variable Pueblos Originarios  hombres  no debe ser mayor que el Total de Hombres.</v>
      </c>
      <c r="CC179" s="191" t="str">
        <f t="shared" si="100"/>
        <v xml:space="preserve"> * La variable Pueblos Originarios Mujeres no debe ser mayor que el Total de Mujeres</v>
      </c>
      <c r="CD179" s="191" t="str">
        <f t="shared" si="92"/>
        <v xml:space="preserve"> * La variable Migrantes  hombres  no debe ser mayor que el Total de Hombres</v>
      </c>
      <c r="CE179" s="191" t="str">
        <f t="shared" si="93"/>
        <v xml:space="preserve"> * La variable Migrantes  Mujeres no debe ser mayor que el Total de Mujeres</v>
      </c>
      <c r="DQ179" s="1047">
        <f t="shared" si="94"/>
        <v>1</v>
      </c>
      <c r="DR179" s="1047">
        <f t="shared" si="95"/>
        <v>1</v>
      </c>
      <c r="DS179" s="1047">
        <f t="shared" si="96"/>
        <v>1</v>
      </c>
      <c r="DT179" s="1047">
        <f t="shared" si="97"/>
        <v>1</v>
      </c>
    </row>
    <row r="180" spans="1:124" ht="15" customHeight="1" x14ac:dyDescent="0.25">
      <c r="A180" s="1589" t="s">
        <v>1140</v>
      </c>
      <c r="B180" s="1765" t="s">
        <v>356</v>
      </c>
      <c r="C180" s="1766" t="s">
        <v>356</v>
      </c>
      <c r="D180" s="353" t="s">
        <v>1616</v>
      </c>
      <c r="E180" s="1137" t="s">
        <v>1617</v>
      </c>
      <c r="F180" s="889" t="s">
        <v>1618</v>
      </c>
      <c r="G180" s="357" t="s">
        <v>1619</v>
      </c>
      <c r="H180" s="376" t="s">
        <v>1620</v>
      </c>
      <c r="I180" s="376" t="s">
        <v>1621</v>
      </c>
      <c r="J180" s="376" t="s">
        <v>1622</v>
      </c>
      <c r="K180" s="376" t="s">
        <v>1623</v>
      </c>
      <c r="L180" s="376" t="s">
        <v>1624</v>
      </c>
      <c r="M180" s="376" t="s">
        <v>1625</v>
      </c>
      <c r="N180" s="376" t="s">
        <v>1626</v>
      </c>
      <c r="O180" s="376" t="s">
        <v>1627</v>
      </c>
      <c r="P180" s="376" t="s">
        <v>1628</v>
      </c>
      <c r="Q180" s="376" t="s">
        <v>1629</v>
      </c>
      <c r="R180" s="376" t="s">
        <v>1630</v>
      </c>
      <c r="S180" s="376" t="s">
        <v>1631</v>
      </c>
      <c r="T180" s="376" t="s">
        <v>1632</v>
      </c>
      <c r="U180" s="376" t="s">
        <v>1633</v>
      </c>
      <c r="V180" s="376" t="s">
        <v>1634</v>
      </c>
      <c r="W180" s="376" t="s">
        <v>1635</v>
      </c>
      <c r="X180" s="376" t="s">
        <v>1636</v>
      </c>
      <c r="Y180" s="376" t="s">
        <v>1637</v>
      </c>
      <c r="Z180" s="376" t="s">
        <v>1638</v>
      </c>
      <c r="AA180" s="376" t="s">
        <v>1639</v>
      </c>
      <c r="AB180" s="376" t="s">
        <v>1640</v>
      </c>
      <c r="AC180" s="376" t="s">
        <v>1641</v>
      </c>
      <c r="AD180" s="376" t="s">
        <v>1642</v>
      </c>
      <c r="AE180" s="376" t="s">
        <v>1643</v>
      </c>
      <c r="AF180" s="376" t="s">
        <v>1644</v>
      </c>
      <c r="AG180" s="376" t="s">
        <v>1645</v>
      </c>
      <c r="AH180" s="376" t="s">
        <v>1646</v>
      </c>
      <c r="AI180" s="376" t="s">
        <v>1647</v>
      </c>
      <c r="AJ180" s="376" t="s">
        <v>1648</v>
      </c>
      <c r="AK180" s="376" t="s">
        <v>1649</v>
      </c>
      <c r="AL180" s="376" t="s">
        <v>1650</v>
      </c>
      <c r="AM180" s="376" t="s">
        <v>1651</v>
      </c>
      <c r="AN180" s="376" t="s">
        <v>1652</v>
      </c>
      <c r="AO180" s="376" t="s">
        <v>1653</v>
      </c>
      <c r="AP180" s="376" t="s">
        <v>1654</v>
      </c>
      <c r="AQ180" s="376" t="s">
        <v>1655</v>
      </c>
      <c r="AR180" s="356" t="s">
        <v>1656</v>
      </c>
      <c r="AS180" s="358" t="s">
        <v>1657</v>
      </c>
      <c r="AT180" s="356" t="s">
        <v>1658</v>
      </c>
      <c r="AU180" s="354" t="s">
        <v>1659</v>
      </c>
      <c r="AV180" s="355" t="s">
        <v>1660</v>
      </c>
      <c r="AW180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0" s="110"/>
      <c r="AY180" s="110"/>
      <c r="AZ180" s="110"/>
      <c r="BA180" s="110"/>
      <c r="BS180" s="606"/>
      <c r="BT180" s="606"/>
      <c r="BU180" s="606"/>
      <c r="BV180" s="606"/>
      <c r="CB180" s="191" t="str">
        <f t="shared" si="99"/>
        <v xml:space="preserve"> * La variable Pueblos Originarios  hombres  no debe ser mayor que el Total de Hombres.</v>
      </c>
      <c r="CC180" s="191" t="str">
        <f t="shared" si="100"/>
        <v xml:space="preserve"> * La variable Pueblos Originarios Mujeres no debe ser mayor que el Total de Mujeres</v>
      </c>
      <c r="CD180" s="191" t="str">
        <f t="shared" si="92"/>
        <v xml:space="preserve"> * La variable Migrantes  hombres  no debe ser mayor que el Total de Hombres</v>
      </c>
      <c r="CE180" s="191" t="str">
        <f t="shared" si="93"/>
        <v xml:space="preserve"> * La variable Migrantes  Mujeres no debe ser mayor que el Total de Mujeres</v>
      </c>
      <c r="DQ180" s="1047">
        <f t="shared" si="94"/>
        <v>1</v>
      </c>
      <c r="DR180" s="1047">
        <f t="shared" si="95"/>
        <v>1</v>
      </c>
      <c r="DS180" s="1047">
        <f t="shared" si="96"/>
        <v>1</v>
      </c>
      <c r="DT180" s="1047">
        <f t="shared" si="97"/>
        <v>1</v>
      </c>
    </row>
    <row r="181" spans="1:124" ht="15" customHeight="1" x14ac:dyDescent="0.25">
      <c r="A181" s="1589" t="s">
        <v>1141</v>
      </c>
      <c r="B181" s="1765" t="s">
        <v>357</v>
      </c>
      <c r="C181" s="1766" t="s">
        <v>357</v>
      </c>
      <c r="D181" s="353" t="s">
        <v>1616</v>
      </c>
      <c r="E181" s="1137" t="s">
        <v>1617</v>
      </c>
      <c r="F181" s="889" t="s">
        <v>1618</v>
      </c>
      <c r="G181" s="357" t="s">
        <v>1619</v>
      </c>
      <c r="H181" s="376" t="s">
        <v>1620</v>
      </c>
      <c r="I181" s="376" t="s">
        <v>1621</v>
      </c>
      <c r="J181" s="376" t="s">
        <v>1622</v>
      </c>
      <c r="K181" s="376" t="s">
        <v>1623</v>
      </c>
      <c r="L181" s="376" t="s">
        <v>1624</v>
      </c>
      <c r="M181" s="376" t="s">
        <v>1625</v>
      </c>
      <c r="N181" s="376" t="s">
        <v>1626</v>
      </c>
      <c r="O181" s="376" t="s">
        <v>1627</v>
      </c>
      <c r="P181" s="376" t="s">
        <v>1628</v>
      </c>
      <c r="Q181" s="376" t="s">
        <v>1629</v>
      </c>
      <c r="R181" s="376" t="s">
        <v>1630</v>
      </c>
      <c r="S181" s="376" t="s">
        <v>1631</v>
      </c>
      <c r="T181" s="376" t="s">
        <v>1632</v>
      </c>
      <c r="U181" s="376" t="s">
        <v>1633</v>
      </c>
      <c r="V181" s="376" t="s">
        <v>1634</v>
      </c>
      <c r="W181" s="376" t="s">
        <v>1635</v>
      </c>
      <c r="X181" s="376" t="s">
        <v>1636</v>
      </c>
      <c r="Y181" s="376" t="s">
        <v>1637</v>
      </c>
      <c r="Z181" s="376" t="s">
        <v>1638</v>
      </c>
      <c r="AA181" s="376" t="s">
        <v>1639</v>
      </c>
      <c r="AB181" s="376" t="s">
        <v>1640</v>
      </c>
      <c r="AC181" s="376" t="s">
        <v>1641</v>
      </c>
      <c r="AD181" s="376" t="s">
        <v>1642</v>
      </c>
      <c r="AE181" s="376" t="s">
        <v>1643</v>
      </c>
      <c r="AF181" s="376" t="s">
        <v>1644</v>
      </c>
      <c r="AG181" s="376" t="s">
        <v>1645</v>
      </c>
      <c r="AH181" s="376" t="s">
        <v>1646</v>
      </c>
      <c r="AI181" s="376" t="s">
        <v>1647</v>
      </c>
      <c r="AJ181" s="376" t="s">
        <v>1648</v>
      </c>
      <c r="AK181" s="376" t="s">
        <v>1649</v>
      </c>
      <c r="AL181" s="376" t="s">
        <v>1650</v>
      </c>
      <c r="AM181" s="376" t="s">
        <v>1651</v>
      </c>
      <c r="AN181" s="376" t="s">
        <v>1652</v>
      </c>
      <c r="AO181" s="376" t="s">
        <v>1653</v>
      </c>
      <c r="AP181" s="376" t="s">
        <v>1654</v>
      </c>
      <c r="AQ181" s="376" t="s">
        <v>1655</v>
      </c>
      <c r="AR181" s="356" t="s">
        <v>1656</v>
      </c>
      <c r="AS181" s="358" t="s">
        <v>1657</v>
      </c>
      <c r="AT181" s="356" t="s">
        <v>1658</v>
      </c>
      <c r="AU181" s="354" t="s">
        <v>1659</v>
      </c>
      <c r="AV181" s="355" t="s">
        <v>1660</v>
      </c>
      <c r="AW181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1" s="110"/>
      <c r="AY181" s="110"/>
      <c r="AZ181" s="110"/>
      <c r="BA181" s="110"/>
      <c r="BS181" s="606"/>
      <c r="BT181" s="606"/>
      <c r="BU181" s="606"/>
      <c r="BV181" s="606"/>
      <c r="CB181" s="191" t="str">
        <f t="shared" si="99"/>
        <v xml:space="preserve"> * La variable Pueblos Originarios  hombres  no debe ser mayor que el Total de Hombres.</v>
      </c>
      <c r="CC181" s="191" t="str">
        <f t="shared" si="100"/>
        <v xml:space="preserve"> * La variable Pueblos Originarios Mujeres no debe ser mayor que el Total de Mujeres</v>
      </c>
      <c r="CD181" s="191" t="str">
        <f t="shared" si="92"/>
        <v xml:space="preserve"> * La variable Migrantes  hombres  no debe ser mayor que el Total de Hombres</v>
      </c>
      <c r="CE181" s="191" t="str">
        <f t="shared" si="93"/>
        <v xml:space="preserve"> * La variable Migrantes  Mujeres no debe ser mayor que el Total de Mujeres</v>
      </c>
      <c r="DQ181" s="1047">
        <f t="shared" si="94"/>
        <v>1</v>
      </c>
      <c r="DR181" s="1047">
        <f t="shared" si="95"/>
        <v>1</v>
      </c>
      <c r="DS181" s="1047">
        <f t="shared" si="96"/>
        <v>1</v>
      </c>
      <c r="DT181" s="1047">
        <f t="shared" si="97"/>
        <v>1</v>
      </c>
    </row>
    <row r="182" spans="1:124" ht="15" customHeight="1" x14ac:dyDescent="0.25">
      <c r="A182" s="1589" t="s">
        <v>1142</v>
      </c>
      <c r="B182" s="1765" t="s">
        <v>358</v>
      </c>
      <c r="C182" s="1766" t="s">
        <v>358</v>
      </c>
      <c r="D182" s="353" t="s">
        <v>1616</v>
      </c>
      <c r="E182" s="1137" t="s">
        <v>1617</v>
      </c>
      <c r="F182" s="889" t="s">
        <v>1618</v>
      </c>
      <c r="G182" s="357" t="s">
        <v>1619</v>
      </c>
      <c r="H182" s="376" t="s">
        <v>1620</v>
      </c>
      <c r="I182" s="376" t="s">
        <v>1621</v>
      </c>
      <c r="J182" s="376" t="s">
        <v>1622</v>
      </c>
      <c r="K182" s="376" t="s">
        <v>1623</v>
      </c>
      <c r="L182" s="376" t="s">
        <v>1624</v>
      </c>
      <c r="M182" s="376" t="s">
        <v>1625</v>
      </c>
      <c r="N182" s="376" t="s">
        <v>1626</v>
      </c>
      <c r="O182" s="376" t="s">
        <v>1627</v>
      </c>
      <c r="P182" s="376" t="s">
        <v>1628</v>
      </c>
      <c r="Q182" s="376" t="s">
        <v>1629</v>
      </c>
      <c r="R182" s="376" t="s">
        <v>1630</v>
      </c>
      <c r="S182" s="376" t="s">
        <v>1631</v>
      </c>
      <c r="T182" s="376" t="s">
        <v>1632</v>
      </c>
      <c r="U182" s="376" t="s">
        <v>1633</v>
      </c>
      <c r="V182" s="376" t="s">
        <v>1634</v>
      </c>
      <c r="W182" s="376" t="s">
        <v>1635</v>
      </c>
      <c r="X182" s="376" t="s">
        <v>1636</v>
      </c>
      <c r="Y182" s="376" t="s">
        <v>1637</v>
      </c>
      <c r="Z182" s="376" t="s">
        <v>1638</v>
      </c>
      <c r="AA182" s="376" t="s">
        <v>1639</v>
      </c>
      <c r="AB182" s="376" t="s">
        <v>1640</v>
      </c>
      <c r="AC182" s="376" t="s">
        <v>1641</v>
      </c>
      <c r="AD182" s="376" t="s">
        <v>1642</v>
      </c>
      <c r="AE182" s="376" t="s">
        <v>1643</v>
      </c>
      <c r="AF182" s="376" t="s">
        <v>1644</v>
      </c>
      <c r="AG182" s="376" t="s">
        <v>1645</v>
      </c>
      <c r="AH182" s="376" t="s">
        <v>1646</v>
      </c>
      <c r="AI182" s="376" t="s">
        <v>1647</v>
      </c>
      <c r="AJ182" s="376" t="s">
        <v>1648</v>
      </c>
      <c r="AK182" s="376" t="s">
        <v>1649</v>
      </c>
      <c r="AL182" s="376" t="s">
        <v>1650</v>
      </c>
      <c r="AM182" s="376" t="s">
        <v>1651</v>
      </c>
      <c r="AN182" s="376" t="s">
        <v>1652</v>
      </c>
      <c r="AO182" s="376" t="s">
        <v>1653</v>
      </c>
      <c r="AP182" s="376" t="s">
        <v>1654</v>
      </c>
      <c r="AQ182" s="376" t="s">
        <v>1655</v>
      </c>
      <c r="AR182" s="356" t="s">
        <v>1656</v>
      </c>
      <c r="AS182" s="358" t="s">
        <v>1657</v>
      </c>
      <c r="AT182" s="356" t="s">
        <v>1658</v>
      </c>
      <c r="AU182" s="354" t="s">
        <v>1659</v>
      </c>
      <c r="AV182" s="355" t="s">
        <v>1660</v>
      </c>
      <c r="AW182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2" s="110"/>
      <c r="AY182" s="110"/>
      <c r="AZ182" s="110"/>
      <c r="BA182" s="110"/>
      <c r="BS182" s="606"/>
      <c r="BT182" s="606"/>
      <c r="BU182" s="606"/>
      <c r="BV182" s="606"/>
      <c r="CB182" s="191" t="str">
        <f t="shared" si="99"/>
        <v xml:space="preserve"> * La variable Pueblos Originarios  hombres  no debe ser mayor que el Total de Hombres.</v>
      </c>
      <c r="CC182" s="191" t="str">
        <f t="shared" si="100"/>
        <v xml:space="preserve"> * La variable Pueblos Originarios Mujeres no debe ser mayor que el Total de Mujeres</v>
      </c>
      <c r="CD182" s="191" t="str">
        <f t="shared" si="92"/>
        <v xml:space="preserve"> * La variable Migrantes  hombres  no debe ser mayor que el Total de Hombres</v>
      </c>
      <c r="CE182" s="191" t="str">
        <f t="shared" si="93"/>
        <v xml:space="preserve"> * La variable Migrantes  Mujeres no debe ser mayor que el Total de Mujeres</v>
      </c>
      <c r="DQ182" s="1047">
        <f t="shared" si="94"/>
        <v>1</v>
      </c>
      <c r="DR182" s="1047">
        <f t="shared" si="95"/>
        <v>1</v>
      </c>
      <c r="DS182" s="1047">
        <f t="shared" si="96"/>
        <v>1</v>
      </c>
      <c r="DT182" s="1047">
        <f t="shared" si="97"/>
        <v>1</v>
      </c>
    </row>
    <row r="183" spans="1:124" ht="15" customHeight="1" x14ac:dyDescent="0.25">
      <c r="A183" s="1589" t="s">
        <v>1143</v>
      </c>
      <c r="B183" s="1765" t="s">
        <v>359</v>
      </c>
      <c r="C183" s="1766" t="s">
        <v>359</v>
      </c>
      <c r="D183" s="353" t="s">
        <v>1616</v>
      </c>
      <c r="E183" s="1137" t="s">
        <v>1617</v>
      </c>
      <c r="F183" s="889" t="s">
        <v>1618</v>
      </c>
      <c r="G183" s="357" t="s">
        <v>1619</v>
      </c>
      <c r="H183" s="376" t="s">
        <v>1620</v>
      </c>
      <c r="I183" s="376" t="s">
        <v>1621</v>
      </c>
      <c r="J183" s="376" t="s">
        <v>1622</v>
      </c>
      <c r="K183" s="376" t="s">
        <v>1623</v>
      </c>
      <c r="L183" s="376" t="s">
        <v>1624</v>
      </c>
      <c r="M183" s="376" t="s">
        <v>1625</v>
      </c>
      <c r="N183" s="376" t="s">
        <v>1626</v>
      </c>
      <c r="O183" s="376" t="s">
        <v>1627</v>
      </c>
      <c r="P183" s="376" t="s">
        <v>1628</v>
      </c>
      <c r="Q183" s="376" t="s">
        <v>1629</v>
      </c>
      <c r="R183" s="376" t="s">
        <v>1630</v>
      </c>
      <c r="S183" s="376" t="s">
        <v>1631</v>
      </c>
      <c r="T183" s="376" t="s">
        <v>1632</v>
      </c>
      <c r="U183" s="376" t="s">
        <v>1633</v>
      </c>
      <c r="V183" s="376" t="s">
        <v>1634</v>
      </c>
      <c r="W183" s="376" t="s">
        <v>1635</v>
      </c>
      <c r="X183" s="376" t="s">
        <v>1636</v>
      </c>
      <c r="Y183" s="376" t="s">
        <v>1637</v>
      </c>
      <c r="Z183" s="376" t="s">
        <v>1638</v>
      </c>
      <c r="AA183" s="376" t="s">
        <v>1639</v>
      </c>
      <c r="AB183" s="376" t="s">
        <v>1640</v>
      </c>
      <c r="AC183" s="376" t="s">
        <v>1641</v>
      </c>
      <c r="AD183" s="376" t="s">
        <v>1642</v>
      </c>
      <c r="AE183" s="376" t="s">
        <v>1643</v>
      </c>
      <c r="AF183" s="376" t="s">
        <v>1644</v>
      </c>
      <c r="AG183" s="376" t="s">
        <v>1645</v>
      </c>
      <c r="AH183" s="376" t="s">
        <v>1646</v>
      </c>
      <c r="AI183" s="376" t="s">
        <v>1647</v>
      </c>
      <c r="AJ183" s="376" t="s">
        <v>1648</v>
      </c>
      <c r="AK183" s="376" t="s">
        <v>1649</v>
      </c>
      <c r="AL183" s="376" t="s">
        <v>1650</v>
      </c>
      <c r="AM183" s="376" t="s">
        <v>1651</v>
      </c>
      <c r="AN183" s="376" t="s">
        <v>1652</v>
      </c>
      <c r="AO183" s="376" t="s">
        <v>1653</v>
      </c>
      <c r="AP183" s="376" t="s">
        <v>1654</v>
      </c>
      <c r="AQ183" s="376" t="s">
        <v>1655</v>
      </c>
      <c r="AR183" s="356" t="s">
        <v>1656</v>
      </c>
      <c r="AS183" s="358" t="s">
        <v>1657</v>
      </c>
      <c r="AT183" s="356" t="s">
        <v>1658</v>
      </c>
      <c r="AU183" s="354" t="s">
        <v>1659</v>
      </c>
      <c r="AV183" s="355" t="s">
        <v>1660</v>
      </c>
      <c r="AW183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3" s="110"/>
      <c r="AY183" s="110"/>
      <c r="AZ183" s="110"/>
      <c r="BA183" s="110"/>
      <c r="BS183" s="606"/>
      <c r="BT183" s="606"/>
      <c r="BU183" s="606"/>
      <c r="BV183" s="606"/>
      <c r="CB183" s="191" t="str">
        <f t="shared" si="99"/>
        <v xml:space="preserve"> * La variable Pueblos Originarios  hombres  no debe ser mayor que el Total de Hombres.</v>
      </c>
      <c r="CC183" s="191" t="str">
        <f t="shared" si="100"/>
        <v xml:space="preserve"> * La variable Pueblos Originarios Mujeres no debe ser mayor que el Total de Mujeres</v>
      </c>
      <c r="CD183" s="191" t="str">
        <f t="shared" si="92"/>
        <v xml:space="preserve"> * La variable Migrantes  hombres  no debe ser mayor que el Total de Hombres</v>
      </c>
      <c r="CE183" s="191" t="str">
        <f t="shared" si="93"/>
        <v xml:space="preserve"> * La variable Migrantes  Mujeres no debe ser mayor que el Total de Mujeres</v>
      </c>
      <c r="DQ183" s="1047">
        <f t="shared" si="94"/>
        <v>1</v>
      </c>
      <c r="DR183" s="1047">
        <f t="shared" si="95"/>
        <v>1</v>
      </c>
      <c r="DS183" s="1047">
        <f t="shared" si="96"/>
        <v>1</v>
      </c>
      <c r="DT183" s="1047">
        <f t="shared" si="97"/>
        <v>1</v>
      </c>
    </row>
    <row r="184" spans="1:124" ht="15" customHeight="1" x14ac:dyDescent="0.25">
      <c r="A184" s="1589" t="s">
        <v>1144</v>
      </c>
      <c r="B184" s="1765" t="s">
        <v>360</v>
      </c>
      <c r="C184" s="1766" t="s">
        <v>360</v>
      </c>
      <c r="D184" s="353" t="s">
        <v>1616</v>
      </c>
      <c r="E184" s="1137" t="s">
        <v>1617</v>
      </c>
      <c r="F184" s="889" t="s">
        <v>1618</v>
      </c>
      <c r="G184" s="357" t="s">
        <v>1619</v>
      </c>
      <c r="H184" s="376" t="s">
        <v>1620</v>
      </c>
      <c r="I184" s="376" t="s">
        <v>1621</v>
      </c>
      <c r="J184" s="376" t="s">
        <v>1622</v>
      </c>
      <c r="K184" s="376" t="s">
        <v>1623</v>
      </c>
      <c r="L184" s="376" t="s">
        <v>1624</v>
      </c>
      <c r="M184" s="376" t="s">
        <v>1625</v>
      </c>
      <c r="N184" s="376" t="s">
        <v>1626</v>
      </c>
      <c r="O184" s="376" t="s">
        <v>1627</v>
      </c>
      <c r="P184" s="376" t="s">
        <v>1628</v>
      </c>
      <c r="Q184" s="376" t="s">
        <v>1629</v>
      </c>
      <c r="R184" s="376" t="s">
        <v>1630</v>
      </c>
      <c r="S184" s="376" t="s">
        <v>1631</v>
      </c>
      <c r="T184" s="376" t="s">
        <v>1632</v>
      </c>
      <c r="U184" s="376" t="s">
        <v>1633</v>
      </c>
      <c r="V184" s="376" t="s">
        <v>1634</v>
      </c>
      <c r="W184" s="376" t="s">
        <v>1635</v>
      </c>
      <c r="X184" s="376" t="s">
        <v>1636</v>
      </c>
      <c r="Y184" s="376" t="s">
        <v>1637</v>
      </c>
      <c r="Z184" s="376" t="s">
        <v>1638</v>
      </c>
      <c r="AA184" s="376" t="s">
        <v>1639</v>
      </c>
      <c r="AB184" s="376" t="s">
        <v>1640</v>
      </c>
      <c r="AC184" s="376" t="s">
        <v>1641</v>
      </c>
      <c r="AD184" s="376" t="s">
        <v>1642</v>
      </c>
      <c r="AE184" s="376" t="s">
        <v>1643</v>
      </c>
      <c r="AF184" s="376" t="s">
        <v>1644</v>
      </c>
      <c r="AG184" s="376" t="s">
        <v>1645</v>
      </c>
      <c r="AH184" s="376" t="s">
        <v>1646</v>
      </c>
      <c r="AI184" s="376" t="s">
        <v>1647</v>
      </c>
      <c r="AJ184" s="376" t="s">
        <v>1648</v>
      </c>
      <c r="AK184" s="376" t="s">
        <v>1649</v>
      </c>
      <c r="AL184" s="376" t="s">
        <v>1650</v>
      </c>
      <c r="AM184" s="376" t="s">
        <v>1651</v>
      </c>
      <c r="AN184" s="376" t="s">
        <v>1652</v>
      </c>
      <c r="AO184" s="376" t="s">
        <v>1653</v>
      </c>
      <c r="AP184" s="376" t="s">
        <v>1654</v>
      </c>
      <c r="AQ184" s="376" t="s">
        <v>1655</v>
      </c>
      <c r="AR184" s="356" t="s">
        <v>1656</v>
      </c>
      <c r="AS184" s="358" t="s">
        <v>1657</v>
      </c>
      <c r="AT184" s="356" t="s">
        <v>1658</v>
      </c>
      <c r="AU184" s="354" t="s">
        <v>1659</v>
      </c>
      <c r="AV184" s="355" t="s">
        <v>1660</v>
      </c>
      <c r="AW184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4" s="110"/>
      <c r="AY184" s="110"/>
      <c r="AZ184" s="110"/>
      <c r="BA184" s="110"/>
      <c r="BS184" s="606"/>
      <c r="BT184" s="606"/>
      <c r="BU184" s="606"/>
      <c r="BV184" s="606"/>
      <c r="CB184" s="191" t="str">
        <f t="shared" si="99"/>
        <v xml:space="preserve"> * La variable Pueblos Originarios  hombres  no debe ser mayor que el Total de Hombres.</v>
      </c>
      <c r="CC184" s="191" t="str">
        <f t="shared" si="100"/>
        <v xml:space="preserve"> * La variable Pueblos Originarios Mujeres no debe ser mayor que el Total de Mujeres</v>
      </c>
      <c r="CD184" s="191" t="str">
        <f t="shared" si="92"/>
        <v xml:space="preserve"> * La variable Migrantes  hombres  no debe ser mayor que el Total de Hombres</v>
      </c>
      <c r="CE184" s="191" t="str">
        <f t="shared" si="93"/>
        <v xml:space="preserve"> * La variable Migrantes  Mujeres no debe ser mayor que el Total de Mujeres</v>
      </c>
      <c r="DQ184" s="1047">
        <f t="shared" si="94"/>
        <v>1</v>
      </c>
      <c r="DR184" s="1047">
        <f t="shared" si="95"/>
        <v>1</v>
      </c>
      <c r="DS184" s="1047">
        <f t="shared" si="96"/>
        <v>1</v>
      </c>
      <c r="DT184" s="1047">
        <f t="shared" si="97"/>
        <v>1</v>
      </c>
    </row>
    <row r="185" spans="1:124" ht="24.75" customHeight="1" x14ac:dyDescent="0.25">
      <c r="A185" s="1589" t="s">
        <v>1145</v>
      </c>
      <c r="B185" s="1765" t="s">
        <v>361</v>
      </c>
      <c r="C185" s="1766" t="s">
        <v>362</v>
      </c>
      <c r="D185" s="353" t="s">
        <v>1616</v>
      </c>
      <c r="E185" s="1137" t="s">
        <v>1617</v>
      </c>
      <c r="F185" s="889" t="s">
        <v>1618</v>
      </c>
      <c r="G185" s="357" t="s">
        <v>1619</v>
      </c>
      <c r="H185" s="376" t="s">
        <v>1620</v>
      </c>
      <c r="I185" s="376" t="s">
        <v>1621</v>
      </c>
      <c r="J185" s="376" t="s">
        <v>1622</v>
      </c>
      <c r="K185" s="376" t="s">
        <v>1623</v>
      </c>
      <c r="L185" s="376" t="s">
        <v>1624</v>
      </c>
      <c r="M185" s="376" t="s">
        <v>1625</v>
      </c>
      <c r="N185" s="376" t="s">
        <v>1626</v>
      </c>
      <c r="O185" s="376" t="s">
        <v>1627</v>
      </c>
      <c r="P185" s="376" t="s">
        <v>1628</v>
      </c>
      <c r="Q185" s="376" t="s">
        <v>1629</v>
      </c>
      <c r="R185" s="376" t="s">
        <v>1630</v>
      </c>
      <c r="S185" s="376" t="s">
        <v>1631</v>
      </c>
      <c r="T185" s="376" t="s">
        <v>1632</v>
      </c>
      <c r="U185" s="376" t="s">
        <v>1633</v>
      </c>
      <c r="V185" s="376" t="s">
        <v>1634</v>
      </c>
      <c r="W185" s="376" t="s">
        <v>1635</v>
      </c>
      <c r="X185" s="376" t="s">
        <v>1636</v>
      </c>
      <c r="Y185" s="376" t="s">
        <v>1637</v>
      </c>
      <c r="Z185" s="376" t="s">
        <v>1638</v>
      </c>
      <c r="AA185" s="376" t="s">
        <v>1639</v>
      </c>
      <c r="AB185" s="376" t="s">
        <v>1640</v>
      </c>
      <c r="AC185" s="376" t="s">
        <v>1641</v>
      </c>
      <c r="AD185" s="376" t="s">
        <v>1642</v>
      </c>
      <c r="AE185" s="376" t="s">
        <v>1643</v>
      </c>
      <c r="AF185" s="376" t="s">
        <v>1644</v>
      </c>
      <c r="AG185" s="376" t="s">
        <v>1645</v>
      </c>
      <c r="AH185" s="376" t="s">
        <v>1646</v>
      </c>
      <c r="AI185" s="376" t="s">
        <v>1647</v>
      </c>
      <c r="AJ185" s="376" t="s">
        <v>1648</v>
      </c>
      <c r="AK185" s="376" t="s">
        <v>1649</v>
      </c>
      <c r="AL185" s="376" t="s">
        <v>1650</v>
      </c>
      <c r="AM185" s="376" t="s">
        <v>1651</v>
      </c>
      <c r="AN185" s="376" t="s">
        <v>1652</v>
      </c>
      <c r="AO185" s="376" t="s">
        <v>1653</v>
      </c>
      <c r="AP185" s="376" t="s">
        <v>1654</v>
      </c>
      <c r="AQ185" s="376" t="s">
        <v>1655</v>
      </c>
      <c r="AR185" s="356" t="s">
        <v>1656</v>
      </c>
      <c r="AS185" s="358" t="s">
        <v>1657</v>
      </c>
      <c r="AT185" s="356" t="s">
        <v>1658</v>
      </c>
      <c r="AU185" s="354" t="s">
        <v>1659</v>
      </c>
      <c r="AV185" s="355" t="s">
        <v>1660</v>
      </c>
      <c r="AW185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5" s="110"/>
      <c r="AY185" s="110"/>
      <c r="AZ185" s="110"/>
      <c r="BA185" s="110"/>
      <c r="BS185" s="606"/>
      <c r="BT185" s="606"/>
      <c r="BU185" s="606"/>
      <c r="BV185" s="606"/>
      <c r="CB185" s="191" t="str">
        <f t="shared" si="99"/>
        <v xml:space="preserve"> * La variable Pueblos Originarios  hombres  no debe ser mayor que el Total de Hombres.</v>
      </c>
      <c r="CC185" s="191" t="str">
        <f t="shared" si="100"/>
        <v xml:space="preserve"> * La variable Pueblos Originarios Mujeres no debe ser mayor que el Total de Mujeres</v>
      </c>
      <c r="CD185" s="191" t="str">
        <f t="shared" si="92"/>
        <v xml:space="preserve"> * La variable Migrantes  hombres  no debe ser mayor que el Total de Hombres</v>
      </c>
      <c r="CE185" s="191" t="str">
        <f t="shared" si="93"/>
        <v xml:space="preserve"> * La variable Migrantes  Mujeres no debe ser mayor que el Total de Mujeres</v>
      </c>
      <c r="DQ185" s="1047">
        <f t="shared" si="94"/>
        <v>1</v>
      </c>
      <c r="DR185" s="1047">
        <f t="shared" si="95"/>
        <v>1</v>
      </c>
      <c r="DS185" s="1047">
        <f t="shared" si="96"/>
        <v>1</v>
      </c>
      <c r="DT185" s="1047">
        <f t="shared" si="97"/>
        <v>1</v>
      </c>
    </row>
    <row r="186" spans="1:124" ht="15" customHeight="1" x14ac:dyDescent="0.25">
      <c r="A186" s="1589" t="s">
        <v>1146</v>
      </c>
      <c r="B186" s="1765" t="s">
        <v>363</v>
      </c>
      <c r="C186" s="1766" t="s">
        <v>364</v>
      </c>
      <c r="D186" s="353" t="s">
        <v>1616</v>
      </c>
      <c r="E186" s="1137" t="s">
        <v>1617</v>
      </c>
      <c r="F186" s="889" t="s">
        <v>1618</v>
      </c>
      <c r="G186" s="357" t="s">
        <v>1619</v>
      </c>
      <c r="H186" s="376" t="s">
        <v>1620</v>
      </c>
      <c r="I186" s="376" t="s">
        <v>1621</v>
      </c>
      <c r="J186" s="376" t="s">
        <v>1622</v>
      </c>
      <c r="K186" s="376" t="s">
        <v>1623</v>
      </c>
      <c r="L186" s="376" t="s">
        <v>1624</v>
      </c>
      <c r="M186" s="376" t="s">
        <v>1625</v>
      </c>
      <c r="N186" s="376" t="s">
        <v>1626</v>
      </c>
      <c r="O186" s="376" t="s">
        <v>1627</v>
      </c>
      <c r="P186" s="376" t="s">
        <v>1628</v>
      </c>
      <c r="Q186" s="376" t="s">
        <v>1629</v>
      </c>
      <c r="R186" s="376" t="s">
        <v>1630</v>
      </c>
      <c r="S186" s="376" t="s">
        <v>1631</v>
      </c>
      <c r="T186" s="376" t="s">
        <v>1632</v>
      </c>
      <c r="U186" s="376" t="s">
        <v>1633</v>
      </c>
      <c r="V186" s="376" t="s">
        <v>1634</v>
      </c>
      <c r="W186" s="376" t="s">
        <v>1635</v>
      </c>
      <c r="X186" s="376" t="s">
        <v>1636</v>
      </c>
      <c r="Y186" s="376" t="s">
        <v>1637</v>
      </c>
      <c r="Z186" s="376" t="s">
        <v>1638</v>
      </c>
      <c r="AA186" s="376" t="s">
        <v>1639</v>
      </c>
      <c r="AB186" s="376" t="s">
        <v>1640</v>
      </c>
      <c r="AC186" s="376" t="s">
        <v>1641</v>
      </c>
      <c r="AD186" s="376" t="s">
        <v>1642</v>
      </c>
      <c r="AE186" s="376" t="s">
        <v>1643</v>
      </c>
      <c r="AF186" s="376" t="s">
        <v>1644</v>
      </c>
      <c r="AG186" s="376" t="s">
        <v>1645</v>
      </c>
      <c r="AH186" s="376" t="s">
        <v>1646</v>
      </c>
      <c r="AI186" s="376" t="s">
        <v>1647</v>
      </c>
      <c r="AJ186" s="376" t="s">
        <v>1648</v>
      </c>
      <c r="AK186" s="376" t="s">
        <v>1649</v>
      </c>
      <c r="AL186" s="376" t="s">
        <v>1650</v>
      </c>
      <c r="AM186" s="376" t="s">
        <v>1651</v>
      </c>
      <c r="AN186" s="376" t="s">
        <v>1652</v>
      </c>
      <c r="AO186" s="376" t="s">
        <v>1653</v>
      </c>
      <c r="AP186" s="376" t="s">
        <v>1654</v>
      </c>
      <c r="AQ186" s="376" t="s">
        <v>1655</v>
      </c>
      <c r="AR186" s="356" t="s">
        <v>1656</v>
      </c>
      <c r="AS186" s="358" t="s">
        <v>1657</v>
      </c>
      <c r="AT186" s="356" t="s">
        <v>1658</v>
      </c>
      <c r="AU186" s="354" t="s">
        <v>1659</v>
      </c>
      <c r="AV186" s="355" t="s">
        <v>1660</v>
      </c>
      <c r="AW186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6" s="110"/>
      <c r="AY186" s="110"/>
      <c r="AZ186" s="110"/>
      <c r="BA186" s="110"/>
      <c r="BS186" s="606"/>
      <c r="BT186" s="606"/>
      <c r="BU186" s="606"/>
      <c r="BV186" s="606"/>
      <c r="CB186" s="191" t="str">
        <f t="shared" si="99"/>
        <v xml:space="preserve"> * La variable Pueblos Originarios  hombres  no debe ser mayor que el Total de Hombres.</v>
      </c>
      <c r="CC186" s="191" t="str">
        <f t="shared" si="100"/>
        <v xml:space="preserve"> * La variable Pueblos Originarios Mujeres no debe ser mayor que el Total de Mujeres</v>
      </c>
      <c r="CD186" s="191" t="str">
        <f t="shared" si="92"/>
        <v xml:space="preserve"> * La variable Migrantes  hombres  no debe ser mayor que el Total de Hombres</v>
      </c>
      <c r="CE186" s="191" t="str">
        <f t="shared" si="93"/>
        <v xml:space="preserve"> * La variable Migrantes  Mujeres no debe ser mayor que el Total de Mujeres</v>
      </c>
      <c r="DQ186" s="1047">
        <f t="shared" si="94"/>
        <v>1</v>
      </c>
      <c r="DR186" s="1047">
        <f t="shared" si="95"/>
        <v>1</v>
      </c>
      <c r="DS186" s="1047">
        <f t="shared" si="96"/>
        <v>1</v>
      </c>
      <c r="DT186" s="1047">
        <f t="shared" si="97"/>
        <v>1</v>
      </c>
    </row>
    <row r="187" spans="1:124" ht="15" customHeight="1" x14ac:dyDescent="0.25">
      <c r="A187" s="1589" t="s">
        <v>1147</v>
      </c>
      <c r="B187" s="1765" t="s">
        <v>365</v>
      </c>
      <c r="C187" s="1766" t="s">
        <v>365</v>
      </c>
      <c r="D187" s="353" t="s">
        <v>1616</v>
      </c>
      <c r="E187" s="1137" t="s">
        <v>1617</v>
      </c>
      <c r="F187" s="889" t="s">
        <v>1618</v>
      </c>
      <c r="G187" s="357" t="s">
        <v>1619</v>
      </c>
      <c r="H187" s="376" t="s">
        <v>1620</v>
      </c>
      <c r="I187" s="376" t="s">
        <v>1621</v>
      </c>
      <c r="J187" s="376" t="s">
        <v>1622</v>
      </c>
      <c r="K187" s="376" t="s">
        <v>1623</v>
      </c>
      <c r="L187" s="376" t="s">
        <v>1624</v>
      </c>
      <c r="M187" s="376" t="s">
        <v>1625</v>
      </c>
      <c r="N187" s="376" t="s">
        <v>1626</v>
      </c>
      <c r="O187" s="376" t="s">
        <v>1627</v>
      </c>
      <c r="P187" s="376" t="s">
        <v>1628</v>
      </c>
      <c r="Q187" s="376" t="s">
        <v>1629</v>
      </c>
      <c r="R187" s="376" t="s">
        <v>1630</v>
      </c>
      <c r="S187" s="376" t="s">
        <v>1631</v>
      </c>
      <c r="T187" s="376" t="s">
        <v>1632</v>
      </c>
      <c r="U187" s="376" t="s">
        <v>1633</v>
      </c>
      <c r="V187" s="376" t="s">
        <v>1634</v>
      </c>
      <c r="W187" s="376" t="s">
        <v>1635</v>
      </c>
      <c r="X187" s="376" t="s">
        <v>1636</v>
      </c>
      <c r="Y187" s="376" t="s">
        <v>1637</v>
      </c>
      <c r="Z187" s="376" t="s">
        <v>1638</v>
      </c>
      <c r="AA187" s="376" t="s">
        <v>1639</v>
      </c>
      <c r="AB187" s="376" t="s">
        <v>1640</v>
      </c>
      <c r="AC187" s="376" t="s">
        <v>1641</v>
      </c>
      <c r="AD187" s="376" t="s">
        <v>1642</v>
      </c>
      <c r="AE187" s="376" t="s">
        <v>1643</v>
      </c>
      <c r="AF187" s="376" t="s">
        <v>1644</v>
      </c>
      <c r="AG187" s="376" t="s">
        <v>1645</v>
      </c>
      <c r="AH187" s="376" t="s">
        <v>1646</v>
      </c>
      <c r="AI187" s="376" t="s">
        <v>1647</v>
      </c>
      <c r="AJ187" s="376" t="s">
        <v>1648</v>
      </c>
      <c r="AK187" s="376" t="s">
        <v>1649</v>
      </c>
      <c r="AL187" s="376" t="s">
        <v>1650</v>
      </c>
      <c r="AM187" s="376" t="s">
        <v>1651</v>
      </c>
      <c r="AN187" s="376" t="s">
        <v>1652</v>
      </c>
      <c r="AO187" s="376" t="s">
        <v>1653</v>
      </c>
      <c r="AP187" s="376" t="s">
        <v>1654</v>
      </c>
      <c r="AQ187" s="376" t="s">
        <v>1655</v>
      </c>
      <c r="AR187" s="356" t="s">
        <v>1656</v>
      </c>
      <c r="AS187" s="358" t="s">
        <v>1657</v>
      </c>
      <c r="AT187" s="356" t="s">
        <v>1658</v>
      </c>
      <c r="AU187" s="354" t="s">
        <v>1659</v>
      </c>
      <c r="AV187" s="355" t="s">
        <v>1660</v>
      </c>
      <c r="AW187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7" s="110"/>
      <c r="AY187" s="110"/>
      <c r="AZ187" s="110"/>
      <c r="BA187" s="110"/>
      <c r="BS187" s="606"/>
      <c r="BT187" s="606"/>
      <c r="BU187" s="606"/>
      <c r="BV187" s="606"/>
      <c r="CB187" s="191" t="str">
        <f t="shared" si="99"/>
        <v xml:space="preserve"> * La variable Pueblos Originarios  hombres  no debe ser mayor que el Total de Hombres.</v>
      </c>
      <c r="CC187" s="191" t="str">
        <f t="shared" si="100"/>
        <v xml:space="preserve"> * La variable Pueblos Originarios Mujeres no debe ser mayor que el Total de Mujeres</v>
      </c>
      <c r="CD187" s="191" t="str">
        <f t="shared" si="92"/>
        <v xml:space="preserve"> * La variable Migrantes  hombres  no debe ser mayor que el Total de Hombres</v>
      </c>
      <c r="CE187" s="191" t="str">
        <f t="shared" si="93"/>
        <v xml:space="preserve"> * La variable Migrantes  Mujeres no debe ser mayor que el Total de Mujeres</v>
      </c>
      <c r="DQ187" s="1047">
        <f t="shared" si="94"/>
        <v>1</v>
      </c>
      <c r="DR187" s="1047">
        <f t="shared" si="95"/>
        <v>1</v>
      </c>
      <c r="DS187" s="1047">
        <f t="shared" si="96"/>
        <v>1</v>
      </c>
      <c r="DT187" s="1047">
        <f t="shared" si="97"/>
        <v>1</v>
      </c>
    </row>
    <row r="188" spans="1:124" ht="15" customHeight="1" x14ac:dyDescent="0.25">
      <c r="A188" s="1589" t="s">
        <v>1148</v>
      </c>
      <c r="B188" s="1765" t="s">
        <v>366</v>
      </c>
      <c r="C188" s="1766" t="s">
        <v>366</v>
      </c>
      <c r="D188" s="353" t="s">
        <v>1616</v>
      </c>
      <c r="E188" s="1137" t="s">
        <v>1617</v>
      </c>
      <c r="F188" s="889" t="s">
        <v>1618</v>
      </c>
      <c r="G188" s="357" t="s">
        <v>1619</v>
      </c>
      <c r="H188" s="376" t="s">
        <v>1620</v>
      </c>
      <c r="I188" s="376" t="s">
        <v>1621</v>
      </c>
      <c r="J188" s="376" t="s">
        <v>1622</v>
      </c>
      <c r="K188" s="376" t="s">
        <v>1623</v>
      </c>
      <c r="L188" s="376" t="s">
        <v>1624</v>
      </c>
      <c r="M188" s="376" t="s">
        <v>1625</v>
      </c>
      <c r="N188" s="376" t="s">
        <v>1626</v>
      </c>
      <c r="O188" s="376" t="s">
        <v>1627</v>
      </c>
      <c r="P188" s="376" t="s">
        <v>1628</v>
      </c>
      <c r="Q188" s="376" t="s">
        <v>1629</v>
      </c>
      <c r="R188" s="376" t="s">
        <v>1630</v>
      </c>
      <c r="S188" s="376" t="s">
        <v>1631</v>
      </c>
      <c r="T188" s="376" t="s">
        <v>1632</v>
      </c>
      <c r="U188" s="376" t="s">
        <v>1633</v>
      </c>
      <c r="V188" s="376" t="s">
        <v>1634</v>
      </c>
      <c r="W188" s="376" t="s">
        <v>1635</v>
      </c>
      <c r="X188" s="376" t="s">
        <v>1636</v>
      </c>
      <c r="Y188" s="376" t="s">
        <v>1637</v>
      </c>
      <c r="Z188" s="376" t="s">
        <v>1638</v>
      </c>
      <c r="AA188" s="376" t="s">
        <v>1639</v>
      </c>
      <c r="AB188" s="376" t="s">
        <v>1640</v>
      </c>
      <c r="AC188" s="376" t="s">
        <v>1641</v>
      </c>
      <c r="AD188" s="376" t="s">
        <v>1642</v>
      </c>
      <c r="AE188" s="376" t="s">
        <v>1643</v>
      </c>
      <c r="AF188" s="376" t="s">
        <v>1644</v>
      </c>
      <c r="AG188" s="376" t="s">
        <v>1645</v>
      </c>
      <c r="AH188" s="376" t="s">
        <v>1646</v>
      </c>
      <c r="AI188" s="376" t="s">
        <v>1647</v>
      </c>
      <c r="AJ188" s="376" t="s">
        <v>1648</v>
      </c>
      <c r="AK188" s="376" t="s">
        <v>1649</v>
      </c>
      <c r="AL188" s="376" t="s">
        <v>1650</v>
      </c>
      <c r="AM188" s="376" t="s">
        <v>1651</v>
      </c>
      <c r="AN188" s="376" t="s">
        <v>1652</v>
      </c>
      <c r="AO188" s="376" t="s">
        <v>1653</v>
      </c>
      <c r="AP188" s="376" t="s">
        <v>1654</v>
      </c>
      <c r="AQ188" s="376" t="s">
        <v>1655</v>
      </c>
      <c r="AR188" s="356" t="s">
        <v>1656</v>
      </c>
      <c r="AS188" s="358" t="s">
        <v>1657</v>
      </c>
      <c r="AT188" s="356" t="s">
        <v>1658</v>
      </c>
      <c r="AU188" s="354" t="s">
        <v>1659</v>
      </c>
      <c r="AV188" s="355" t="s">
        <v>1660</v>
      </c>
      <c r="AW188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8" s="110"/>
      <c r="AY188" s="110"/>
      <c r="AZ188" s="110"/>
      <c r="BA188" s="110"/>
      <c r="BS188" s="606"/>
      <c r="BT188" s="606"/>
      <c r="BU188" s="606"/>
      <c r="BV188" s="606"/>
      <c r="CB188" s="191" t="str">
        <f t="shared" si="99"/>
        <v xml:space="preserve"> * La variable Pueblos Originarios  hombres  no debe ser mayor que el Total de Hombres.</v>
      </c>
      <c r="CC188" s="191" t="str">
        <f t="shared" si="100"/>
        <v xml:space="preserve"> * La variable Pueblos Originarios Mujeres no debe ser mayor que el Total de Mujeres</v>
      </c>
      <c r="CD188" s="191" t="str">
        <f t="shared" si="92"/>
        <v xml:space="preserve"> * La variable Migrantes  hombres  no debe ser mayor que el Total de Hombres</v>
      </c>
      <c r="CE188" s="191" t="str">
        <f t="shared" si="93"/>
        <v xml:space="preserve"> * La variable Migrantes  Mujeres no debe ser mayor que el Total de Mujeres</v>
      </c>
      <c r="DQ188" s="1047">
        <f t="shared" si="94"/>
        <v>1</v>
      </c>
      <c r="DR188" s="1047">
        <f t="shared" si="95"/>
        <v>1</v>
      </c>
      <c r="DS188" s="1047">
        <f t="shared" si="96"/>
        <v>1</v>
      </c>
      <c r="DT188" s="1047">
        <f t="shared" si="97"/>
        <v>1</v>
      </c>
    </row>
    <row r="189" spans="1:124" ht="15" customHeight="1" x14ac:dyDescent="0.25">
      <c r="A189" s="1589" t="s">
        <v>1149</v>
      </c>
      <c r="B189" s="1765" t="s">
        <v>367</v>
      </c>
      <c r="C189" s="1766" t="s">
        <v>367</v>
      </c>
      <c r="D189" s="353" t="s">
        <v>1616</v>
      </c>
      <c r="E189" s="1137" t="s">
        <v>1617</v>
      </c>
      <c r="F189" s="889" t="s">
        <v>1618</v>
      </c>
      <c r="G189" s="357" t="s">
        <v>1619</v>
      </c>
      <c r="H189" s="376" t="s">
        <v>1620</v>
      </c>
      <c r="I189" s="376" t="s">
        <v>1621</v>
      </c>
      <c r="J189" s="376" t="s">
        <v>1622</v>
      </c>
      <c r="K189" s="376" t="s">
        <v>1623</v>
      </c>
      <c r="L189" s="376" t="s">
        <v>1624</v>
      </c>
      <c r="M189" s="376" t="s">
        <v>1625</v>
      </c>
      <c r="N189" s="376" t="s">
        <v>1626</v>
      </c>
      <c r="O189" s="376" t="s">
        <v>1627</v>
      </c>
      <c r="P189" s="376" t="s">
        <v>1628</v>
      </c>
      <c r="Q189" s="376" t="s">
        <v>1629</v>
      </c>
      <c r="R189" s="376" t="s">
        <v>1630</v>
      </c>
      <c r="S189" s="376" t="s">
        <v>1631</v>
      </c>
      <c r="T189" s="376" t="s">
        <v>1632</v>
      </c>
      <c r="U189" s="376" t="s">
        <v>1633</v>
      </c>
      <c r="V189" s="376" t="s">
        <v>1634</v>
      </c>
      <c r="W189" s="376" t="s">
        <v>1635</v>
      </c>
      <c r="X189" s="376" t="s">
        <v>1636</v>
      </c>
      <c r="Y189" s="376" t="s">
        <v>1637</v>
      </c>
      <c r="Z189" s="376" t="s">
        <v>1638</v>
      </c>
      <c r="AA189" s="376" t="s">
        <v>1639</v>
      </c>
      <c r="AB189" s="376" t="s">
        <v>1640</v>
      </c>
      <c r="AC189" s="376" t="s">
        <v>1641</v>
      </c>
      <c r="AD189" s="376" t="s">
        <v>1642</v>
      </c>
      <c r="AE189" s="376" t="s">
        <v>1643</v>
      </c>
      <c r="AF189" s="376" t="s">
        <v>1644</v>
      </c>
      <c r="AG189" s="376" t="s">
        <v>1645</v>
      </c>
      <c r="AH189" s="376" t="s">
        <v>1646</v>
      </c>
      <c r="AI189" s="376" t="s">
        <v>1647</v>
      </c>
      <c r="AJ189" s="376" t="s">
        <v>1648</v>
      </c>
      <c r="AK189" s="376" t="s">
        <v>1649</v>
      </c>
      <c r="AL189" s="376" t="s">
        <v>1650</v>
      </c>
      <c r="AM189" s="376" t="s">
        <v>1651</v>
      </c>
      <c r="AN189" s="376" t="s">
        <v>1652</v>
      </c>
      <c r="AO189" s="376" t="s">
        <v>1653</v>
      </c>
      <c r="AP189" s="376" t="s">
        <v>1654</v>
      </c>
      <c r="AQ189" s="376" t="s">
        <v>1655</v>
      </c>
      <c r="AR189" s="356" t="s">
        <v>1656</v>
      </c>
      <c r="AS189" s="358" t="s">
        <v>1657</v>
      </c>
      <c r="AT189" s="356" t="s">
        <v>1658</v>
      </c>
      <c r="AU189" s="354" t="s">
        <v>1659</v>
      </c>
      <c r="AV189" s="355" t="s">
        <v>1660</v>
      </c>
      <c r="AW189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9" s="110"/>
      <c r="AY189" s="110"/>
      <c r="AZ189" s="110"/>
      <c r="BA189" s="110"/>
      <c r="BS189" s="606"/>
      <c r="BT189" s="606"/>
      <c r="BU189" s="606"/>
      <c r="BV189" s="606"/>
      <c r="CB189" s="191" t="str">
        <f t="shared" si="99"/>
        <v xml:space="preserve"> * La variable Pueblos Originarios  hombres  no debe ser mayor que el Total de Hombres.</v>
      </c>
      <c r="CC189" s="191" t="str">
        <f t="shared" si="100"/>
        <v xml:space="preserve"> * La variable Pueblos Originarios Mujeres no debe ser mayor que el Total de Mujeres</v>
      </c>
      <c r="CD189" s="191" t="str">
        <f t="shared" si="92"/>
        <v xml:space="preserve"> * La variable Migrantes  hombres  no debe ser mayor que el Total de Hombres</v>
      </c>
      <c r="CE189" s="191" t="str">
        <f t="shared" si="93"/>
        <v xml:space="preserve"> * La variable Migrantes  Mujeres no debe ser mayor que el Total de Mujeres</v>
      </c>
      <c r="DQ189" s="1047">
        <f t="shared" si="94"/>
        <v>1</v>
      </c>
      <c r="DR189" s="1047">
        <f t="shared" si="95"/>
        <v>1</v>
      </c>
      <c r="DS189" s="1047">
        <f t="shared" si="96"/>
        <v>1</v>
      </c>
      <c r="DT189" s="1047">
        <f t="shared" si="97"/>
        <v>1</v>
      </c>
    </row>
    <row r="190" spans="1:124" ht="15" customHeight="1" x14ac:dyDescent="0.25">
      <c r="A190" s="1589" t="s">
        <v>1150</v>
      </c>
      <c r="B190" s="1792" t="s">
        <v>368</v>
      </c>
      <c r="C190" s="1793" t="s">
        <v>368</v>
      </c>
      <c r="D190" s="378" t="s">
        <v>1616</v>
      </c>
      <c r="E190" s="1138" t="s">
        <v>1617</v>
      </c>
      <c r="F190" s="891" t="s">
        <v>1618</v>
      </c>
      <c r="G190" s="331" t="s">
        <v>1619</v>
      </c>
      <c r="H190" s="379" t="s">
        <v>1620</v>
      </c>
      <c r="I190" s="379" t="s">
        <v>1621</v>
      </c>
      <c r="J190" s="379" t="s">
        <v>1622</v>
      </c>
      <c r="K190" s="379" t="s">
        <v>1623</v>
      </c>
      <c r="L190" s="379" t="s">
        <v>1624</v>
      </c>
      <c r="M190" s="379" t="s">
        <v>1625</v>
      </c>
      <c r="N190" s="379" t="s">
        <v>1626</v>
      </c>
      <c r="O190" s="379" t="s">
        <v>1627</v>
      </c>
      <c r="P190" s="379" t="s">
        <v>1628</v>
      </c>
      <c r="Q190" s="379" t="s">
        <v>1629</v>
      </c>
      <c r="R190" s="379" t="s">
        <v>1630</v>
      </c>
      <c r="S190" s="379" t="s">
        <v>1631</v>
      </c>
      <c r="T190" s="379" t="s">
        <v>1632</v>
      </c>
      <c r="U190" s="379" t="s">
        <v>1633</v>
      </c>
      <c r="V190" s="379" t="s">
        <v>1634</v>
      </c>
      <c r="W190" s="379" t="s">
        <v>1635</v>
      </c>
      <c r="X190" s="379" t="s">
        <v>1636</v>
      </c>
      <c r="Y190" s="379" t="s">
        <v>1637</v>
      </c>
      <c r="Z190" s="379" t="s">
        <v>1638</v>
      </c>
      <c r="AA190" s="379" t="s">
        <v>1639</v>
      </c>
      <c r="AB190" s="379" t="s">
        <v>1640</v>
      </c>
      <c r="AC190" s="379" t="s">
        <v>1641</v>
      </c>
      <c r="AD190" s="379" t="s">
        <v>1642</v>
      </c>
      <c r="AE190" s="379" t="s">
        <v>1643</v>
      </c>
      <c r="AF190" s="379" t="s">
        <v>1644</v>
      </c>
      <c r="AG190" s="379" t="s">
        <v>1645</v>
      </c>
      <c r="AH190" s="379" t="s">
        <v>1646</v>
      </c>
      <c r="AI190" s="379" t="s">
        <v>1647</v>
      </c>
      <c r="AJ190" s="379" t="s">
        <v>1648</v>
      </c>
      <c r="AK190" s="379" t="s">
        <v>1649</v>
      </c>
      <c r="AL190" s="379" t="s">
        <v>1650</v>
      </c>
      <c r="AM190" s="379" t="s">
        <v>1651</v>
      </c>
      <c r="AN190" s="379" t="s">
        <v>1652</v>
      </c>
      <c r="AO190" s="379" t="s">
        <v>1653</v>
      </c>
      <c r="AP190" s="379" t="s">
        <v>1654</v>
      </c>
      <c r="AQ190" s="379" t="s">
        <v>1655</v>
      </c>
      <c r="AR190" s="330" t="s">
        <v>1656</v>
      </c>
      <c r="AS190" s="332" t="s">
        <v>1657</v>
      </c>
      <c r="AT190" s="330" t="s">
        <v>1658</v>
      </c>
      <c r="AU190" s="328" t="s">
        <v>1659</v>
      </c>
      <c r="AV190" s="329" t="s">
        <v>1660</v>
      </c>
      <c r="AW190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90" s="110"/>
      <c r="AY190" s="110"/>
      <c r="AZ190" s="110"/>
      <c r="BA190" s="110"/>
      <c r="BS190" s="606"/>
      <c r="BT190" s="606"/>
      <c r="BU190" s="606"/>
      <c r="BV190" s="606"/>
      <c r="CB190" s="191" t="str">
        <f t="shared" si="99"/>
        <v xml:space="preserve"> * La variable Pueblos Originarios  hombres  no debe ser mayor que el Total de Hombres.</v>
      </c>
      <c r="CC190" s="191" t="str">
        <f t="shared" si="100"/>
        <v xml:space="preserve"> * La variable Pueblos Originarios Mujeres no debe ser mayor que el Total de Mujeres</v>
      </c>
      <c r="CD190" s="191" t="str">
        <f t="shared" si="92"/>
        <v xml:space="preserve"> * La variable Migrantes  hombres  no debe ser mayor que el Total de Hombres</v>
      </c>
      <c r="CE190" s="191" t="str">
        <f t="shared" si="93"/>
        <v xml:space="preserve"> * La variable Migrantes  Mujeres no debe ser mayor que el Total de Mujeres</v>
      </c>
      <c r="DQ190" s="1047">
        <f t="shared" si="94"/>
        <v>1</v>
      </c>
      <c r="DR190" s="1047">
        <f t="shared" si="95"/>
        <v>1</v>
      </c>
      <c r="DS190" s="1047">
        <f t="shared" si="96"/>
        <v>1</v>
      </c>
      <c r="DT190" s="1047">
        <f t="shared" si="97"/>
        <v>1</v>
      </c>
    </row>
    <row r="191" spans="1:124" ht="17.100000000000001" customHeight="1" x14ac:dyDescent="0.25">
      <c r="B191" s="1888" t="s">
        <v>369</v>
      </c>
      <c r="C191" s="1888"/>
      <c r="D191" s="1888"/>
      <c r="E191" s="1888"/>
      <c r="F191" s="1888"/>
      <c r="G191" s="1888"/>
      <c r="H191" s="1888"/>
      <c r="I191" s="1888"/>
      <c r="J191" s="1888"/>
      <c r="K191" s="1888"/>
      <c r="L191" s="1888"/>
      <c r="M191" s="1888"/>
      <c r="N191" s="1888"/>
      <c r="O191" s="1888"/>
      <c r="P191" s="1888"/>
      <c r="Q191" s="1888"/>
      <c r="R191" s="1888"/>
      <c r="S191" s="1888"/>
      <c r="T191" s="1888"/>
      <c r="U191" s="1888"/>
      <c r="V191" s="1888"/>
      <c r="W191" s="1888"/>
      <c r="X191" s="1888"/>
      <c r="Y191" s="1888"/>
      <c r="Z191" s="1888"/>
      <c r="AA191" s="1888"/>
      <c r="AB191" s="1888"/>
      <c r="AC191" s="1888"/>
      <c r="AD191" s="1888"/>
      <c r="AE191" s="1888"/>
      <c r="AF191" s="1888"/>
      <c r="AG191" s="1888"/>
      <c r="AH191" s="1888"/>
      <c r="AI191" s="1888"/>
      <c r="AJ191" s="1888"/>
      <c r="AK191" s="1888"/>
      <c r="AL191" s="1888"/>
      <c r="AM191" s="1888"/>
      <c r="AN191" s="1888"/>
      <c r="AO191" s="1888"/>
      <c r="AP191" s="1888"/>
      <c r="AQ191" s="1888"/>
      <c r="AR191" s="1888"/>
      <c r="AS191" s="108"/>
      <c r="AT191" s="108"/>
      <c r="AU191" s="108"/>
      <c r="AV191" s="108"/>
      <c r="AW191" s="108"/>
    </row>
    <row r="192" spans="1:124" ht="15" customHeight="1" x14ac:dyDescent="0.25">
      <c r="B192" s="1778" t="s">
        <v>370</v>
      </c>
      <c r="C192" s="1758"/>
      <c r="D192" s="1767" t="s">
        <v>49</v>
      </c>
      <c r="E192" s="1768"/>
      <c r="F192" s="1769"/>
      <c r="G192" s="1790" t="s">
        <v>246</v>
      </c>
      <c r="H192" s="1791"/>
      <c r="I192" s="1791"/>
      <c r="J192" s="1791"/>
      <c r="K192" s="1791"/>
      <c r="L192" s="1791"/>
      <c r="M192" s="1791"/>
      <c r="N192" s="1791"/>
      <c r="O192" s="1791"/>
      <c r="P192" s="1791"/>
      <c r="Q192" s="1791"/>
      <c r="R192" s="1791"/>
      <c r="S192" s="1791"/>
      <c r="T192" s="1791"/>
      <c r="U192" s="1791"/>
      <c r="V192" s="1791"/>
      <c r="W192" s="1791"/>
      <c r="X192" s="1791"/>
      <c r="Y192" s="1791"/>
      <c r="Z192" s="1791"/>
      <c r="AA192" s="1791"/>
      <c r="AB192" s="1791"/>
      <c r="AC192" s="1791"/>
      <c r="AD192" s="1791"/>
      <c r="AE192" s="1791"/>
      <c r="AF192" s="1791"/>
      <c r="AG192" s="1791"/>
      <c r="AH192" s="1791"/>
      <c r="AI192" s="1791"/>
      <c r="AJ192" s="1791"/>
      <c r="AK192" s="1791"/>
      <c r="AL192" s="1791"/>
      <c r="AM192" s="1791"/>
      <c r="AN192" s="1791"/>
      <c r="AO192" s="1791"/>
      <c r="AP192" s="1791"/>
      <c r="AQ192" s="1791"/>
      <c r="AR192" s="1797"/>
      <c r="AS192" s="1748" t="s">
        <v>51</v>
      </c>
      <c r="AT192" s="1753"/>
      <c r="AU192" s="1763" t="s">
        <v>52</v>
      </c>
      <c r="AV192" s="1753"/>
      <c r="AW192" s="108"/>
      <c r="AX192" s="108"/>
      <c r="AY192" s="108"/>
      <c r="AZ192" s="108"/>
      <c r="BA192" s="108"/>
      <c r="BS192" s="606"/>
      <c r="BT192" s="606"/>
      <c r="BU192" s="606"/>
      <c r="BV192" s="606"/>
    </row>
    <row r="193" spans="1:128" ht="12" customHeight="1" x14ac:dyDescent="0.25">
      <c r="B193" s="1794"/>
      <c r="C193" s="1759"/>
      <c r="D193" s="1770"/>
      <c r="E193" s="1771"/>
      <c r="F193" s="1772"/>
      <c r="G193" s="1755" t="s">
        <v>212</v>
      </c>
      <c r="H193" s="1756"/>
      <c r="I193" s="1755" t="s">
        <v>213</v>
      </c>
      <c r="J193" s="1756"/>
      <c r="K193" s="1755" t="s">
        <v>214</v>
      </c>
      <c r="L193" s="1756"/>
      <c r="M193" s="1755" t="s">
        <v>215</v>
      </c>
      <c r="N193" s="1756"/>
      <c r="O193" s="1755" t="s">
        <v>216</v>
      </c>
      <c r="P193" s="1756"/>
      <c r="Q193" s="1755" t="s">
        <v>217</v>
      </c>
      <c r="R193" s="1756"/>
      <c r="S193" s="1755" t="s">
        <v>218</v>
      </c>
      <c r="T193" s="1756"/>
      <c r="U193" s="1755" t="s">
        <v>219</v>
      </c>
      <c r="V193" s="1756"/>
      <c r="W193" s="1755" t="s">
        <v>220</v>
      </c>
      <c r="X193" s="1756"/>
      <c r="Y193" s="1755" t="s">
        <v>221</v>
      </c>
      <c r="Z193" s="1756"/>
      <c r="AA193" s="1755" t="s">
        <v>222</v>
      </c>
      <c r="AB193" s="1756"/>
      <c r="AC193" s="1755" t="s">
        <v>223</v>
      </c>
      <c r="AD193" s="1756"/>
      <c r="AE193" s="1755" t="s">
        <v>224</v>
      </c>
      <c r="AF193" s="1756"/>
      <c r="AG193" s="1755" t="s">
        <v>225</v>
      </c>
      <c r="AH193" s="1756"/>
      <c r="AI193" s="1757" t="s">
        <v>310</v>
      </c>
      <c r="AJ193" s="1756"/>
      <c r="AK193" s="1755" t="s">
        <v>315</v>
      </c>
      <c r="AL193" s="1756"/>
      <c r="AM193" s="1755" t="s">
        <v>316</v>
      </c>
      <c r="AN193" s="1756"/>
      <c r="AO193" s="1757" t="s">
        <v>317</v>
      </c>
      <c r="AP193" s="1756"/>
      <c r="AQ193" s="1755" t="s">
        <v>57</v>
      </c>
      <c r="AR193" s="1796"/>
      <c r="AS193" s="1750"/>
      <c r="AT193" s="1706"/>
      <c r="AU193" s="1764"/>
      <c r="AV193" s="1706"/>
      <c r="AW193" s="108"/>
      <c r="AX193" s="108"/>
      <c r="AY193" s="108"/>
      <c r="AZ193" s="108"/>
      <c r="BA193" s="108"/>
      <c r="BS193" s="606"/>
      <c r="BT193" s="606"/>
      <c r="BU193" s="606"/>
      <c r="BV193" s="606"/>
    </row>
    <row r="194" spans="1:128" ht="15" customHeight="1" x14ac:dyDescent="0.25">
      <c r="B194" s="1795"/>
      <c r="C194" s="1760"/>
      <c r="D194" s="60" t="s">
        <v>226</v>
      </c>
      <c r="E194" s="1232" t="s">
        <v>86</v>
      </c>
      <c r="F194" s="1440" t="s">
        <v>227</v>
      </c>
      <c r="G194" s="1232" t="s">
        <v>86</v>
      </c>
      <c r="H194" s="892" t="s">
        <v>227</v>
      </c>
      <c r="I194" s="1232" t="s">
        <v>86</v>
      </c>
      <c r="J194" s="892" t="s">
        <v>227</v>
      </c>
      <c r="K194" s="1232" t="s">
        <v>86</v>
      </c>
      <c r="L194" s="892" t="s">
        <v>227</v>
      </c>
      <c r="M194" s="1232" t="s">
        <v>86</v>
      </c>
      <c r="N194" s="892" t="s">
        <v>227</v>
      </c>
      <c r="O194" s="1232" t="s">
        <v>86</v>
      </c>
      <c r="P194" s="892" t="s">
        <v>227</v>
      </c>
      <c r="Q194" s="1232" t="s">
        <v>86</v>
      </c>
      <c r="R194" s="892" t="s">
        <v>227</v>
      </c>
      <c r="S194" s="1232" t="s">
        <v>86</v>
      </c>
      <c r="T194" s="892" t="s">
        <v>227</v>
      </c>
      <c r="U194" s="1232" t="s">
        <v>86</v>
      </c>
      <c r="V194" s="892" t="s">
        <v>227</v>
      </c>
      <c r="W194" s="1232" t="s">
        <v>86</v>
      </c>
      <c r="X194" s="892" t="s">
        <v>227</v>
      </c>
      <c r="Y194" s="1232" t="s">
        <v>86</v>
      </c>
      <c r="Z194" s="892" t="s">
        <v>227</v>
      </c>
      <c r="AA194" s="1232" t="s">
        <v>86</v>
      </c>
      <c r="AB194" s="892" t="s">
        <v>227</v>
      </c>
      <c r="AC194" s="1232" t="s">
        <v>86</v>
      </c>
      <c r="AD194" s="892" t="s">
        <v>227</v>
      </c>
      <c r="AE194" s="1232" t="s">
        <v>86</v>
      </c>
      <c r="AF194" s="892" t="s">
        <v>227</v>
      </c>
      <c r="AG194" s="1232" t="s">
        <v>86</v>
      </c>
      <c r="AH194" s="892" t="s">
        <v>227</v>
      </c>
      <c r="AI194" s="603" t="s">
        <v>86</v>
      </c>
      <c r="AJ194" s="974" t="s">
        <v>227</v>
      </c>
      <c r="AK194" s="973" t="s">
        <v>86</v>
      </c>
      <c r="AL194" s="892" t="s">
        <v>227</v>
      </c>
      <c r="AM194" s="603" t="s">
        <v>86</v>
      </c>
      <c r="AN194" s="974" t="s">
        <v>227</v>
      </c>
      <c r="AO194" s="603" t="s">
        <v>86</v>
      </c>
      <c r="AP194" s="892" t="s">
        <v>227</v>
      </c>
      <c r="AQ194" s="603" t="s">
        <v>86</v>
      </c>
      <c r="AR194" s="975" t="s">
        <v>227</v>
      </c>
      <c r="AS194" s="976" t="s">
        <v>86</v>
      </c>
      <c r="AT194" s="974" t="s">
        <v>227</v>
      </c>
      <c r="AU194" s="1232" t="s">
        <v>86</v>
      </c>
      <c r="AV194" s="1440" t="s">
        <v>227</v>
      </c>
      <c r="AW194" s="108"/>
      <c r="AX194" s="108"/>
      <c r="AY194" s="108"/>
      <c r="AZ194" s="108"/>
      <c r="BA194" s="108"/>
      <c r="BS194" s="606"/>
      <c r="BT194" s="606"/>
      <c r="BU194" s="606"/>
      <c r="BV194" s="606"/>
    </row>
    <row r="195" spans="1:128" ht="15" customHeight="1" x14ac:dyDescent="0.25">
      <c r="A195" s="1578"/>
      <c r="B195" s="1755" t="s">
        <v>318</v>
      </c>
      <c r="C195" s="1756"/>
      <c r="D195" s="321">
        <f>SUM(E195:F195)</f>
        <v>0</v>
      </c>
      <c r="E195" s="363">
        <f>+G195+I195+K195+M195+O195+Q195+S195+U195+W195+Y195+AA195+AC195+AE195+AG195+AI195+AO195+AQ195+AK195+AM195</f>
        <v>0</v>
      </c>
      <c r="F195" s="364">
        <f>+H195+J195+L195+N195+P195+R195+T195+V195+X195+Z195+AB195+AD195+AF195+AH195+AJ195+AP195+AR195+AL195+AN195</f>
        <v>0</v>
      </c>
      <c r="G195" s="894">
        <f>SUM(G196:G198)</f>
        <v>0</v>
      </c>
      <c r="H195" s="895">
        <f>SUM(H196:H198)</f>
        <v>0</v>
      </c>
      <c r="I195" s="894">
        <f t="shared" ref="I195:AR195" si="101">SUM(I196:I198)</f>
        <v>0</v>
      </c>
      <c r="J195" s="895">
        <f t="shared" si="101"/>
        <v>0</v>
      </c>
      <c r="K195" s="894">
        <f t="shared" si="101"/>
        <v>0</v>
      </c>
      <c r="L195" s="895">
        <f t="shared" si="101"/>
        <v>0</v>
      </c>
      <c r="M195" s="894">
        <f t="shared" si="101"/>
        <v>0</v>
      </c>
      <c r="N195" s="895">
        <f t="shared" si="101"/>
        <v>0</v>
      </c>
      <c r="O195" s="894">
        <f t="shared" si="101"/>
        <v>0</v>
      </c>
      <c r="P195" s="895">
        <f t="shared" si="101"/>
        <v>0</v>
      </c>
      <c r="Q195" s="894">
        <f t="shared" si="101"/>
        <v>0</v>
      </c>
      <c r="R195" s="895">
        <f t="shared" si="101"/>
        <v>0</v>
      </c>
      <c r="S195" s="894">
        <f t="shared" si="101"/>
        <v>0</v>
      </c>
      <c r="T195" s="895">
        <f t="shared" si="101"/>
        <v>0</v>
      </c>
      <c r="U195" s="894">
        <f t="shared" si="101"/>
        <v>0</v>
      </c>
      <c r="V195" s="895">
        <f t="shared" si="101"/>
        <v>0</v>
      </c>
      <c r="W195" s="894">
        <f t="shared" si="101"/>
        <v>0</v>
      </c>
      <c r="X195" s="895">
        <f t="shared" si="101"/>
        <v>0</v>
      </c>
      <c r="Y195" s="894">
        <f t="shared" si="101"/>
        <v>0</v>
      </c>
      <c r="Z195" s="895">
        <f t="shared" si="101"/>
        <v>0</v>
      </c>
      <c r="AA195" s="894">
        <f t="shared" si="101"/>
        <v>0</v>
      </c>
      <c r="AB195" s="895">
        <f t="shared" si="101"/>
        <v>0</v>
      </c>
      <c r="AC195" s="894">
        <f t="shared" si="101"/>
        <v>0</v>
      </c>
      <c r="AD195" s="895">
        <f t="shared" si="101"/>
        <v>0</v>
      </c>
      <c r="AE195" s="894">
        <f t="shared" si="101"/>
        <v>0</v>
      </c>
      <c r="AF195" s="895">
        <f t="shared" si="101"/>
        <v>0</v>
      </c>
      <c r="AG195" s="894">
        <f t="shared" si="101"/>
        <v>0</v>
      </c>
      <c r="AH195" s="895">
        <f t="shared" si="101"/>
        <v>0</v>
      </c>
      <c r="AI195" s="894">
        <f t="shared" si="101"/>
        <v>0</v>
      </c>
      <c r="AJ195" s="895">
        <f t="shared" si="101"/>
        <v>0</v>
      </c>
      <c r="AK195" s="894">
        <f t="shared" si="101"/>
        <v>0</v>
      </c>
      <c r="AL195" s="895">
        <f t="shared" si="101"/>
        <v>0</v>
      </c>
      <c r="AM195" s="894">
        <f t="shared" si="101"/>
        <v>0</v>
      </c>
      <c r="AN195" s="895">
        <f t="shared" si="101"/>
        <v>0</v>
      </c>
      <c r="AO195" s="894">
        <f t="shared" si="101"/>
        <v>0</v>
      </c>
      <c r="AP195" s="895">
        <f t="shared" si="101"/>
        <v>0</v>
      </c>
      <c r="AQ195" s="894">
        <f t="shared" si="101"/>
        <v>0</v>
      </c>
      <c r="AR195" s="895">
        <f t="shared" si="101"/>
        <v>0</v>
      </c>
      <c r="AS195" s="896">
        <f>SUM(AS196:AS198)</f>
        <v>0</v>
      </c>
      <c r="AT195" s="895">
        <f>SUM(AT196:AT198)</f>
        <v>0</v>
      </c>
      <c r="AU195" s="1236">
        <f>SUM(AU196:AU198)</f>
        <v>0</v>
      </c>
      <c r="AV195" s="895">
        <f>SUM(AV196:AV198)</f>
        <v>0</v>
      </c>
      <c r="BS195" s="606"/>
      <c r="BT195" s="606"/>
      <c r="BU195" s="606"/>
      <c r="BV195" s="606"/>
      <c r="DQ195" s="1047">
        <f t="shared" ref="DQ195:DR198" si="102">IF(AND(E195&gt;0,AS195=""),1,IF(AS195&gt;E195,1,0))</f>
        <v>0</v>
      </c>
      <c r="DR195" s="1047">
        <f t="shared" si="102"/>
        <v>0</v>
      </c>
      <c r="DS195" s="1047">
        <f t="shared" ref="DS195:DT198" si="103">IF(AND(E195&gt;0,AU195=""),1,IF(AU195&gt;E195,1,0))</f>
        <v>0</v>
      </c>
      <c r="DT195" s="1047">
        <f t="shared" si="103"/>
        <v>0</v>
      </c>
    </row>
    <row r="196" spans="1:128" ht="15" customHeight="1" x14ac:dyDescent="0.25">
      <c r="A196" s="1589" t="s">
        <v>1151</v>
      </c>
      <c r="B196" s="1784" t="s">
        <v>371</v>
      </c>
      <c r="C196" s="1785"/>
      <c r="D196" s="321" t="s">
        <v>1616</v>
      </c>
      <c r="E196" s="363" t="s">
        <v>1617</v>
      </c>
      <c r="F196" s="364" t="s">
        <v>1618</v>
      </c>
      <c r="G196" s="322" t="s">
        <v>1619</v>
      </c>
      <c r="H196" s="323" t="s">
        <v>1620</v>
      </c>
      <c r="I196" s="322" t="s">
        <v>1621</v>
      </c>
      <c r="J196" s="323" t="s">
        <v>1622</v>
      </c>
      <c r="K196" s="322" t="s">
        <v>1623</v>
      </c>
      <c r="L196" s="323" t="s">
        <v>1624</v>
      </c>
      <c r="M196" s="322" t="s">
        <v>1625</v>
      </c>
      <c r="N196" s="324" t="s">
        <v>1626</v>
      </c>
      <c r="O196" s="322" t="s">
        <v>1627</v>
      </c>
      <c r="P196" s="323" t="s">
        <v>1628</v>
      </c>
      <c r="Q196" s="322" t="s">
        <v>1629</v>
      </c>
      <c r="R196" s="323" t="s">
        <v>1630</v>
      </c>
      <c r="S196" s="325" t="s">
        <v>1631</v>
      </c>
      <c r="T196" s="323" t="s">
        <v>1632</v>
      </c>
      <c r="U196" s="322" t="s">
        <v>1633</v>
      </c>
      <c r="V196" s="324" t="s">
        <v>1634</v>
      </c>
      <c r="W196" s="322" t="s">
        <v>1635</v>
      </c>
      <c r="X196" s="323" t="s">
        <v>1636</v>
      </c>
      <c r="Y196" s="322" t="s">
        <v>1637</v>
      </c>
      <c r="Z196" s="323" t="s">
        <v>1638</v>
      </c>
      <c r="AA196" s="322" t="s">
        <v>1639</v>
      </c>
      <c r="AB196" s="323" t="s">
        <v>1640</v>
      </c>
      <c r="AC196" s="322" t="s">
        <v>1641</v>
      </c>
      <c r="AD196" s="336" t="s">
        <v>1642</v>
      </c>
      <c r="AE196" s="322" t="s">
        <v>1643</v>
      </c>
      <c r="AF196" s="323" t="s">
        <v>1644</v>
      </c>
      <c r="AG196" s="322" t="s">
        <v>1645</v>
      </c>
      <c r="AH196" s="324" t="s">
        <v>1646</v>
      </c>
      <c r="AI196" s="322" t="s">
        <v>1647</v>
      </c>
      <c r="AJ196" s="324" t="s">
        <v>1648</v>
      </c>
      <c r="AK196" s="322" t="s">
        <v>1649</v>
      </c>
      <c r="AL196" s="324" t="s">
        <v>1650</v>
      </c>
      <c r="AM196" s="322" t="s">
        <v>1651</v>
      </c>
      <c r="AN196" s="323" t="s">
        <v>1652</v>
      </c>
      <c r="AO196" s="325" t="s">
        <v>1653</v>
      </c>
      <c r="AP196" s="324" t="s">
        <v>1654</v>
      </c>
      <c r="AQ196" s="322" t="s">
        <v>1655</v>
      </c>
      <c r="AR196" s="807" t="s">
        <v>1656</v>
      </c>
      <c r="AS196" s="326" t="s">
        <v>1657</v>
      </c>
      <c r="AT196" s="323" t="s">
        <v>1658</v>
      </c>
      <c r="AU196" s="322" t="s">
        <v>1659</v>
      </c>
      <c r="AV196" s="323" t="s">
        <v>1660</v>
      </c>
      <c r="AW196" s="110" t="str">
        <f>CB196&amp;CC196&amp;CD196&amp;CE196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</v>
      </c>
      <c r="AX196" s="110"/>
      <c r="AY196" s="110"/>
      <c r="AZ196" s="110"/>
      <c r="BA196" s="110"/>
      <c r="BS196" s="606"/>
      <c r="BT196" s="606"/>
      <c r="BU196" s="606"/>
      <c r="BV196" s="606"/>
      <c r="CB196" s="191" t="str">
        <f>IF(AND(E196&gt;0,AS196="")," * No olvide digitar la variable Pueblos Originarios hombres (Digite Cero si no tiene).",IF(AS196&gt;E196," * La variable Pueblos Originarios hombres  no debe ser mayor que el Total de Hombres.",""))</f>
        <v xml:space="preserve"> * La variable Pueblos Originarios hombres  no debe ser mayor que el Total de Hombres.</v>
      </c>
      <c r="CC196" s="191" t="str">
        <f>IF(AND(F196&gt;0,AT196="")," * No olvide digitar la variable Pueblos Originarios Mujeres (Digite Cero si no tiene). Digite Cero si no tiene.",IF(AT196&gt;F196," * La variable Pueblos Originarios Mujeres no debe ser mayor que el Total de Mujeres",""))</f>
        <v xml:space="preserve"> * La variable Pueblos Originarios Mujeres no debe ser mayor que el Total de Mujeres</v>
      </c>
      <c r="CD196" s="191" t="str">
        <f>IF(AND(E196&gt;0,AU196="")," * No olvide digitar la variable Migrantes hombres (Digite Cero si no tiene).",IF(AU196&gt;E196," * La variable Migrantes hombres  no debe ser mayor que el Total de Hombres",""))</f>
        <v xml:space="preserve"> * La variable Migrantes hombres  no debe ser mayor que el Total de Hombres</v>
      </c>
      <c r="CE196" s="191" t="str">
        <f>IF(AND(F196&gt;0,AV196="")," * No olvide digitar la variable Migrantes Mujeres (Digite Cero si no tiene).",IF(AV196&gt;F196," * La variable Migrantes Mujeres no debe ser mayor que el Total de Mujeres",""))</f>
        <v xml:space="preserve"> * La variable Migrantes Mujeres no debe ser mayor que el Total de Mujeres</v>
      </c>
      <c r="CH196" s="108" t="str">
        <f>IF(AND(E196&gt;0,AG196="")," * No olvide digitar la variable Niños, Niñas, adolescentes y jóvenes Mejor Niñez hombres (Digite Cero si no tiene).",IF(AG196&gt;E196,"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I196" s="108" t="str">
        <f>IF(AND(F196&gt;0,AH196="")," * No olvide digitar la variable Niños, Niñas, adolescentes y jóvenes Mejor Niñez Mujeres (Digite Cero si no tiene).",IF(AH196&gt;F196,"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DQ196" s="1047">
        <f t="shared" si="102"/>
        <v>1</v>
      </c>
      <c r="DR196" s="1047">
        <f t="shared" si="102"/>
        <v>1</v>
      </c>
      <c r="DS196" s="1047">
        <f t="shared" si="103"/>
        <v>1</v>
      </c>
      <c r="DT196" s="1047">
        <f t="shared" si="103"/>
        <v>1</v>
      </c>
    </row>
    <row r="197" spans="1:128" ht="15" customHeight="1" x14ac:dyDescent="0.25">
      <c r="A197" s="1589" t="s">
        <v>1152</v>
      </c>
      <c r="B197" s="1786" t="s">
        <v>372</v>
      </c>
      <c r="C197" s="1787"/>
      <c r="D197" s="353" t="s">
        <v>1616</v>
      </c>
      <c r="E197" s="365" t="s">
        <v>1617</v>
      </c>
      <c r="F197" s="366" t="s">
        <v>1618</v>
      </c>
      <c r="G197" s="354" t="s">
        <v>1619</v>
      </c>
      <c r="H197" s="355" t="s">
        <v>1620</v>
      </c>
      <c r="I197" s="354" t="s">
        <v>1621</v>
      </c>
      <c r="J197" s="355" t="s">
        <v>1622</v>
      </c>
      <c r="K197" s="354" t="s">
        <v>1623</v>
      </c>
      <c r="L197" s="355" t="s">
        <v>1624</v>
      </c>
      <c r="M197" s="354" t="s">
        <v>1625</v>
      </c>
      <c r="N197" s="356" t="s">
        <v>1626</v>
      </c>
      <c r="O197" s="354" t="s">
        <v>1627</v>
      </c>
      <c r="P197" s="355" t="s">
        <v>1628</v>
      </c>
      <c r="Q197" s="354" t="s">
        <v>1629</v>
      </c>
      <c r="R197" s="355" t="s">
        <v>1630</v>
      </c>
      <c r="S197" s="357" t="s">
        <v>1631</v>
      </c>
      <c r="T197" s="355" t="s">
        <v>1632</v>
      </c>
      <c r="U197" s="354" t="s">
        <v>1633</v>
      </c>
      <c r="V197" s="356" t="s">
        <v>1634</v>
      </c>
      <c r="W197" s="354" t="s">
        <v>1635</v>
      </c>
      <c r="X197" s="355" t="s">
        <v>1636</v>
      </c>
      <c r="Y197" s="354" t="s">
        <v>1637</v>
      </c>
      <c r="Z197" s="355" t="s">
        <v>1638</v>
      </c>
      <c r="AA197" s="354" t="s">
        <v>1639</v>
      </c>
      <c r="AB197" s="355" t="s">
        <v>1640</v>
      </c>
      <c r="AC197" s="354" t="s">
        <v>1641</v>
      </c>
      <c r="AD197" s="595" t="s">
        <v>1642</v>
      </c>
      <c r="AE197" s="354" t="s">
        <v>1643</v>
      </c>
      <c r="AF197" s="355" t="s">
        <v>1644</v>
      </c>
      <c r="AG197" s="354" t="s">
        <v>1645</v>
      </c>
      <c r="AH197" s="356" t="s">
        <v>1646</v>
      </c>
      <c r="AI197" s="354" t="s">
        <v>1647</v>
      </c>
      <c r="AJ197" s="356" t="s">
        <v>1648</v>
      </c>
      <c r="AK197" s="354" t="s">
        <v>1649</v>
      </c>
      <c r="AL197" s="356" t="s">
        <v>1650</v>
      </c>
      <c r="AM197" s="354" t="s">
        <v>1651</v>
      </c>
      <c r="AN197" s="355" t="s">
        <v>1652</v>
      </c>
      <c r="AO197" s="357" t="s">
        <v>1653</v>
      </c>
      <c r="AP197" s="356" t="s">
        <v>1654</v>
      </c>
      <c r="AQ197" s="354" t="s">
        <v>1655</v>
      </c>
      <c r="AR197" s="808" t="s">
        <v>1656</v>
      </c>
      <c r="AS197" s="358" t="s">
        <v>1657</v>
      </c>
      <c r="AT197" s="355" t="s">
        <v>1658</v>
      </c>
      <c r="AU197" s="354" t="s">
        <v>1659</v>
      </c>
      <c r="AV197" s="355" t="s">
        <v>1660</v>
      </c>
      <c r="AW197" s="110" t="str">
        <f>CB197&amp;CC197&amp;CD197&amp;CE197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</v>
      </c>
      <c r="AX197" s="110"/>
      <c r="AY197" s="110"/>
      <c r="AZ197" s="110"/>
      <c r="BA197" s="110"/>
      <c r="BS197" s="606"/>
      <c r="BT197" s="606"/>
      <c r="BU197" s="606"/>
      <c r="BV197" s="606"/>
      <c r="CB197" s="191" t="str">
        <f>IF(AND(E197&gt;0,AS197="")," * No olvide digitar la variable Pueblos Originarios hombres (Digite Cero si no tiene).",IF(AS197&gt;E197," * La variable Pueblos Originarios hombres  no debe ser mayor que el Total de Hombres.",""))</f>
        <v xml:space="preserve"> * La variable Pueblos Originarios hombres  no debe ser mayor que el Total de Hombres.</v>
      </c>
      <c r="CC197" s="191" t="str">
        <f>IF(AND(F197&gt;0,AT197="")," * No olvide digitar la variable Pueblos Originarios Mujeres (Digite Cero si no tiene). Digite Cero si no tiene.",IF(AT197&gt;F197," * La variable Pueblos Originarios Mujeres no debe ser mayor que el Total de Mujeres",""))</f>
        <v xml:space="preserve"> * La variable Pueblos Originarios Mujeres no debe ser mayor que el Total de Mujeres</v>
      </c>
      <c r="CD197" s="191" t="str">
        <f>IF(AND(E197&gt;0,AU197="")," * No olvide digitar la variable Migrantes hombres (Digite Cero si no tiene).",IF(AU197&gt;E197," * La variable Migrantes hombres  no debe ser mayor que el Total de Hombres",""))</f>
        <v xml:space="preserve"> * La variable Migrantes hombres  no debe ser mayor que el Total de Hombres</v>
      </c>
      <c r="CE197" s="191" t="str">
        <f>IF(AND(F197&gt;0,AV197="")," * No olvide digitar la variable Migrantes Mujeres (Digite Cero si no tiene).",IF(AV197&gt;F197," * La variable Migrantes Mujeres no debe ser mayor que el Total de Mujeres",""))</f>
        <v xml:space="preserve"> * La variable Migrantes Mujeres no debe ser mayor que el Total de Mujeres</v>
      </c>
      <c r="CH197" s="108" t="str">
        <f>IF(AND(E197&gt;0,AG197="")," * No olvide digitar la variable Niños, Niñas, adolescentes y jóvenes Mejor Niñez hombres (Digite Cero si no tiene).",IF(AG197&gt;E197,"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I197" s="108" t="str">
        <f>IF(AND(F197&gt;0,AH197="")," * No olvide digitar la variable Niños, Niñas, adolescentes y jóvenes Mejor Niñez Mujeres (Digite Cero si no tiene).",IF(AH197&gt;F197,"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DQ197" s="1047">
        <f>IF(AND(E197&gt;0,AS197=""),1,IF(AS197&gt;E197,1,0))</f>
        <v>1</v>
      </c>
      <c r="DR197" s="1047">
        <f t="shared" si="102"/>
        <v>1</v>
      </c>
      <c r="DS197" s="1047">
        <f t="shared" si="103"/>
        <v>1</v>
      </c>
      <c r="DT197" s="1047">
        <f t="shared" si="103"/>
        <v>1</v>
      </c>
    </row>
    <row r="198" spans="1:128" ht="15" customHeight="1" x14ac:dyDescent="0.25">
      <c r="A198" s="1589" t="s">
        <v>1153</v>
      </c>
      <c r="B198" s="1788" t="s">
        <v>373</v>
      </c>
      <c r="C198" s="1789"/>
      <c r="D198" s="378" t="s">
        <v>1616</v>
      </c>
      <c r="E198" s="747" t="s">
        <v>1617</v>
      </c>
      <c r="F198" s="704" t="s">
        <v>1618</v>
      </c>
      <c r="G198" s="315" t="s">
        <v>1619</v>
      </c>
      <c r="H198" s="316" t="s">
        <v>1620</v>
      </c>
      <c r="I198" s="315" t="s">
        <v>1621</v>
      </c>
      <c r="J198" s="316" t="s">
        <v>1622</v>
      </c>
      <c r="K198" s="315" t="s">
        <v>1623</v>
      </c>
      <c r="L198" s="316" t="s">
        <v>1624</v>
      </c>
      <c r="M198" s="315" t="s">
        <v>1625</v>
      </c>
      <c r="N198" s="316" t="s">
        <v>1626</v>
      </c>
      <c r="O198" s="315" t="s">
        <v>1627</v>
      </c>
      <c r="P198" s="316" t="s">
        <v>1628</v>
      </c>
      <c r="Q198" s="315" t="s">
        <v>1629</v>
      </c>
      <c r="R198" s="316" t="s">
        <v>1630</v>
      </c>
      <c r="S198" s="315" t="s">
        <v>1631</v>
      </c>
      <c r="T198" s="316" t="s">
        <v>1632</v>
      </c>
      <c r="U198" s="315" t="s">
        <v>1633</v>
      </c>
      <c r="V198" s="316" t="s">
        <v>1634</v>
      </c>
      <c r="W198" s="315" t="s">
        <v>1635</v>
      </c>
      <c r="X198" s="316" t="s">
        <v>1636</v>
      </c>
      <c r="Y198" s="315" t="s">
        <v>1637</v>
      </c>
      <c r="Z198" s="316" t="s">
        <v>1638</v>
      </c>
      <c r="AA198" s="315" t="s">
        <v>1639</v>
      </c>
      <c r="AB198" s="316" t="s">
        <v>1640</v>
      </c>
      <c r="AC198" s="315" t="s">
        <v>1641</v>
      </c>
      <c r="AD198" s="316" t="s">
        <v>1642</v>
      </c>
      <c r="AE198" s="315" t="s">
        <v>1643</v>
      </c>
      <c r="AF198" s="316" t="s">
        <v>1644</v>
      </c>
      <c r="AG198" s="315" t="s">
        <v>1645</v>
      </c>
      <c r="AH198" s="316" t="s">
        <v>1646</v>
      </c>
      <c r="AI198" s="315" t="s">
        <v>1647</v>
      </c>
      <c r="AJ198" s="316" t="s">
        <v>1648</v>
      </c>
      <c r="AK198" s="315" t="s">
        <v>1649</v>
      </c>
      <c r="AL198" s="316" t="s">
        <v>1650</v>
      </c>
      <c r="AM198" s="315" t="s">
        <v>1651</v>
      </c>
      <c r="AN198" s="316" t="s">
        <v>1652</v>
      </c>
      <c r="AO198" s="318" t="s">
        <v>1653</v>
      </c>
      <c r="AP198" s="316" t="s">
        <v>1654</v>
      </c>
      <c r="AQ198" s="315" t="s">
        <v>1655</v>
      </c>
      <c r="AR198" s="683" t="s">
        <v>1656</v>
      </c>
      <c r="AS198" s="350" t="s">
        <v>1657</v>
      </c>
      <c r="AT198" s="316" t="s">
        <v>1658</v>
      </c>
      <c r="AU198" s="315" t="s">
        <v>1659</v>
      </c>
      <c r="AV198" s="316" t="s">
        <v>1660</v>
      </c>
      <c r="AW198" s="110" t="str">
        <f>CB198&amp;CC198&amp;CD198&amp;CE198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</v>
      </c>
      <c r="AX198" s="110"/>
      <c r="AY198" s="110"/>
      <c r="AZ198" s="110"/>
      <c r="BA198" s="110"/>
      <c r="BS198" s="606"/>
      <c r="BT198" s="606"/>
      <c r="BU198" s="606"/>
      <c r="BV198" s="606"/>
      <c r="CB198" s="191" t="str">
        <f>IF(AND(E198&gt;0,AS198="")," * No olvide digitar la variable Pueblos Originarios hombres (Digite Cero si no tiene).",IF(AS198&gt;E198," * La variable Pueblos Originarios hombres  no debe ser mayor que el Total de Hombres.",""))</f>
        <v xml:space="preserve"> * La variable Pueblos Originarios hombres  no debe ser mayor que el Total de Hombres.</v>
      </c>
      <c r="CC198" s="191" t="str">
        <f>IF(AND(F198&gt;0,AT198="")," * No olvide digitar la variable Pueblos Originarios Mujeres (Digite Cero si no tiene). Digite Cero si no tiene.",IF(AT198&gt;F198," * La variable Pueblos Originarios Mujeres no debe ser mayor que el Total de Mujeres",""))</f>
        <v xml:space="preserve"> * La variable Pueblos Originarios Mujeres no debe ser mayor que el Total de Mujeres</v>
      </c>
      <c r="CD198" s="191" t="str">
        <f>IF(AND(E198&gt;0,AU198="")," * No olvide digitar la variable Migrantes hombres (Digite Cero si no tiene).",IF(AU198&gt;E198," * La variable Migrantes hombres  no debe ser mayor que el Total de Hombres",""))</f>
        <v xml:space="preserve"> * La variable Migrantes hombres  no debe ser mayor que el Total de Hombres</v>
      </c>
      <c r="CE198" s="191" t="str">
        <f>IF(AND(F198&gt;0,AV198="")," * No olvide digitar la variable Migrantes Mujeres (Digite Cero si no tiene).",IF(AV198&gt;F198," * La variable Migrantes Mujeres no debe ser mayor que el Total de Mujeres",""))</f>
        <v xml:space="preserve"> * La variable Migrantes Mujeres no debe ser mayor que el Total de Mujeres</v>
      </c>
      <c r="CH198" s="108" t="str">
        <f>IF(AND(E198&gt;0,AG198="")," * No olvide digitar la variable Niños, Niñas, adolescentes y jóvenes Mejor Niñez hombres (Digite Cero si no tiene).",IF(AG198&gt;E198,"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I198" s="108" t="str">
        <f>IF(AND(F198&gt;0,AH198="")," * No olvide digitar la variable Niños, Niñas, adolescentes y jóvenes Mejor Niñez Mujeres (Digite Cero si no tiene).",IF(AH198&gt;F198,"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DQ198" s="1047">
        <f>IF(AND(E198&gt;0,AS198=""),1,IF(AS198&gt;E198,1,0))</f>
        <v>1</v>
      </c>
      <c r="DR198" s="1047">
        <f t="shared" si="102"/>
        <v>1</v>
      </c>
      <c r="DS198" s="1047">
        <f t="shared" si="103"/>
        <v>1</v>
      </c>
      <c r="DT198" s="1047">
        <f t="shared" si="103"/>
        <v>1</v>
      </c>
    </row>
    <row r="199" spans="1:128" ht="17.100000000000001" customHeight="1" x14ac:dyDescent="0.25">
      <c r="B199" s="1888" t="s">
        <v>374</v>
      </c>
      <c r="C199" s="1888"/>
      <c r="D199" s="1888"/>
      <c r="E199" s="1888"/>
      <c r="F199" s="1888"/>
      <c r="G199" s="1888"/>
      <c r="H199" s="1888"/>
      <c r="I199" s="1888"/>
      <c r="J199" s="1888"/>
      <c r="K199" s="1888"/>
      <c r="L199" s="1888"/>
      <c r="M199" s="1888"/>
      <c r="N199" s="1888"/>
      <c r="O199" s="1888"/>
      <c r="P199" s="1888"/>
      <c r="Q199" s="1888"/>
      <c r="R199" s="1888"/>
      <c r="S199" s="1888"/>
      <c r="T199" s="1888"/>
      <c r="U199" s="1888"/>
      <c r="V199" s="1888"/>
      <c r="W199" s="1888"/>
      <c r="X199" s="1888"/>
      <c r="Y199" s="1888"/>
      <c r="Z199" s="1888"/>
      <c r="AA199" s="606"/>
      <c r="AB199" s="606"/>
      <c r="AC199" s="606"/>
      <c r="AD199" s="606"/>
      <c r="AE199" s="606"/>
      <c r="AF199" s="606"/>
      <c r="AG199" s="606"/>
      <c r="AH199" s="606"/>
      <c r="AI199" s="606"/>
      <c r="AJ199" s="606"/>
      <c r="AK199" s="108"/>
      <c r="AL199" s="108"/>
      <c r="AM199" s="108"/>
      <c r="AN199" s="108"/>
      <c r="AO199" s="108"/>
      <c r="AP199" s="108"/>
      <c r="AQ199" s="108"/>
      <c r="AR199" s="108"/>
      <c r="AS199" s="108"/>
      <c r="AT199" s="108"/>
      <c r="AU199" s="108"/>
      <c r="AV199" s="108"/>
      <c r="AW199" s="108"/>
    </row>
    <row r="200" spans="1:128" ht="18.600000000000001" customHeight="1" x14ac:dyDescent="0.25">
      <c r="B200" s="1778" t="s">
        <v>375</v>
      </c>
      <c r="C200" s="1779"/>
      <c r="D200" s="1767" t="s">
        <v>49</v>
      </c>
      <c r="E200" s="1768"/>
      <c r="F200" s="1769"/>
      <c r="G200" s="1790" t="s">
        <v>376</v>
      </c>
      <c r="H200" s="1791"/>
      <c r="I200" s="1791"/>
      <c r="J200" s="1791"/>
      <c r="K200" s="1791"/>
      <c r="L200" s="1791"/>
      <c r="M200" s="1791"/>
      <c r="N200" s="1791"/>
      <c r="O200" s="1791"/>
      <c r="P200" s="1791"/>
      <c r="Q200" s="1791"/>
      <c r="R200" s="1791"/>
      <c r="S200" s="1791"/>
      <c r="T200" s="1791"/>
      <c r="U200" s="1791"/>
      <c r="V200" s="1791"/>
      <c r="W200" s="1791"/>
      <c r="X200" s="1791"/>
      <c r="Y200" s="1791"/>
      <c r="Z200" s="1791"/>
      <c r="AA200" s="1748" t="s">
        <v>51</v>
      </c>
      <c r="AB200" s="1753"/>
      <c r="AC200" s="1752" t="s">
        <v>52</v>
      </c>
      <c r="AD200" s="1753"/>
      <c r="AE200" s="1752" t="s">
        <v>377</v>
      </c>
      <c r="AF200" s="1753"/>
      <c r="AG200" s="1763" t="s">
        <v>378</v>
      </c>
      <c r="AH200" s="1753"/>
      <c r="AI200" s="179"/>
      <c r="AJ200" s="179"/>
      <c r="AK200" s="108"/>
      <c r="AL200" s="108"/>
      <c r="AM200" s="108"/>
      <c r="AN200" s="108"/>
      <c r="AO200" s="108"/>
      <c r="AP200" s="108"/>
      <c r="AQ200" s="108"/>
      <c r="AR200" s="108"/>
      <c r="AS200" s="108"/>
      <c r="AT200" s="108"/>
      <c r="AU200" s="108"/>
      <c r="AV200" s="108"/>
      <c r="AW200" s="108"/>
    </row>
    <row r="201" spans="1:128" ht="15" customHeight="1" x14ac:dyDescent="0.25">
      <c r="B201" s="1780"/>
      <c r="C201" s="1781"/>
      <c r="D201" s="1770"/>
      <c r="E201" s="1771"/>
      <c r="F201" s="1772"/>
      <c r="G201" s="1755" t="s">
        <v>379</v>
      </c>
      <c r="H201" s="1756"/>
      <c r="I201" s="1755" t="s">
        <v>380</v>
      </c>
      <c r="J201" s="1756"/>
      <c r="K201" s="1755" t="s">
        <v>381</v>
      </c>
      <c r="L201" s="1756"/>
      <c r="M201" s="1755" t="s">
        <v>382</v>
      </c>
      <c r="N201" s="1756"/>
      <c r="O201" s="1755" t="s">
        <v>383</v>
      </c>
      <c r="P201" s="1756"/>
      <c r="Q201" s="1755" t="s">
        <v>384</v>
      </c>
      <c r="R201" s="1756"/>
      <c r="S201" s="1755" t="s">
        <v>385</v>
      </c>
      <c r="T201" s="1756"/>
      <c r="U201" s="1755" t="s">
        <v>386</v>
      </c>
      <c r="V201" s="1756"/>
      <c r="W201" s="1755" t="s">
        <v>387</v>
      </c>
      <c r="X201" s="1756"/>
      <c r="Y201" s="1755" t="s">
        <v>388</v>
      </c>
      <c r="Z201" s="1757"/>
      <c r="AA201" s="1750"/>
      <c r="AB201" s="1706"/>
      <c r="AC201" s="1754"/>
      <c r="AD201" s="1706"/>
      <c r="AE201" s="1754"/>
      <c r="AF201" s="1706"/>
      <c r="AG201" s="1764"/>
      <c r="AH201" s="1706"/>
      <c r="AI201" s="179"/>
      <c r="AJ201" s="179"/>
      <c r="AK201" s="108"/>
      <c r="AL201" s="108"/>
      <c r="AM201" s="108"/>
      <c r="AN201" s="108"/>
      <c r="AO201" s="108"/>
      <c r="AP201" s="108"/>
      <c r="AQ201" s="108"/>
      <c r="AR201" s="108"/>
      <c r="AS201" s="108"/>
      <c r="AT201" s="108"/>
      <c r="AU201" s="108"/>
      <c r="AV201" s="108"/>
      <c r="AW201" s="108"/>
    </row>
    <row r="202" spans="1:128" x14ac:dyDescent="0.25">
      <c r="B202" s="1782"/>
      <c r="C202" s="1783"/>
      <c r="D202" s="60" t="s">
        <v>226</v>
      </c>
      <c r="E202" s="1232" t="s">
        <v>86</v>
      </c>
      <c r="F202" s="1440" t="s">
        <v>227</v>
      </c>
      <c r="G202" s="1241" t="s">
        <v>86</v>
      </c>
      <c r="H202" s="1238" t="s">
        <v>227</v>
      </c>
      <c r="I202" s="1241" t="s">
        <v>86</v>
      </c>
      <c r="J202" s="1238" t="s">
        <v>227</v>
      </c>
      <c r="K202" s="1241" t="s">
        <v>86</v>
      </c>
      <c r="L202" s="1238" t="s">
        <v>227</v>
      </c>
      <c r="M202" s="1241" t="s">
        <v>86</v>
      </c>
      <c r="N202" s="1238" t="s">
        <v>227</v>
      </c>
      <c r="O202" s="1241" t="s">
        <v>86</v>
      </c>
      <c r="P202" s="1238" t="s">
        <v>227</v>
      </c>
      <c r="Q202" s="1241" t="s">
        <v>86</v>
      </c>
      <c r="R202" s="1238" t="s">
        <v>227</v>
      </c>
      <c r="S202" s="1241" t="s">
        <v>86</v>
      </c>
      <c r="T202" s="1238" t="s">
        <v>227</v>
      </c>
      <c r="U202" s="1241" t="s">
        <v>86</v>
      </c>
      <c r="V202" s="1238" t="s">
        <v>227</v>
      </c>
      <c r="W202" s="1241" t="s">
        <v>86</v>
      </c>
      <c r="X202" s="1238" t="s">
        <v>227</v>
      </c>
      <c r="Y202" s="1241" t="s">
        <v>86</v>
      </c>
      <c r="Z202" s="1467" t="s">
        <v>227</v>
      </c>
      <c r="AA202" s="190" t="s">
        <v>86</v>
      </c>
      <c r="AB202" s="1420" t="s">
        <v>227</v>
      </c>
      <c r="AC202" s="1244" t="s">
        <v>86</v>
      </c>
      <c r="AD202" s="1245" t="s">
        <v>227</v>
      </c>
      <c r="AE202" s="1244" t="s">
        <v>86</v>
      </c>
      <c r="AF202" s="1245" t="s">
        <v>227</v>
      </c>
      <c r="AG202" s="1246" t="s">
        <v>86</v>
      </c>
      <c r="AH202" s="1245" t="s">
        <v>227</v>
      </c>
      <c r="AI202" s="38"/>
      <c r="AJ202" s="38"/>
      <c r="AK202" s="108"/>
      <c r="AL202" s="108"/>
      <c r="AM202" s="108"/>
      <c r="AN202" s="108"/>
      <c r="AO202" s="108"/>
      <c r="AP202" s="108"/>
      <c r="AQ202" s="108"/>
      <c r="AR202" s="108"/>
      <c r="AS202" s="108"/>
      <c r="AT202" s="108"/>
      <c r="AU202" s="108"/>
      <c r="AV202" s="108"/>
      <c r="AW202" s="108"/>
    </row>
    <row r="203" spans="1:128" ht="15" customHeight="1" thickBot="1" x14ac:dyDescent="0.3">
      <c r="A203" s="1589" t="s">
        <v>1154</v>
      </c>
      <c r="B203" s="1761" t="s">
        <v>389</v>
      </c>
      <c r="C203" s="1762"/>
      <c r="D203" s="947" t="s">
        <v>1616</v>
      </c>
      <c r="E203" s="948" t="s">
        <v>1617</v>
      </c>
      <c r="F203" s="949" t="s">
        <v>1618</v>
      </c>
      <c r="G203" s="950" t="s">
        <v>1619</v>
      </c>
      <c r="H203" s="951" t="s">
        <v>1620</v>
      </c>
      <c r="I203" s="950" t="s">
        <v>1621</v>
      </c>
      <c r="J203" s="951" t="s">
        <v>1622</v>
      </c>
      <c r="K203" s="950" t="s">
        <v>1623</v>
      </c>
      <c r="L203" s="951" t="s">
        <v>1624</v>
      </c>
      <c r="M203" s="950" t="s">
        <v>1625</v>
      </c>
      <c r="N203" s="951" t="s">
        <v>1626</v>
      </c>
      <c r="O203" s="950" t="s">
        <v>1627</v>
      </c>
      <c r="P203" s="951" t="s">
        <v>1628</v>
      </c>
      <c r="Q203" s="950" t="s">
        <v>1629</v>
      </c>
      <c r="R203" s="951" t="s">
        <v>1630</v>
      </c>
      <c r="S203" s="950" t="s">
        <v>1631</v>
      </c>
      <c r="T203" s="951" t="s">
        <v>1632</v>
      </c>
      <c r="U203" s="950" t="s">
        <v>1633</v>
      </c>
      <c r="V203" s="951" t="s">
        <v>1634</v>
      </c>
      <c r="W203" s="950" t="s">
        <v>1635</v>
      </c>
      <c r="X203" s="951" t="s">
        <v>1636</v>
      </c>
      <c r="Y203" s="950" t="s">
        <v>1637</v>
      </c>
      <c r="Z203" s="952" t="s">
        <v>1638</v>
      </c>
      <c r="AA203" s="953" t="s">
        <v>1639</v>
      </c>
      <c r="AB203" s="951" t="s">
        <v>1640</v>
      </c>
      <c r="AC203" s="950" t="s">
        <v>1641</v>
      </c>
      <c r="AD203" s="951" t="s">
        <v>1642</v>
      </c>
      <c r="AE203" s="950" t="s">
        <v>1643</v>
      </c>
      <c r="AF203" s="951" t="s">
        <v>1644</v>
      </c>
      <c r="AG203" s="950" t="s">
        <v>1645</v>
      </c>
      <c r="AH203" s="951" t="s">
        <v>1646</v>
      </c>
      <c r="AI203" s="108" t="str">
        <f>CB203&amp;CC203&amp;CD203&amp;CE203&amp;CF203&amp;CG203&amp;CH203&amp;CI203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3" s="954"/>
      <c r="AK203" s="108"/>
      <c r="AL203" s="606"/>
      <c r="AM203" s="606"/>
      <c r="AN203" s="606"/>
      <c r="AO203" s="606"/>
      <c r="AP203" s="606"/>
      <c r="AQ203" s="606"/>
      <c r="AR203" s="606"/>
      <c r="AS203" s="606"/>
      <c r="AT203" s="606"/>
      <c r="AU203" s="606"/>
      <c r="AV203" s="606"/>
      <c r="AW203" s="108"/>
      <c r="AX203" s="108"/>
      <c r="AY203" s="108"/>
      <c r="AZ203" s="108"/>
      <c r="BA203" s="108"/>
      <c r="BB203" s="108"/>
      <c r="BC203" s="108"/>
      <c r="BD203" s="108"/>
      <c r="BE203" s="108"/>
      <c r="BF203" s="108"/>
      <c r="BG203" s="108"/>
      <c r="BH203" s="108"/>
      <c r="BI203" s="108"/>
      <c r="BJ203" s="108"/>
      <c r="BK203" s="108"/>
      <c r="BL203" s="108"/>
      <c r="BM203" s="108"/>
      <c r="BN203" s="108"/>
      <c r="BO203" s="108"/>
      <c r="BP203" s="108"/>
      <c r="BQ203" s="108"/>
      <c r="BR203" s="108"/>
      <c r="CB203" s="191" t="str">
        <f>IF(AND(E203&gt;0,AA203="")," * No olvide digitar la variable Pueblos Originarios hombres (Digite Cero si no tiene).",IF(AA203&gt;E203," * La variable Pueblos Originarios hombres  no debe ser mayor que el Total de Hombres.",""))</f>
        <v xml:space="preserve"> * La variable Pueblos Originarios hombres  no debe ser mayor que el Total de Hombres.</v>
      </c>
      <c r="CC203" s="191" t="str">
        <f>IF(AND(F203&gt;0,AB203="")," * No olvide digitar la variable Pueblos Originarios Mujeres (Digite Cero si no tiene). Digite Cero si no tiene.",IF(AB203&gt;F203," * La variable Pueblos Originarios Mujeres no debe ser mayor que el Total de Mujeres",""))</f>
        <v xml:space="preserve"> * La variable Pueblos Originarios Mujeres no debe ser mayor que el Total de Mujeres</v>
      </c>
      <c r="CD203" s="191" t="str">
        <f>IF(AND(E203&gt;0,AC203="")," * No olvide digitar la variable Migrantes Hombres (Digite Cero si no tiene).",IF(AC203&gt;E203," * La variable Migrantes hombres  no debe ser mayor que el Total de Hombres",""))</f>
        <v xml:space="preserve"> * La variable Migrantes hombres  no debe ser mayor que el Total de Hombres</v>
      </c>
      <c r="CE203" s="191" t="str">
        <f>IF(AND(F203&gt;0,AD203="")," * No olvide digitar la variable Migrantes Mujeres (Digite Cero si no tiene).",IF(AD203&gt;F203," * La variable Migrantes Mujeres no debe ser mayor que el Total de Mujeres",""))</f>
        <v xml:space="preserve"> * La variable Migrantes Mujeres no debe ser mayor que el Total de Mujeres</v>
      </c>
      <c r="CF203" s="191" t="str">
        <f>IF(AND(E203&gt;0,AE203="")," * No olvide digitar la variable Usuarios con Discapacidad hombres (Digite Cero si no tiene).",IF(AE203&gt;E203," * La variable Usuarios con Discapacidad hombres  no debe ser mayor que el Total de Hombres",""))</f>
        <v xml:space="preserve"> * La variable Usuarios con Discapacidad hombres  no debe ser mayor que el Total de Hombres</v>
      </c>
      <c r="CG203" s="191" t="str">
        <f>IF(AND(F203&gt;0,AF203="")," * No olvide digitar la variable Usuarios con Discapacidad  Mujeres (Digite Cero si no tiene).",IF(AF203&gt;F203," * La variable Usuarios con Discapacidad Mujeres no debe ser mayor que el Total de Mujeres",""))</f>
        <v xml:space="preserve"> * La variable Usuarios con Discapacidad Mujeres no debe ser mayor que el Total de Mujeres</v>
      </c>
      <c r="CH203" s="191" t="str">
        <f>IF(AND(E203&gt;0,AG203="")," * No olvide digitar la variable Niños, Niñas, adolescentes y jóvenes Mejor Niñez hombres (Digite Cero si no tiene).",IF(AG203&gt;E203,"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I203" s="191" t="str">
        <f>IF(AND(F203&gt;0,AH203="")," * No olvide digitar la variable Niños, Niñas, adolescentes y jóvenes Mejor Niñez Mujeres (Digite Cero si no tiene).",IF(AH203&gt;F203,"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CM203" s="108"/>
      <c r="CN203" s="108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Q203" s="1047">
        <f t="shared" ref="DQ203:DR205" si="104">IF(AND(E203&gt;0,AA203=""),1,IF(AA203&gt;E203,1,0))</f>
        <v>1</v>
      </c>
      <c r="DR203" s="1047">
        <f t="shared" si="104"/>
        <v>1</v>
      </c>
      <c r="DS203" s="1047">
        <f t="shared" ref="DS203:DT205" si="105">IF(AND(E203&gt;0,AC203=""),1,IF(AC203&gt;E203,1,0))</f>
        <v>1</v>
      </c>
      <c r="DT203" s="1047">
        <f t="shared" si="105"/>
        <v>1</v>
      </c>
      <c r="DU203" s="1047">
        <f t="shared" ref="DU203:DV205" si="106">IF(AND(E203&gt;0,AE203=""),1,IF(AE203&gt;E203,1,0))</f>
        <v>1</v>
      </c>
      <c r="DV203" s="1047">
        <f t="shared" si="106"/>
        <v>1</v>
      </c>
      <c r="DW203" s="1047">
        <f t="shared" ref="DW203:DX205" si="107">IF(AND(E203&gt;0,AG203=""),1,IF(AG203&gt;E203,1,0))</f>
        <v>1</v>
      </c>
      <c r="DX203" s="1047">
        <f t="shared" si="107"/>
        <v>1</v>
      </c>
    </row>
    <row r="204" spans="1:128" ht="15" customHeight="1" thickTop="1" x14ac:dyDescent="0.2">
      <c r="A204" s="1589" t="s">
        <v>1155</v>
      </c>
      <c r="B204" s="1773" t="s">
        <v>390</v>
      </c>
      <c r="C204" s="942" t="s">
        <v>391</v>
      </c>
      <c r="D204" s="338" t="s">
        <v>1616</v>
      </c>
      <c r="E204" s="369" t="s">
        <v>1617</v>
      </c>
      <c r="F204" s="370" t="s">
        <v>1618</v>
      </c>
      <c r="G204" s="943" t="s">
        <v>1619</v>
      </c>
      <c r="H204" s="944" t="s">
        <v>1620</v>
      </c>
      <c r="I204" s="943" t="s">
        <v>1621</v>
      </c>
      <c r="J204" s="944" t="s">
        <v>1622</v>
      </c>
      <c r="K204" s="943" t="s">
        <v>1623</v>
      </c>
      <c r="L204" s="944" t="s">
        <v>1624</v>
      </c>
      <c r="M204" s="943" t="s">
        <v>1625</v>
      </c>
      <c r="N204" s="944" t="s">
        <v>1626</v>
      </c>
      <c r="O204" s="943" t="s">
        <v>1627</v>
      </c>
      <c r="P204" s="944" t="s">
        <v>1628</v>
      </c>
      <c r="Q204" s="943" t="s">
        <v>1629</v>
      </c>
      <c r="R204" s="944" t="s">
        <v>1630</v>
      </c>
      <c r="S204" s="943" t="s">
        <v>1631</v>
      </c>
      <c r="T204" s="944" t="s">
        <v>1632</v>
      </c>
      <c r="U204" s="943" t="s">
        <v>1633</v>
      </c>
      <c r="V204" s="944" t="s">
        <v>1634</v>
      </c>
      <c r="W204" s="943" t="s">
        <v>1635</v>
      </c>
      <c r="X204" s="944" t="s">
        <v>1636</v>
      </c>
      <c r="Y204" s="943" t="s">
        <v>1637</v>
      </c>
      <c r="Z204" s="945" t="s">
        <v>1638</v>
      </c>
      <c r="AA204" s="946" t="s">
        <v>1639</v>
      </c>
      <c r="AB204" s="944" t="s">
        <v>1640</v>
      </c>
      <c r="AC204" s="943" t="s">
        <v>1641</v>
      </c>
      <c r="AD204" s="944" t="s">
        <v>1642</v>
      </c>
      <c r="AE204" s="943" t="s">
        <v>1643</v>
      </c>
      <c r="AF204" s="944" t="s">
        <v>1644</v>
      </c>
      <c r="AG204" s="943" t="s">
        <v>1645</v>
      </c>
      <c r="AH204" s="944" t="s">
        <v>1646</v>
      </c>
      <c r="AI204" s="108" t="str">
        <f>CB204&amp;CC204&amp;CD204&amp;CE204&amp;CF204&amp;CG204&amp;CH204&amp;CI204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4" s="954"/>
      <c r="AL204" s="108"/>
      <c r="AM204" s="108"/>
      <c r="AN204" s="108"/>
      <c r="AO204" s="108"/>
      <c r="AP204" s="108"/>
      <c r="AQ204" s="108"/>
      <c r="AR204" s="108"/>
      <c r="AS204" s="108"/>
      <c r="AT204" s="108"/>
      <c r="AU204" s="108"/>
      <c r="AV204" s="108"/>
      <c r="AW204" s="108"/>
      <c r="AX204" s="108"/>
      <c r="AY204" s="108"/>
      <c r="AZ204" s="108"/>
      <c r="BA204" s="108"/>
      <c r="BB204" s="108"/>
      <c r="BC204" s="108"/>
      <c r="BD204" s="108"/>
      <c r="BE204" s="108"/>
      <c r="BF204" s="108"/>
      <c r="BG204" s="108"/>
      <c r="BH204" s="108"/>
      <c r="BI204" s="108"/>
      <c r="BJ204" s="108"/>
      <c r="BK204" s="108"/>
      <c r="BL204" s="108"/>
      <c r="BM204" s="108"/>
      <c r="BN204" s="108"/>
      <c r="BO204" s="108"/>
      <c r="BP204" s="108"/>
      <c r="BQ204" s="108"/>
      <c r="BR204" s="108"/>
      <c r="CB204" s="191" t="str">
        <f>IF(AND(E204&gt;0,AA204="")," * No olvide digitar la variable Pueblos Originarios hombres (Digite Cero si no tiene).",IF(AA204&gt;E204," * La variable Pueblos Originarios hombres  no debe ser mayor que el Total de Hombres.",""))</f>
        <v xml:space="preserve"> * La variable Pueblos Originarios hombres  no debe ser mayor que el Total de Hombres.</v>
      </c>
      <c r="CC204" s="191" t="str">
        <f>IF(AND(F204&gt;0,AB204="")," * No olvide digitar la variable Pueblos Originarios Mujeres (Digite Cero si no tiene). Digite Cero si no tiene.",IF(AB204&gt;F204," * La variable Pueblos Originarios Mujeres no debe ser mayor que el Total de Mujeres",""))</f>
        <v xml:space="preserve"> * La variable Pueblos Originarios Mujeres no debe ser mayor que el Total de Mujeres</v>
      </c>
      <c r="CD204" s="191" t="str">
        <f>IF(AND(E204&gt;0,AC204="")," * No olvide digitar la variable Migrantes hombres (Digite Cero si no tiene).",IF(AC204&gt;E204," * La variable Migrantes hombres  no debe ser mayor que el Total de Hombres",""))</f>
        <v xml:space="preserve"> * La variable Migrantes hombres  no debe ser mayor que el Total de Hombres</v>
      </c>
      <c r="CE204" s="191" t="str">
        <f>IF(AND(F204&gt;0,AD204="")," * No olvide digitar la variable Migrantes Mujeres (Digite Cero si no tiene).",IF(AD204&gt;F204," * La variable Migrantes Mujeres no debe ser mayor que el Total de Mujeres",""))</f>
        <v xml:space="preserve"> * La variable Migrantes Mujeres no debe ser mayor que el Total de Mujeres</v>
      </c>
      <c r="CF204" s="191" t="str">
        <f>IF(AND(E204&gt;0,AE204="")," * No olvide digitar la variable Usuarios con Discapacidad hombres (Digite Cero si no tiene).",IF(AE204&gt;E204," * La variable Usuarios con Discapacidad hombres  no debe ser mayor que el Total de Hombres",""))</f>
        <v xml:space="preserve"> * La variable Usuarios con Discapacidad hombres  no debe ser mayor que el Total de Hombres</v>
      </c>
      <c r="CG204" s="191" t="str">
        <f>IF(AND(F204&gt;0,AF204="")," * No olvide digitar la variable Usuarios con Discapacidad  Mujeres (Digite Cero si no tiene).",IF(AF204&gt;F204," * La variable Usuarios con Discapacidad Mujeres no debe ser mayor que el Total de Mujeres",""))</f>
        <v xml:space="preserve"> * La variable Usuarios con Discapacidad Mujeres no debe ser mayor que el Total de Mujeres</v>
      </c>
      <c r="CH204" s="191" t="str">
        <f>IF(AND(E204&gt;0,AG204="")," * No olvide digitar la variable Niños, Niñas, adolescentes y jóvenes Mejor Niñez hombres (Digite Cero si no tiene).",IF(AG204&gt;E204,"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I204" s="191" t="str">
        <f>IF(AND(F204&gt;0,AH204="")," * No olvide digitar la variable Niños, Niñas, adolescentes y jóvenes Mejor Niñez Mujeres (Digite Cero si no tiene).",IF(AH204&gt;F204,"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CM204" s="108"/>
      <c r="CN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Q204" s="1047">
        <f t="shared" si="104"/>
        <v>1</v>
      </c>
      <c r="DR204" s="1047">
        <f t="shared" si="104"/>
        <v>1</v>
      </c>
      <c r="DS204" s="1047">
        <f t="shared" si="105"/>
        <v>1</v>
      </c>
      <c r="DT204" s="1047">
        <f t="shared" si="105"/>
        <v>1</v>
      </c>
      <c r="DU204" s="1047">
        <f t="shared" si="106"/>
        <v>1</v>
      </c>
      <c r="DV204" s="1047">
        <f t="shared" si="106"/>
        <v>1</v>
      </c>
      <c r="DW204" s="1047">
        <f t="shared" si="107"/>
        <v>1</v>
      </c>
      <c r="DX204" s="1047">
        <f t="shared" si="107"/>
        <v>1</v>
      </c>
    </row>
    <row r="205" spans="1:128" ht="15" customHeight="1" x14ac:dyDescent="0.25">
      <c r="A205" s="1589" t="s">
        <v>1156</v>
      </c>
      <c r="B205" s="1773"/>
      <c r="C205" s="763" t="s">
        <v>392</v>
      </c>
      <c r="D205" s="314" t="s">
        <v>1616</v>
      </c>
      <c r="E205" s="767" t="s">
        <v>1617</v>
      </c>
      <c r="F205" s="371" t="s">
        <v>1618</v>
      </c>
      <c r="G205" s="907" t="s">
        <v>1619</v>
      </c>
      <c r="H205" s="908" t="s">
        <v>1620</v>
      </c>
      <c r="I205" s="907" t="s">
        <v>1621</v>
      </c>
      <c r="J205" s="908" t="s">
        <v>1622</v>
      </c>
      <c r="K205" s="907" t="s">
        <v>1623</v>
      </c>
      <c r="L205" s="908" t="s">
        <v>1624</v>
      </c>
      <c r="M205" s="907" t="s">
        <v>1625</v>
      </c>
      <c r="N205" s="908" t="s">
        <v>1626</v>
      </c>
      <c r="O205" s="907" t="s">
        <v>1627</v>
      </c>
      <c r="P205" s="908" t="s">
        <v>1628</v>
      </c>
      <c r="Q205" s="907" t="s">
        <v>1629</v>
      </c>
      <c r="R205" s="908" t="s">
        <v>1630</v>
      </c>
      <c r="S205" s="907" t="s">
        <v>1631</v>
      </c>
      <c r="T205" s="908" t="s">
        <v>1632</v>
      </c>
      <c r="U205" s="907" t="s">
        <v>1633</v>
      </c>
      <c r="V205" s="908" t="s">
        <v>1634</v>
      </c>
      <c r="W205" s="907" t="s">
        <v>1635</v>
      </c>
      <c r="X205" s="908" t="s">
        <v>1636</v>
      </c>
      <c r="Y205" s="907" t="s">
        <v>1637</v>
      </c>
      <c r="Z205" s="909" t="s">
        <v>1638</v>
      </c>
      <c r="AA205" s="910" t="s">
        <v>1639</v>
      </c>
      <c r="AB205" s="908" t="s">
        <v>1640</v>
      </c>
      <c r="AC205" s="907" t="s">
        <v>1641</v>
      </c>
      <c r="AD205" s="908" t="s">
        <v>1642</v>
      </c>
      <c r="AE205" s="907" t="s">
        <v>1643</v>
      </c>
      <c r="AF205" s="908" t="s">
        <v>1644</v>
      </c>
      <c r="AG205" s="907" t="s">
        <v>1645</v>
      </c>
      <c r="AH205" s="908" t="s">
        <v>1646</v>
      </c>
      <c r="AI205" s="108" t="str">
        <f>CB205&amp;CC205&amp;CD205&amp;CE205&amp;CF205&amp;CG205&amp;CH205&amp;CI205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5" s="954"/>
      <c r="CB205" s="191" t="str">
        <f>IF(AND(E205&gt;0,AA205="")," * No olvide digitar la variable Pueblos Originarios hombres (Digite Cero si no tiene).",IF(AA205&gt;E205," * La variable Pueblos Originarios hombres  no debe ser mayor que el Total de Hombres.",""))</f>
        <v xml:space="preserve"> * La variable Pueblos Originarios hombres  no debe ser mayor que el Total de Hombres.</v>
      </c>
      <c r="CC205" s="191" t="str">
        <f>IF(AND(F205&gt;0,AB205="")," * No olvide digitar la variable Pueblos Originarios Mujeres (Digite Cero si no tiene). Digite Cero si no tiene.",IF(AB205&gt;F205," * La variable Pueblos Originarios Mujeres no debe ser mayor que el Total de Mujeres",""))</f>
        <v xml:space="preserve"> * La variable Pueblos Originarios Mujeres no debe ser mayor que el Total de Mujeres</v>
      </c>
      <c r="CD205" s="191" t="str">
        <f>IF(AND(E205&gt;0,AC205="")," * No olvide digitar la variable Migrantes hombres (Digite Cero si no tiene).",IF(AC205&gt;E205," * La variable Migrantes hombres  no debe ser mayor que el Total de Hombres",""))</f>
        <v xml:space="preserve"> * La variable Migrantes hombres  no debe ser mayor que el Total de Hombres</v>
      </c>
      <c r="CE205" s="191" t="str">
        <f>IF(AND(F205&gt;0,AD205="")," * No olvide digitar la variable Migrantes Mujeres (Digite Cero si no tiene).",IF(AD205&gt;F205," * La variable Migrantes Mujeres no debe ser mayor que el Total de Mujeres",""))</f>
        <v xml:space="preserve"> * La variable Migrantes Mujeres no debe ser mayor que el Total de Mujeres</v>
      </c>
      <c r="CF205" s="191" t="str">
        <f>IF(AND(E205&gt;0,AE205="")," * No olvide digitar la variable Usuarios con Discapacidad hombres (Digite Cero si no tiene).",IF(AE205&gt;E205," * La variable Usuarios con Discapacidad hombres  no debe ser mayor que el Total de Hombres",""))</f>
        <v xml:space="preserve"> * La variable Usuarios con Discapacidad hombres  no debe ser mayor que el Total de Hombres</v>
      </c>
      <c r="CG205" s="191" t="str">
        <f>IF(AND(F205&gt;0,AF205="")," * No olvide digitar la variable Usuarios con Discapacidad  Mujeres (Digite Cero si no tiene).",IF(AF205&gt;F205," * La variable Usuarios con Discapacidad Mujeres no debe ser mayor que el Total de Mujeres",""))</f>
        <v xml:space="preserve"> * La variable Usuarios con Discapacidad Mujeres no debe ser mayor que el Total de Mujeres</v>
      </c>
      <c r="CH205" s="191" t="str">
        <f>IF(AND(E205&gt;0,AG205="")," * No olvide digitar la variable Niños, Niñas, adolescentes y jóvenes Mejor Niñez hombres (Digite Cero si no tiene).",IF(AG205&gt;E205,"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I205" s="191" t="str">
        <f>IF(AND(F205&gt;0,AH205="")," * No olvide digitar la variable Niños, Niñas, adolescentes y jóvenes Mejor Niñez Mujeres (Digite Cero si no tiene).",IF(AH205&gt;F205,"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CM205" s="108"/>
      <c r="CN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Q205" s="1047">
        <f t="shared" si="104"/>
        <v>1</v>
      </c>
      <c r="DR205" s="1047">
        <f t="shared" si="104"/>
        <v>1</v>
      </c>
      <c r="DS205" s="1047">
        <f t="shared" si="105"/>
        <v>1</v>
      </c>
      <c r="DT205" s="1047">
        <f t="shared" si="105"/>
        <v>1</v>
      </c>
      <c r="DU205" s="1047">
        <f t="shared" si="106"/>
        <v>1</v>
      </c>
      <c r="DV205" s="1047">
        <f t="shared" si="106"/>
        <v>1</v>
      </c>
      <c r="DW205" s="1047">
        <f t="shared" si="107"/>
        <v>1</v>
      </c>
      <c r="DX205" s="1047">
        <f t="shared" si="107"/>
        <v>1</v>
      </c>
    </row>
    <row r="206" spans="1:128" ht="15" customHeight="1" x14ac:dyDescent="0.25">
      <c r="A206" s="1578"/>
      <c r="B206" s="1774"/>
      <c r="C206" s="1459" t="s">
        <v>89</v>
      </c>
      <c r="D206" s="1444">
        <f>SUM(E206:F206)</f>
        <v>0</v>
      </c>
      <c r="E206" s="1234">
        <f>+G206+I206+K206+M206+O206+Q206+S206+U206+W206+Y206</f>
        <v>0</v>
      </c>
      <c r="F206" s="1455">
        <f>+H206+J206+L206+N206+P206+R206+T206+V206+X206+Z206</f>
        <v>0</v>
      </c>
      <c r="G206" s="1234">
        <f>SUM(G204:G205)</f>
        <v>0</v>
      </c>
      <c r="H206" s="1455">
        <f t="shared" ref="H206:AH206" si="108">SUM(H204:H205)</f>
        <v>0</v>
      </c>
      <c r="I206" s="1234">
        <f t="shared" si="108"/>
        <v>0</v>
      </c>
      <c r="J206" s="1455">
        <f t="shared" si="108"/>
        <v>0</v>
      </c>
      <c r="K206" s="1234">
        <f t="shared" si="108"/>
        <v>0</v>
      </c>
      <c r="L206" s="1455">
        <f t="shared" si="108"/>
        <v>0</v>
      </c>
      <c r="M206" s="1234">
        <f t="shared" si="108"/>
        <v>0</v>
      </c>
      <c r="N206" s="1455">
        <f t="shared" si="108"/>
        <v>0</v>
      </c>
      <c r="O206" s="1234">
        <f t="shared" si="108"/>
        <v>0</v>
      </c>
      <c r="P206" s="1455">
        <f t="shared" si="108"/>
        <v>0</v>
      </c>
      <c r="Q206" s="1234">
        <f t="shared" si="108"/>
        <v>0</v>
      </c>
      <c r="R206" s="1455">
        <f t="shared" si="108"/>
        <v>0</v>
      </c>
      <c r="S206" s="1234">
        <f t="shared" si="108"/>
        <v>0</v>
      </c>
      <c r="T206" s="1455">
        <f t="shared" si="108"/>
        <v>0</v>
      </c>
      <c r="U206" s="1234">
        <f t="shared" si="108"/>
        <v>0</v>
      </c>
      <c r="V206" s="1455">
        <f t="shared" si="108"/>
        <v>0</v>
      </c>
      <c r="W206" s="1234">
        <f t="shared" si="108"/>
        <v>0</v>
      </c>
      <c r="X206" s="1455">
        <f t="shared" si="108"/>
        <v>0</v>
      </c>
      <c r="Y206" s="1234">
        <f>SUM(Y204:Y205)</f>
        <v>0</v>
      </c>
      <c r="Z206" s="1235">
        <f t="shared" si="108"/>
        <v>0</v>
      </c>
      <c r="AA206" s="335">
        <f t="shared" si="108"/>
        <v>0</v>
      </c>
      <c r="AB206" s="1455">
        <f t="shared" si="108"/>
        <v>0</v>
      </c>
      <c r="AC206" s="1234">
        <f t="shared" si="108"/>
        <v>0</v>
      </c>
      <c r="AD206" s="1455">
        <f t="shared" si="108"/>
        <v>0</v>
      </c>
      <c r="AE206" s="1234">
        <f t="shared" si="108"/>
        <v>0</v>
      </c>
      <c r="AF206" s="1455">
        <f>SUM(AF204:AF205)</f>
        <v>0</v>
      </c>
      <c r="AG206" s="1234">
        <f t="shared" si="108"/>
        <v>0</v>
      </c>
      <c r="AH206" s="1455">
        <f t="shared" si="108"/>
        <v>0</v>
      </c>
      <c r="AI206" s="108"/>
      <c r="AJ206" s="955"/>
      <c r="CM206" s="108"/>
      <c r="CN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</row>
    <row r="207" spans="1:128" ht="15" customHeight="1" x14ac:dyDescent="0.25">
      <c r="A207" s="1589" t="s">
        <v>1157</v>
      </c>
      <c r="B207" s="1775" t="s">
        <v>393</v>
      </c>
      <c r="C207" s="764">
        <v>0</v>
      </c>
      <c r="D207" s="321" t="s">
        <v>1616</v>
      </c>
      <c r="E207" s="363" t="s">
        <v>1617</v>
      </c>
      <c r="F207" s="364" t="s">
        <v>1618</v>
      </c>
      <c r="G207" s="903" t="s">
        <v>1619</v>
      </c>
      <c r="H207" s="904" t="s">
        <v>1620</v>
      </c>
      <c r="I207" s="903" t="s">
        <v>1621</v>
      </c>
      <c r="J207" s="904" t="s">
        <v>1622</v>
      </c>
      <c r="K207" s="903" t="s">
        <v>1623</v>
      </c>
      <c r="L207" s="904" t="s">
        <v>1624</v>
      </c>
      <c r="M207" s="903" t="s">
        <v>1625</v>
      </c>
      <c r="N207" s="904" t="s">
        <v>1626</v>
      </c>
      <c r="O207" s="903" t="s">
        <v>1627</v>
      </c>
      <c r="P207" s="904" t="s">
        <v>1628</v>
      </c>
      <c r="Q207" s="903" t="s">
        <v>1629</v>
      </c>
      <c r="R207" s="904" t="s">
        <v>1630</v>
      </c>
      <c r="S207" s="903" t="s">
        <v>1631</v>
      </c>
      <c r="T207" s="904" t="s">
        <v>1632</v>
      </c>
      <c r="U207" s="903" t="s">
        <v>1633</v>
      </c>
      <c r="V207" s="904" t="s">
        <v>1634</v>
      </c>
      <c r="W207" s="903" t="s">
        <v>1635</v>
      </c>
      <c r="X207" s="904" t="s">
        <v>1636</v>
      </c>
      <c r="Y207" s="903" t="s">
        <v>1637</v>
      </c>
      <c r="Z207" s="905" t="s">
        <v>1638</v>
      </c>
      <c r="AA207" s="906" t="s">
        <v>1639</v>
      </c>
      <c r="AB207" s="904" t="s">
        <v>1640</v>
      </c>
      <c r="AC207" s="903" t="s">
        <v>1641</v>
      </c>
      <c r="AD207" s="904" t="s">
        <v>1642</v>
      </c>
      <c r="AE207" s="903" t="s">
        <v>1643</v>
      </c>
      <c r="AF207" s="904" t="s">
        <v>1644</v>
      </c>
      <c r="AG207" s="903" t="s">
        <v>1645</v>
      </c>
      <c r="AH207" s="904" t="s">
        <v>1646</v>
      </c>
      <c r="AI207" s="108" t="str">
        <f t="shared" ref="AI207:AI212" si="109">CB207&amp;CC207&amp;CD207&amp;CE207&amp;CF207&amp;CG207&amp;CH207&amp;CI207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7" s="954"/>
      <c r="CB207" s="191" t="str">
        <f t="shared" ref="CB207:CB212" si="110">IF(AND(E207&gt;0,AA207="")," * No olvide digitar la variable Pueblos Originarios hombres (Digite Cero si no tiene).",IF(AA207&gt;E207," * La variable Pueblos Originarios hombres  no debe ser mayor que el Total de Hombres.",""))</f>
        <v xml:space="preserve"> * La variable Pueblos Originarios hombres  no debe ser mayor que el Total de Hombres.</v>
      </c>
      <c r="CC207" s="191" t="str">
        <f t="shared" ref="CC207:CC212" si="111">IF(AND(F207&gt;0,AB207="")," * No olvide digitar la variable Pueblos Originarios Mujeres (Digite Cero si no tiene). Digite Cero si no tiene.",IF(AB207&gt;F207," * La variable Pueblos Originarios Mujeres no debe ser mayor que el Total de Mujeres",""))</f>
        <v xml:space="preserve"> * La variable Pueblos Originarios Mujeres no debe ser mayor que el Total de Mujeres</v>
      </c>
      <c r="CD207" s="191" t="str">
        <f t="shared" ref="CD207:CD212" si="112">IF(AND(E207&gt;0,AC207="")," * No olvide digitar la variable Migrantes hombres (Digite Cero si no tiene).",IF(AC207&gt;E207," * La variable Migrantes hombres  no debe ser mayor que el Total de Hombres",""))</f>
        <v xml:space="preserve"> * La variable Migrantes hombres  no debe ser mayor que el Total de Hombres</v>
      </c>
      <c r="CE207" s="191" t="str">
        <f t="shared" ref="CE207:CE212" si="113">IF(AND(F207&gt;0,AD207="")," * No olvide digitar la variable Migrantes Mujeres (Digite Cero si no tiene).",IF(AD207&gt;F207," * La variable Migrantes Mujeres no debe ser mayor que el Total de Mujeres",""))</f>
        <v xml:space="preserve"> * La variable Migrantes Mujeres no debe ser mayor que el Total de Mujeres</v>
      </c>
      <c r="CF207" s="191" t="str">
        <f t="shared" ref="CF207:CF212" si="114">IF(AND(E207&gt;0,AE207="")," * No olvide digitar la variable Usuarios con Discapacidad hombres (Digite Cero si no tiene).",IF(AE207&gt;E207," * La variable Usuarios con Discapacidad hombres  no debe ser mayor que el Total de Hombres",""))</f>
        <v xml:space="preserve"> * La variable Usuarios con Discapacidad hombres  no debe ser mayor que el Total de Hombres</v>
      </c>
      <c r="CG207" s="191" t="str">
        <f t="shared" ref="CG207:CG212" si="115">IF(AND(F207&gt;0,AF207="")," * No olvide digitar la variable Usuarios con Discapacidad  Mujeres (Digite Cero si no tiene).",IF(AF207&gt;F207," * La variable Usuarios con Discapacidad Mujeres no debe ser mayor que el Total de Mujeres",""))</f>
        <v xml:space="preserve"> * La variable Usuarios con Discapacidad Mujeres no debe ser mayor que el Total de Mujeres</v>
      </c>
      <c r="CH207" s="191" t="str">
        <f t="shared" ref="CH207:CH212" si="116">IF(AND(E207&gt;0,AG207="")," * No olvide digitar la variable Niños, Niñas, adolescentes y jóvenes Mejor Niñez hombres (Digite Cero si no tiene).",IF(AG207&gt;E207,"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I207" s="191" t="str">
        <f t="shared" ref="CI207:CI212" si="117">IF(AND(F207&gt;0,AH207="")," * No olvide digitar la variable Niños, Niñas, adolescentes y jóvenes Mejor Niñez Mujeres (Digite Cero si no tiene).",IF(AH207&gt;F207,"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CM207" s="108"/>
      <c r="CN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Q207" s="1047">
        <f t="shared" ref="DQ207:DR212" si="118">IF(AND(E207&gt;0,AA207=""),1,IF(AA207&gt;E207,1,0))</f>
        <v>1</v>
      </c>
      <c r="DR207" s="1047">
        <f t="shared" si="118"/>
        <v>1</v>
      </c>
      <c r="DS207" s="1047">
        <f t="shared" ref="DS207:DT212" si="119">IF(AND(E207&gt;0,AC207=""),1,IF(AC207&gt;E207,1,0))</f>
        <v>1</v>
      </c>
      <c r="DT207" s="1047">
        <f t="shared" si="119"/>
        <v>1</v>
      </c>
      <c r="DU207" s="1047">
        <f t="shared" ref="DU207:DV212" si="120">IF(AND(E207&gt;0,AE207=""),1,IF(AE207&gt;E207,1,0))</f>
        <v>1</v>
      </c>
      <c r="DV207" s="1047">
        <f t="shared" si="120"/>
        <v>1</v>
      </c>
      <c r="DW207" s="1047">
        <f t="shared" ref="DW207:DX212" si="121">IF(AND(E207&gt;0,AG207=""),1,IF(AG207&gt;E207,1,0))</f>
        <v>1</v>
      </c>
      <c r="DX207" s="1047">
        <f t="shared" si="121"/>
        <v>1</v>
      </c>
    </row>
    <row r="208" spans="1:128" ht="15" customHeight="1" x14ac:dyDescent="0.25">
      <c r="A208" s="1589" t="s">
        <v>1158</v>
      </c>
      <c r="B208" s="1773"/>
      <c r="C208" s="765" t="s">
        <v>394</v>
      </c>
      <c r="D208" s="353" t="s">
        <v>1616</v>
      </c>
      <c r="E208" s="365" t="s">
        <v>1617</v>
      </c>
      <c r="F208" s="366" t="s">
        <v>1618</v>
      </c>
      <c r="G208" s="911" t="s">
        <v>1619</v>
      </c>
      <c r="H208" s="912" t="s">
        <v>1620</v>
      </c>
      <c r="I208" s="911" t="s">
        <v>1621</v>
      </c>
      <c r="J208" s="912" t="s">
        <v>1622</v>
      </c>
      <c r="K208" s="911" t="s">
        <v>1623</v>
      </c>
      <c r="L208" s="912" t="s">
        <v>1624</v>
      </c>
      <c r="M208" s="911" t="s">
        <v>1625</v>
      </c>
      <c r="N208" s="912" t="s">
        <v>1626</v>
      </c>
      <c r="O208" s="911" t="s">
        <v>1627</v>
      </c>
      <c r="P208" s="912" t="s">
        <v>1628</v>
      </c>
      <c r="Q208" s="911" t="s">
        <v>1629</v>
      </c>
      <c r="R208" s="912" t="s">
        <v>1630</v>
      </c>
      <c r="S208" s="911" t="s">
        <v>1631</v>
      </c>
      <c r="T208" s="912" t="s">
        <v>1632</v>
      </c>
      <c r="U208" s="911" t="s">
        <v>1633</v>
      </c>
      <c r="V208" s="912" t="s">
        <v>1634</v>
      </c>
      <c r="W208" s="911" t="s">
        <v>1635</v>
      </c>
      <c r="X208" s="912" t="s">
        <v>1636</v>
      </c>
      <c r="Y208" s="911" t="s">
        <v>1637</v>
      </c>
      <c r="Z208" s="913" t="s">
        <v>1638</v>
      </c>
      <c r="AA208" s="914" t="s">
        <v>1639</v>
      </c>
      <c r="AB208" s="912" t="s">
        <v>1640</v>
      </c>
      <c r="AC208" s="911" t="s">
        <v>1641</v>
      </c>
      <c r="AD208" s="912" t="s">
        <v>1642</v>
      </c>
      <c r="AE208" s="911" t="s">
        <v>1643</v>
      </c>
      <c r="AF208" s="912" t="s">
        <v>1644</v>
      </c>
      <c r="AG208" s="911" t="s">
        <v>1645</v>
      </c>
      <c r="AH208" s="912" t="s">
        <v>1646</v>
      </c>
      <c r="AI208" s="108" t="str">
        <f t="shared" si="109"/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8" s="954"/>
      <c r="CB208" s="191" t="str">
        <f t="shared" si="110"/>
        <v xml:space="preserve"> * La variable Pueblos Originarios hombres  no debe ser mayor que el Total de Hombres.</v>
      </c>
      <c r="CC208" s="191" t="str">
        <f t="shared" si="111"/>
        <v xml:space="preserve"> * La variable Pueblos Originarios Mujeres no debe ser mayor que el Total de Mujeres</v>
      </c>
      <c r="CD208" s="191" t="str">
        <f t="shared" si="112"/>
        <v xml:space="preserve"> * La variable Migrantes hombres  no debe ser mayor que el Total de Hombres</v>
      </c>
      <c r="CE208" s="191" t="str">
        <f t="shared" si="113"/>
        <v xml:space="preserve"> * La variable Migrantes Mujeres no debe ser mayor que el Total de Mujeres</v>
      </c>
      <c r="CF208" s="191" t="str">
        <f t="shared" si="114"/>
        <v xml:space="preserve"> * La variable Usuarios con Discapacidad hombres  no debe ser mayor que el Total de Hombres</v>
      </c>
      <c r="CG208" s="191" t="str">
        <f t="shared" si="115"/>
        <v xml:space="preserve"> * La variable Usuarios con Discapacidad Mujeres no debe ser mayor que el Total de Mujeres</v>
      </c>
      <c r="CH208" s="191" t="str">
        <f t="shared" si="116"/>
        <v xml:space="preserve"> * La variable Niños, Niñas, adolescentes y jóvenes Mejor Niñez hombres  no debe ser mayor que el Total de Hombres</v>
      </c>
      <c r="CI208" s="191" t="str">
        <f t="shared" si="117"/>
        <v xml:space="preserve"> * La variable Niños, Niñas, adolescentes y jóvenes Mejor Niñez Mujeres no debe ser mayor que el Total de Mujeres</v>
      </c>
      <c r="CM208" s="108"/>
      <c r="CN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Q208" s="1047">
        <f t="shared" si="118"/>
        <v>1</v>
      </c>
      <c r="DR208" s="1047">
        <f t="shared" si="118"/>
        <v>1</v>
      </c>
      <c r="DS208" s="1047">
        <f t="shared" si="119"/>
        <v>1</v>
      </c>
      <c r="DT208" s="1047">
        <f t="shared" si="119"/>
        <v>1</v>
      </c>
      <c r="DU208" s="1047">
        <f t="shared" si="120"/>
        <v>1</v>
      </c>
      <c r="DV208" s="1047">
        <f t="shared" si="120"/>
        <v>1</v>
      </c>
      <c r="DW208" s="1047">
        <f t="shared" si="121"/>
        <v>1</v>
      </c>
      <c r="DX208" s="1047">
        <f t="shared" si="121"/>
        <v>1</v>
      </c>
    </row>
    <row r="209" spans="1:128" ht="15" customHeight="1" x14ac:dyDescent="0.25">
      <c r="A209" s="1589" t="s">
        <v>1159</v>
      </c>
      <c r="B209" s="1773"/>
      <c r="C209" s="765" t="s">
        <v>395</v>
      </c>
      <c r="D209" s="353" t="s">
        <v>1616</v>
      </c>
      <c r="E209" s="365" t="s">
        <v>1617</v>
      </c>
      <c r="F209" s="366" t="s">
        <v>1618</v>
      </c>
      <c r="G209" s="911" t="s">
        <v>1619</v>
      </c>
      <c r="H209" s="912" t="s">
        <v>1620</v>
      </c>
      <c r="I209" s="911" t="s">
        <v>1621</v>
      </c>
      <c r="J209" s="912" t="s">
        <v>1622</v>
      </c>
      <c r="K209" s="911" t="s">
        <v>1623</v>
      </c>
      <c r="L209" s="912" t="s">
        <v>1624</v>
      </c>
      <c r="M209" s="911" t="s">
        <v>1625</v>
      </c>
      <c r="N209" s="912" t="s">
        <v>1626</v>
      </c>
      <c r="O209" s="911" t="s">
        <v>1627</v>
      </c>
      <c r="P209" s="912" t="s">
        <v>1628</v>
      </c>
      <c r="Q209" s="911" t="s">
        <v>1629</v>
      </c>
      <c r="R209" s="912" t="s">
        <v>1630</v>
      </c>
      <c r="S209" s="911" t="s">
        <v>1631</v>
      </c>
      <c r="T209" s="912" t="s">
        <v>1632</v>
      </c>
      <c r="U209" s="911" t="s">
        <v>1633</v>
      </c>
      <c r="V209" s="912" t="s">
        <v>1634</v>
      </c>
      <c r="W209" s="911" t="s">
        <v>1635</v>
      </c>
      <c r="X209" s="912" t="s">
        <v>1636</v>
      </c>
      <c r="Y209" s="911" t="s">
        <v>1637</v>
      </c>
      <c r="Z209" s="913" t="s">
        <v>1638</v>
      </c>
      <c r="AA209" s="914" t="s">
        <v>1639</v>
      </c>
      <c r="AB209" s="912" t="s">
        <v>1640</v>
      </c>
      <c r="AC209" s="911" t="s">
        <v>1641</v>
      </c>
      <c r="AD209" s="912" t="s">
        <v>1642</v>
      </c>
      <c r="AE209" s="911" t="s">
        <v>1643</v>
      </c>
      <c r="AF209" s="912" t="s">
        <v>1644</v>
      </c>
      <c r="AG209" s="911" t="s">
        <v>1645</v>
      </c>
      <c r="AH209" s="912" t="s">
        <v>1646</v>
      </c>
      <c r="AI209" s="108" t="str">
        <f t="shared" si="109"/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9" s="954"/>
      <c r="CB209" s="191" t="str">
        <f t="shared" si="110"/>
        <v xml:space="preserve"> * La variable Pueblos Originarios hombres  no debe ser mayor que el Total de Hombres.</v>
      </c>
      <c r="CC209" s="191" t="str">
        <f t="shared" si="111"/>
        <v xml:space="preserve"> * La variable Pueblos Originarios Mujeres no debe ser mayor que el Total de Mujeres</v>
      </c>
      <c r="CD209" s="191" t="str">
        <f t="shared" si="112"/>
        <v xml:space="preserve"> * La variable Migrantes hombres  no debe ser mayor que el Total de Hombres</v>
      </c>
      <c r="CE209" s="191" t="str">
        <f t="shared" si="113"/>
        <v xml:space="preserve"> * La variable Migrantes Mujeres no debe ser mayor que el Total de Mujeres</v>
      </c>
      <c r="CF209" s="191" t="str">
        <f t="shared" si="114"/>
        <v xml:space="preserve"> * La variable Usuarios con Discapacidad hombres  no debe ser mayor que el Total de Hombres</v>
      </c>
      <c r="CG209" s="191" t="str">
        <f t="shared" si="115"/>
        <v xml:space="preserve"> * La variable Usuarios con Discapacidad Mujeres no debe ser mayor que el Total de Mujeres</v>
      </c>
      <c r="CH209" s="191" t="str">
        <f t="shared" si="116"/>
        <v xml:space="preserve"> * La variable Niños, Niñas, adolescentes y jóvenes Mejor Niñez hombres  no debe ser mayor que el Total de Hombres</v>
      </c>
      <c r="CI209" s="191" t="str">
        <f t="shared" si="117"/>
        <v xml:space="preserve"> * La variable Niños, Niñas, adolescentes y jóvenes Mejor Niñez Mujeres no debe ser mayor que el Total de Mujeres</v>
      </c>
      <c r="CM209" s="108"/>
      <c r="CN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Q209" s="1047">
        <f t="shared" si="118"/>
        <v>1</v>
      </c>
      <c r="DR209" s="1047">
        <f t="shared" si="118"/>
        <v>1</v>
      </c>
      <c r="DS209" s="1047">
        <f t="shared" si="119"/>
        <v>1</v>
      </c>
      <c r="DT209" s="1047">
        <f t="shared" si="119"/>
        <v>1</v>
      </c>
      <c r="DU209" s="1047">
        <f t="shared" si="120"/>
        <v>1</v>
      </c>
      <c r="DV209" s="1047">
        <f t="shared" si="120"/>
        <v>1</v>
      </c>
      <c r="DW209" s="1047">
        <f t="shared" si="121"/>
        <v>1</v>
      </c>
      <c r="DX209" s="1047">
        <f t="shared" si="121"/>
        <v>1</v>
      </c>
    </row>
    <row r="210" spans="1:128" ht="15" customHeight="1" x14ac:dyDescent="0.25">
      <c r="A210" s="1589" t="s">
        <v>1160</v>
      </c>
      <c r="B210" s="1773"/>
      <c r="C210" s="765" t="s">
        <v>396</v>
      </c>
      <c r="D210" s="353" t="s">
        <v>1616</v>
      </c>
      <c r="E210" s="365" t="s">
        <v>1617</v>
      </c>
      <c r="F210" s="366" t="s">
        <v>1618</v>
      </c>
      <c r="G210" s="911" t="s">
        <v>1619</v>
      </c>
      <c r="H210" s="912" t="s">
        <v>1620</v>
      </c>
      <c r="I210" s="911" t="s">
        <v>1621</v>
      </c>
      <c r="J210" s="912" t="s">
        <v>1622</v>
      </c>
      <c r="K210" s="911" t="s">
        <v>1623</v>
      </c>
      <c r="L210" s="912" t="s">
        <v>1624</v>
      </c>
      <c r="M210" s="911" t="s">
        <v>1625</v>
      </c>
      <c r="N210" s="912" t="s">
        <v>1626</v>
      </c>
      <c r="O210" s="911" t="s">
        <v>1627</v>
      </c>
      <c r="P210" s="912" t="s">
        <v>1628</v>
      </c>
      <c r="Q210" s="911" t="s">
        <v>1629</v>
      </c>
      <c r="R210" s="912" t="s">
        <v>1630</v>
      </c>
      <c r="S210" s="911" t="s">
        <v>1631</v>
      </c>
      <c r="T210" s="912" t="s">
        <v>1632</v>
      </c>
      <c r="U210" s="911" t="s">
        <v>1633</v>
      </c>
      <c r="V210" s="912" t="s">
        <v>1634</v>
      </c>
      <c r="W210" s="911" t="s">
        <v>1635</v>
      </c>
      <c r="X210" s="912" t="s">
        <v>1636</v>
      </c>
      <c r="Y210" s="911" t="s">
        <v>1637</v>
      </c>
      <c r="Z210" s="913" t="s">
        <v>1638</v>
      </c>
      <c r="AA210" s="914" t="s">
        <v>1639</v>
      </c>
      <c r="AB210" s="912" t="s">
        <v>1640</v>
      </c>
      <c r="AC210" s="911" t="s">
        <v>1641</v>
      </c>
      <c r="AD210" s="912" t="s">
        <v>1642</v>
      </c>
      <c r="AE210" s="911" t="s">
        <v>1643</v>
      </c>
      <c r="AF210" s="912" t="s">
        <v>1644</v>
      </c>
      <c r="AG210" s="911" t="s">
        <v>1645</v>
      </c>
      <c r="AH210" s="912" t="s">
        <v>1646</v>
      </c>
      <c r="AI210" s="108" t="str">
        <f t="shared" si="109"/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10" s="954"/>
      <c r="CB210" s="191" t="str">
        <f t="shared" si="110"/>
        <v xml:space="preserve"> * La variable Pueblos Originarios hombres  no debe ser mayor que el Total de Hombres.</v>
      </c>
      <c r="CC210" s="191" t="str">
        <f t="shared" si="111"/>
        <v xml:space="preserve"> * La variable Pueblos Originarios Mujeres no debe ser mayor que el Total de Mujeres</v>
      </c>
      <c r="CD210" s="191" t="str">
        <f t="shared" si="112"/>
        <v xml:space="preserve"> * La variable Migrantes hombres  no debe ser mayor que el Total de Hombres</v>
      </c>
      <c r="CE210" s="191" t="str">
        <f t="shared" si="113"/>
        <v xml:space="preserve"> * La variable Migrantes Mujeres no debe ser mayor que el Total de Mujeres</v>
      </c>
      <c r="CF210" s="191" t="str">
        <f t="shared" si="114"/>
        <v xml:space="preserve"> * La variable Usuarios con Discapacidad hombres  no debe ser mayor que el Total de Hombres</v>
      </c>
      <c r="CG210" s="191" t="str">
        <f t="shared" si="115"/>
        <v xml:space="preserve"> * La variable Usuarios con Discapacidad Mujeres no debe ser mayor que el Total de Mujeres</v>
      </c>
      <c r="CH210" s="191" t="str">
        <f t="shared" si="116"/>
        <v xml:space="preserve"> * La variable Niños, Niñas, adolescentes y jóvenes Mejor Niñez hombres  no debe ser mayor que el Total de Hombres</v>
      </c>
      <c r="CI210" s="191" t="str">
        <f t="shared" si="117"/>
        <v xml:space="preserve"> * La variable Niños, Niñas, adolescentes y jóvenes Mejor Niñez Mujeres no debe ser mayor que el Total de Mujeres</v>
      </c>
      <c r="CM210" s="108"/>
      <c r="CN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Q210" s="1047">
        <f t="shared" si="118"/>
        <v>1</v>
      </c>
      <c r="DR210" s="1047">
        <f t="shared" si="118"/>
        <v>1</v>
      </c>
      <c r="DS210" s="1047">
        <f t="shared" si="119"/>
        <v>1</v>
      </c>
      <c r="DT210" s="1047">
        <f t="shared" si="119"/>
        <v>1</v>
      </c>
      <c r="DU210" s="1047">
        <f t="shared" si="120"/>
        <v>1</v>
      </c>
      <c r="DV210" s="1047">
        <f t="shared" si="120"/>
        <v>1</v>
      </c>
      <c r="DW210" s="1047">
        <f t="shared" si="121"/>
        <v>1</v>
      </c>
      <c r="DX210" s="1047">
        <f t="shared" si="121"/>
        <v>1</v>
      </c>
    </row>
    <row r="211" spans="1:128" ht="15" customHeight="1" x14ac:dyDescent="0.25">
      <c r="A211" s="1589" t="s">
        <v>1161</v>
      </c>
      <c r="B211" s="1773"/>
      <c r="C211" s="766" t="s">
        <v>397</v>
      </c>
      <c r="D211" s="378" t="s">
        <v>1616</v>
      </c>
      <c r="E211" s="747" t="s">
        <v>1617</v>
      </c>
      <c r="F211" s="704" t="s">
        <v>1618</v>
      </c>
      <c r="G211" s="915" t="s">
        <v>1619</v>
      </c>
      <c r="H211" s="916" t="s">
        <v>1620</v>
      </c>
      <c r="I211" s="915" t="s">
        <v>1621</v>
      </c>
      <c r="J211" s="916" t="s">
        <v>1622</v>
      </c>
      <c r="K211" s="915" t="s">
        <v>1623</v>
      </c>
      <c r="L211" s="916" t="s">
        <v>1624</v>
      </c>
      <c r="M211" s="915" t="s">
        <v>1625</v>
      </c>
      <c r="N211" s="916" t="s">
        <v>1626</v>
      </c>
      <c r="O211" s="915" t="s">
        <v>1627</v>
      </c>
      <c r="P211" s="916" t="s">
        <v>1628</v>
      </c>
      <c r="Q211" s="915" t="s">
        <v>1629</v>
      </c>
      <c r="R211" s="916" t="s">
        <v>1630</v>
      </c>
      <c r="S211" s="915" t="s">
        <v>1631</v>
      </c>
      <c r="T211" s="916" t="s">
        <v>1632</v>
      </c>
      <c r="U211" s="915" t="s">
        <v>1633</v>
      </c>
      <c r="V211" s="916" t="s">
        <v>1634</v>
      </c>
      <c r="W211" s="915" t="s">
        <v>1635</v>
      </c>
      <c r="X211" s="916" t="s">
        <v>1636</v>
      </c>
      <c r="Y211" s="915" t="s">
        <v>1637</v>
      </c>
      <c r="Z211" s="917" t="s">
        <v>1638</v>
      </c>
      <c r="AA211" s="918" t="s">
        <v>1639</v>
      </c>
      <c r="AB211" s="916" t="s">
        <v>1640</v>
      </c>
      <c r="AC211" s="915" t="s">
        <v>1641</v>
      </c>
      <c r="AD211" s="916" t="s">
        <v>1642</v>
      </c>
      <c r="AE211" s="915" t="s">
        <v>1643</v>
      </c>
      <c r="AF211" s="916" t="s">
        <v>1644</v>
      </c>
      <c r="AG211" s="915" t="s">
        <v>1645</v>
      </c>
      <c r="AH211" s="916" t="s">
        <v>1646</v>
      </c>
      <c r="AI211" s="108" t="str">
        <f t="shared" si="109"/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11" s="954"/>
      <c r="CB211" s="191" t="str">
        <f t="shared" si="110"/>
        <v xml:space="preserve"> * La variable Pueblos Originarios hombres  no debe ser mayor que el Total de Hombres.</v>
      </c>
      <c r="CC211" s="191" t="str">
        <f t="shared" si="111"/>
        <v xml:space="preserve"> * La variable Pueblos Originarios Mujeres no debe ser mayor que el Total de Mujeres</v>
      </c>
      <c r="CD211" s="191" t="str">
        <f t="shared" si="112"/>
        <v xml:space="preserve"> * La variable Migrantes hombres  no debe ser mayor que el Total de Hombres</v>
      </c>
      <c r="CE211" s="191" t="str">
        <f t="shared" si="113"/>
        <v xml:space="preserve"> * La variable Migrantes Mujeres no debe ser mayor que el Total de Mujeres</v>
      </c>
      <c r="CF211" s="191" t="str">
        <f t="shared" si="114"/>
        <v xml:space="preserve"> * La variable Usuarios con Discapacidad hombres  no debe ser mayor que el Total de Hombres</v>
      </c>
      <c r="CG211" s="191" t="str">
        <f t="shared" si="115"/>
        <v xml:space="preserve"> * La variable Usuarios con Discapacidad Mujeres no debe ser mayor que el Total de Mujeres</v>
      </c>
      <c r="CH211" s="191" t="str">
        <f t="shared" si="116"/>
        <v xml:space="preserve"> * La variable Niños, Niñas, adolescentes y jóvenes Mejor Niñez hombres  no debe ser mayor que el Total de Hombres</v>
      </c>
      <c r="CI211" s="191" t="str">
        <f t="shared" si="117"/>
        <v xml:space="preserve"> * La variable Niños, Niñas, adolescentes y jóvenes Mejor Niñez Mujeres no debe ser mayor que el Total de Mujeres</v>
      </c>
      <c r="CM211" s="108"/>
      <c r="CN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Q211" s="1047">
        <f t="shared" si="118"/>
        <v>1</v>
      </c>
      <c r="DR211" s="1047">
        <f t="shared" si="118"/>
        <v>1</v>
      </c>
      <c r="DS211" s="1047">
        <f t="shared" si="119"/>
        <v>1</v>
      </c>
      <c r="DT211" s="1047">
        <f t="shared" si="119"/>
        <v>1</v>
      </c>
      <c r="DU211" s="1047">
        <f t="shared" si="120"/>
        <v>1</v>
      </c>
      <c r="DV211" s="1047">
        <f t="shared" si="120"/>
        <v>1</v>
      </c>
      <c r="DW211" s="1047">
        <f t="shared" si="121"/>
        <v>1</v>
      </c>
      <c r="DX211" s="1047">
        <f t="shared" si="121"/>
        <v>1</v>
      </c>
    </row>
    <row r="212" spans="1:128" ht="15" customHeight="1" x14ac:dyDescent="0.25">
      <c r="A212" s="1589" t="s">
        <v>1162</v>
      </c>
      <c r="B212" s="1773"/>
      <c r="C212" s="1472" t="s">
        <v>398</v>
      </c>
      <c r="D212" s="1444" t="s">
        <v>1616</v>
      </c>
      <c r="E212" s="1234" t="s">
        <v>1617</v>
      </c>
      <c r="F212" s="1455" t="s">
        <v>1618</v>
      </c>
      <c r="G212" s="1247" t="s">
        <v>1619</v>
      </c>
      <c r="H212" s="1473" t="s">
        <v>1620</v>
      </c>
      <c r="I212" s="1247" t="s">
        <v>1621</v>
      </c>
      <c r="J212" s="1473" t="s">
        <v>1622</v>
      </c>
      <c r="K212" s="1247" t="s">
        <v>1623</v>
      </c>
      <c r="L212" s="1473" t="s">
        <v>1624</v>
      </c>
      <c r="M212" s="1247" t="s">
        <v>1625</v>
      </c>
      <c r="N212" s="1473" t="s">
        <v>1626</v>
      </c>
      <c r="O212" s="1247" t="s">
        <v>1627</v>
      </c>
      <c r="P212" s="1473" t="s">
        <v>1628</v>
      </c>
      <c r="Q212" s="1247" t="s">
        <v>1629</v>
      </c>
      <c r="R212" s="1473" t="s">
        <v>1630</v>
      </c>
      <c r="S212" s="1247" t="s">
        <v>1631</v>
      </c>
      <c r="T212" s="1473" t="s">
        <v>1632</v>
      </c>
      <c r="U212" s="1247" t="s">
        <v>1633</v>
      </c>
      <c r="V212" s="1473" t="s">
        <v>1634</v>
      </c>
      <c r="W212" s="1247" t="s">
        <v>1635</v>
      </c>
      <c r="X212" s="1473" t="s">
        <v>1636</v>
      </c>
      <c r="Y212" s="1247" t="s">
        <v>1637</v>
      </c>
      <c r="Z212" s="1248" t="s">
        <v>1638</v>
      </c>
      <c r="AA212" s="919" t="s">
        <v>1639</v>
      </c>
      <c r="AB212" s="1473" t="s">
        <v>1640</v>
      </c>
      <c r="AC212" s="1247" t="s">
        <v>1641</v>
      </c>
      <c r="AD212" s="1473" t="s">
        <v>1642</v>
      </c>
      <c r="AE212" s="1247" t="s">
        <v>1643</v>
      </c>
      <c r="AF212" s="1473" t="s">
        <v>1644</v>
      </c>
      <c r="AG212" s="1247" t="s">
        <v>1645</v>
      </c>
      <c r="AH212" s="1473" t="s">
        <v>1646</v>
      </c>
      <c r="AI212" s="108" t="str">
        <f t="shared" si="109"/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12" s="954"/>
      <c r="CB212" s="191" t="str">
        <f t="shared" si="110"/>
        <v xml:space="preserve"> * La variable Pueblos Originarios hombres  no debe ser mayor que el Total de Hombres.</v>
      </c>
      <c r="CC212" s="191" t="str">
        <f t="shared" si="111"/>
        <v xml:space="preserve"> * La variable Pueblos Originarios Mujeres no debe ser mayor que el Total de Mujeres</v>
      </c>
      <c r="CD212" s="191" t="str">
        <f t="shared" si="112"/>
        <v xml:space="preserve"> * La variable Migrantes hombres  no debe ser mayor que el Total de Hombres</v>
      </c>
      <c r="CE212" s="191" t="str">
        <f t="shared" si="113"/>
        <v xml:space="preserve"> * La variable Migrantes Mujeres no debe ser mayor que el Total de Mujeres</v>
      </c>
      <c r="CF212" s="191" t="str">
        <f t="shared" si="114"/>
        <v xml:space="preserve"> * La variable Usuarios con Discapacidad hombres  no debe ser mayor que el Total de Hombres</v>
      </c>
      <c r="CG212" s="191" t="str">
        <f t="shared" si="115"/>
        <v xml:space="preserve"> * La variable Usuarios con Discapacidad Mujeres no debe ser mayor que el Total de Mujeres</v>
      </c>
      <c r="CH212" s="191" t="str">
        <f t="shared" si="116"/>
        <v xml:space="preserve"> * La variable Niños, Niñas, adolescentes y jóvenes Mejor Niñez hombres  no debe ser mayor que el Total de Hombres</v>
      </c>
      <c r="CI212" s="191" t="str">
        <f t="shared" si="117"/>
        <v xml:space="preserve"> * La variable Niños, Niñas, adolescentes y jóvenes Mejor Niñez Mujeres no debe ser mayor que el Total de Mujeres</v>
      </c>
      <c r="CM212" s="108"/>
      <c r="CN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Q212" s="1047">
        <f t="shared" si="118"/>
        <v>1</v>
      </c>
      <c r="DR212" s="1047">
        <f t="shared" si="118"/>
        <v>1</v>
      </c>
      <c r="DS212" s="1047">
        <f t="shared" si="119"/>
        <v>1</v>
      </c>
      <c r="DT212" s="1047">
        <f t="shared" si="119"/>
        <v>1</v>
      </c>
      <c r="DU212" s="1047">
        <f t="shared" si="120"/>
        <v>1</v>
      </c>
      <c r="DV212" s="1047">
        <f t="shared" si="120"/>
        <v>1</v>
      </c>
      <c r="DW212" s="1047">
        <f t="shared" si="121"/>
        <v>1</v>
      </c>
      <c r="DX212" s="1047">
        <f t="shared" si="121"/>
        <v>1</v>
      </c>
    </row>
    <row r="213" spans="1:128" ht="15" customHeight="1" x14ac:dyDescent="0.25">
      <c r="A213" s="1578"/>
      <c r="B213" s="1773"/>
      <c r="C213" s="1249" t="s">
        <v>89</v>
      </c>
      <c r="D213" s="1444">
        <f t="shared" ref="D213" si="122">SUM(E213:F213)</f>
        <v>0</v>
      </c>
      <c r="E213" s="1234">
        <f t="shared" ref="E213" si="123">+G213+I213+K213+M213+O213+Q213+S213+U213+W213+Y213</f>
        <v>0</v>
      </c>
      <c r="F213" s="1455">
        <f t="shared" ref="F213" si="124">+H213+J213+L213+N213+P213+R213+T213+V213+X213+Z213</f>
        <v>0</v>
      </c>
      <c r="G213" s="1234">
        <f>SUM(G207:G212)</f>
        <v>0</v>
      </c>
      <c r="H213" s="1455">
        <f t="shared" ref="H213:AH213" si="125">SUM(H207:H212)</f>
        <v>0</v>
      </c>
      <c r="I213" s="1250">
        <f t="shared" si="125"/>
        <v>0</v>
      </c>
      <c r="J213" s="1251">
        <f t="shared" si="125"/>
        <v>0</v>
      </c>
      <c r="K213" s="1250">
        <f t="shared" si="125"/>
        <v>0</v>
      </c>
      <c r="L213" s="1251">
        <f t="shared" si="125"/>
        <v>0</v>
      </c>
      <c r="M213" s="1250">
        <f t="shared" si="125"/>
        <v>0</v>
      </c>
      <c r="N213" s="1251">
        <f t="shared" si="125"/>
        <v>0</v>
      </c>
      <c r="O213" s="1250">
        <f t="shared" si="125"/>
        <v>0</v>
      </c>
      <c r="P213" s="1251">
        <f t="shared" si="125"/>
        <v>0</v>
      </c>
      <c r="Q213" s="1250">
        <f t="shared" si="125"/>
        <v>0</v>
      </c>
      <c r="R213" s="1251">
        <f t="shared" si="125"/>
        <v>0</v>
      </c>
      <c r="S213" s="1250">
        <f t="shared" si="125"/>
        <v>0</v>
      </c>
      <c r="T213" s="1251">
        <f t="shared" si="125"/>
        <v>0</v>
      </c>
      <c r="U213" s="1250">
        <f t="shared" si="125"/>
        <v>0</v>
      </c>
      <c r="V213" s="1251">
        <f t="shared" si="125"/>
        <v>0</v>
      </c>
      <c r="W213" s="1250">
        <f t="shared" si="125"/>
        <v>0</v>
      </c>
      <c r="X213" s="1251">
        <f t="shared" si="125"/>
        <v>0</v>
      </c>
      <c r="Y213" s="1250">
        <f t="shared" si="125"/>
        <v>0</v>
      </c>
      <c r="Z213" s="1474">
        <f t="shared" si="125"/>
        <v>0</v>
      </c>
      <c r="AA213" s="1252">
        <f t="shared" si="125"/>
        <v>0</v>
      </c>
      <c r="AB213" s="1251">
        <f t="shared" si="125"/>
        <v>0</v>
      </c>
      <c r="AC213" s="1250">
        <f t="shared" si="125"/>
        <v>0</v>
      </c>
      <c r="AD213" s="1251">
        <f t="shared" si="125"/>
        <v>0</v>
      </c>
      <c r="AE213" s="1250">
        <f t="shared" si="125"/>
        <v>0</v>
      </c>
      <c r="AF213" s="1251">
        <f t="shared" si="125"/>
        <v>0</v>
      </c>
      <c r="AG213" s="1250">
        <f t="shared" si="125"/>
        <v>0</v>
      </c>
      <c r="AH213" s="1253">
        <f t="shared" si="125"/>
        <v>0</v>
      </c>
      <c r="AI213" s="108"/>
      <c r="AJ213" s="955"/>
      <c r="CM213" s="108"/>
      <c r="CN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</row>
    <row r="214" spans="1:128" ht="15" customHeight="1" x14ac:dyDescent="0.25">
      <c r="A214" s="1589" t="s">
        <v>1163</v>
      </c>
      <c r="B214" s="1776" t="s">
        <v>399</v>
      </c>
      <c r="C214" s="1777"/>
      <c r="D214" s="1444" t="s">
        <v>1616</v>
      </c>
      <c r="E214" s="1234" t="s">
        <v>1617</v>
      </c>
      <c r="F214" s="1455" t="s">
        <v>1618</v>
      </c>
      <c r="G214" s="1097" t="s">
        <v>1619</v>
      </c>
      <c r="H214" s="1098" t="s">
        <v>1620</v>
      </c>
      <c r="I214" s="1247" t="s">
        <v>1621</v>
      </c>
      <c r="J214" s="1473" t="s">
        <v>1622</v>
      </c>
      <c r="K214" s="1247" t="s">
        <v>1623</v>
      </c>
      <c r="L214" s="1473" t="s">
        <v>1624</v>
      </c>
      <c r="M214" s="1247" t="s">
        <v>1625</v>
      </c>
      <c r="N214" s="1473" t="s">
        <v>1626</v>
      </c>
      <c r="O214" s="1247" t="s">
        <v>1627</v>
      </c>
      <c r="P214" s="1473" t="s">
        <v>1628</v>
      </c>
      <c r="Q214" s="1247" t="s">
        <v>1629</v>
      </c>
      <c r="R214" s="1473" t="s">
        <v>1630</v>
      </c>
      <c r="S214" s="1247" t="s">
        <v>1631</v>
      </c>
      <c r="T214" s="1473" t="s">
        <v>1632</v>
      </c>
      <c r="U214" s="1247" t="s">
        <v>1633</v>
      </c>
      <c r="V214" s="1473" t="s">
        <v>1634</v>
      </c>
      <c r="W214" s="1247" t="s">
        <v>1635</v>
      </c>
      <c r="X214" s="1473" t="s">
        <v>1636</v>
      </c>
      <c r="Y214" s="1247" t="s">
        <v>1637</v>
      </c>
      <c r="Z214" s="1248" t="s">
        <v>1638</v>
      </c>
      <c r="AA214" s="919" t="s">
        <v>1639</v>
      </c>
      <c r="AB214" s="1473" t="s">
        <v>1640</v>
      </c>
      <c r="AC214" s="1247" t="s">
        <v>1641</v>
      </c>
      <c r="AD214" s="1473" t="s">
        <v>1642</v>
      </c>
      <c r="AE214" s="1247" t="s">
        <v>1643</v>
      </c>
      <c r="AF214" s="1473" t="s">
        <v>1644</v>
      </c>
      <c r="AG214" s="1247" t="s">
        <v>1645</v>
      </c>
      <c r="AH214" s="1473" t="s">
        <v>1646</v>
      </c>
      <c r="AI214" s="108" t="str">
        <f>CB214&amp;CC214&amp;CD214&amp;CE214&amp;CF214&amp;CG214&amp;CH214&amp;CI214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14" s="954"/>
      <c r="CB214" s="191" t="str">
        <f>IF(AND(E214&gt;0,AA214="")," * No olvide digitar la variable Pueblos Originarios hombres (Digite Cero si no tiene).",IF(AA214&gt;E214," * La variable Pueblos Originarios hombres  no debe ser mayor que el Total de Hombres.",""))</f>
        <v xml:space="preserve"> * La variable Pueblos Originarios hombres  no debe ser mayor que el Total de Hombres.</v>
      </c>
      <c r="CC214" s="191" t="str">
        <f>IF(AND(F214&gt;0,AB214="")," * No olvide digitar la variable Pueblos Originarios Mujeres (Digite Cero si no tiene). Digite Cero si no tiene.",IF(AB214&gt;F214," * La variable Pueblos Originarios Mujeres no debe ser mayor que el Total de Mujeres",""))</f>
        <v xml:space="preserve"> * La variable Pueblos Originarios Mujeres no debe ser mayor que el Total de Mujeres</v>
      </c>
      <c r="CD214" s="191" t="str">
        <f>IF(AND(E214&gt;0,AC214="")," * No olvide digitar la variable Migrantes hombres (Digite Cero si no tiene).",IF(AC214&gt;E214," * La variable Migrantes hombres  no debe ser mayor que el Total de Hombres",""))</f>
        <v xml:space="preserve"> * La variable Migrantes hombres  no debe ser mayor que el Total de Hombres</v>
      </c>
      <c r="CE214" s="191" t="str">
        <f>IF(AND(F214&gt;0,AD214="")," * No olvide digitar la variable Migrantes Mujeres (Digite Cero si no tiene).",IF(AD214&gt;F214," * La variable Migrantes Mujeres no debe ser mayor que el Total de Mujeres",""))</f>
        <v xml:space="preserve"> * La variable Migrantes Mujeres no debe ser mayor que el Total de Mujeres</v>
      </c>
      <c r="CF214" s="191" t="str">
        <f>IF(AND(E214&gt;0,AE214="")," * No olvide digitar la variable Usuarios con Discapacidad hombres (Digite Cero si no tiene).",IF(AE214&gt;E214," * La variable Usuarios con Discapacidad hombres  no debe ser mayor que el Total de Hombres",""))</f>
        <v xml:space="preserve"> * La variable Usuarios con Discapacidad hombres  no debe ser mayor que el Total de Hombres</v>
      </c>
      <c r="CG214" s="191" t="str">
        <f>IF(AND(F214&gt;0,AF214="")," * No olvide digitar la variable Usuarios con Discapacidad  Mujeres (Digite Cero si no tiene).",IF(AF214&gt;F214," * La variable Usuarios con Discapacidad Mujeres no debe ser mayor que el Total de Mujeres",""))</f>
        <v xml:space="preserve"> * La variable Usuarios con Discapacidad Mujeres no debe ser mayor que el Total de Mujeres</v>
      </c>
      <c r="CH214" s="191" t="str">
        <f>IF(AND(E214&gt;0,AG214="")," * No olvide digitar la variable Niños, Niñas, adolescentes y jóvenes Mejor Niñez hombres (Digite Cero si no tiene).",IF(AG214&gt;E214,"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I214" s="191" t="str">
        <f>IF(AND(F214&gt;0,AH214="")," * No olvide digitar la variable Niños, Niñas, adolescentes y jóvenes Mejor Niñez Mujeres (Digite Cero si no tiene).",IF(AH214&gt;F214,"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CM214" s="108"/>
      <c r="CN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Q214" s="1047">
        <f>IF(AND(E214&gt;0,AA214=""),1,IF(AA214&gt;E214,1,0))</f>
        <v>1</v>
      </c>
      <c r="DR214" s="1047">
        <f>IF(AND(F214&gt;0,AB214=""),1,IF(AB214&gt;F214,1,0))</f>
        <v>1</v>
      </c>
      <c r="DS214" s="1047">
        <f>IF(AND(E214&gt;0,AC214=""),1,IF(AC214&gt;E214,1,0))</f>
        <v>1</v>
      </c>
      <c r="DT214" s="1047">
        <f>IF(AND(F214&gt;0,AD214=""),1,IF(AD214&gt;F214,1,0))</f>
        <v>1</v>
      </c>
      <c r="DU214" s="1047">
        <f>IF(AND(E214&gt;0,AE214=""),1,IF(AE214&gt;E214,1,0))</f>
        <v>1</v>
      </c>
      <c r="DV214" s="1047">
        <f>IF(AND(F214&gt;0,AF214=""),1,IF(AF214&gt;F214,1,0))</f>
        <v>1</v>
      </c>
      <c r="DW214" s="1047">
        <f>IF(AND(E214&gt;0,AG214=""),1,IF(AG214&gt;E214,1,0))</f>
        <v>1</v>
      </c>
      <c r="DX214" s="1047">
        <f>IF(AND(F214&gt;0,AH214=""),1,IF(AH214&gt;F214,1,0))</f>
        <v>1</v>
      </c>
    </row>
    <row r="215" spans="1:128" x14ac:dyDescent="0.25">
      <c r="B215" s="108"/>
      <c r="C215" s="108"/>
      <c r="D215" s="108"/>
      <c r="E215" s="108"/>
      <c r="F215" s="108"/>
      <c r="G215" s="108"/>
      <c r="H215" s="108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V215" s="108"/>
      <c r="W215" s="108"/>
      <c r="X215" s="108"/>
      <c r="Y215" s="108"/>
      <c r="Z215" s="108"/>
      <c r="AA215" s="108"/>
      <c r="AB215" s="108"/>
      <c r="AC215" s="108"/>
      <c r="AD215" s="108"/>
      <c r="AE215" s="108"/>
      <c r="AF215" s="108"/>
      <c r="AG215" s="108"/>
      <c r="AH215" s="108"/>
      <c r="AI215" s="108"/>
      <c r="AJ215" s="108"/>
      <c r="AK215" s="108"/>
      <c r="AL215" s="108"/>
      <c r="AM215" s="108"/>
      <c r="AN215" s="108"/>
      <c r="AO215" s="108"/>
      <c r="AP215" s="108"/>
      <c r="AQ215" s="108"/>
      <c r="AR215" s="108"/>
      <c r="AS215" s="108"/>
      <c r="AT215" s="108"/>
      <c r="AU215" s="108"/>
      <c r="AV215" s="108"/>
      <c r="AW215" s="108"/>
    </row>
    <row r="216" spans="1:128" x14ac:dyDescent="0.25">
      <c r="B216" s="108"/>
      <c r="C216" s="108"/>
      <c r="D216" s="108"/>
      <c r="E216" s="108"/>
      <c r="F216" s="108"/>
      <c r="G216" s="108"/>
      <c r="H216" s="108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  <c r="T216" s="108"/>
      <c r="U216" s="108"/>
      <c r="V216" s="108"/>
      <c r="W216" s="108"/>
      <c r="X216" s="108"/>
      <c r="Y216" s="108"/>
      <c r="Z216" s="108"/>
      <c r="AA216" s="108"/>
      <c r="AB216" s="108"/>
      <c r="AC216" s="108"/>
      <c r="AD216" s="108"/>
      <c r="AE216" s="108"/>
      <c r="AF216" s="108"/>
      <c r="AG216" s="108"/>
      <c r="AH216" s="108"/>
      <c r="AI216" s="108"/>
      <c r="AJ216" s="108"/>
      <c r="AK216" s="108"/>
      <c r="AL216" s="108"/>
      <c r="AM216" s="108"/>
      <c r="AN216" s="108"/>
      <c r="AO216" s="108"/>
      <c r="AP216" s="108"/>
      <c r="AQ216" s="108"/>
      <c r="AR216" s="108"/>
      <c r="AS216" s="108"/>
      <c r="AT216" s="108"/>
      <c r="AU216" s="108"/>
      <c r="AV216" s="108"/>
      <c r="AW216" s="108"/>
    </row>
    <row r="217" spans="1:128" x14ac:dyDescent="0.25">
      <c r="B217" s="108"/>
      <c r="C217" s="108"/>
      <c r="D217" s="108"/>
      <c r="E217" s="108"/>
      <c r="F217" s="108"/>
      <c r="G217" s="108"/>
      <c r="H217" s="108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  <c r="T217" s="108"/>
      <c r="U217" s="108"/>
      <c r="V217" s="108"/>
      <c r="W217" s="108"/>
      <c r="X217" s="108"/>
      <c r="Y217" s="108"/>
      <c r="Z217" s="108"/>
      <c r="AA217" s="108"/>
      <c r="AB217" s="108"/>
      <c r="AC217" s="108"/>
      <c r="AD217" s="108"/>
      <c r="AE217" s="108"/>
      <c r="AF217" s="108"/>
      <c r="AG217" s="108"/>
      <c r="AH217" s="108"/>
      <c r="AI217" s="108"/>
      <c r="AJ217" s="108"/>
      <c r="AK217" s="108"/>
      <c r="AL217" s="108"/>
      <c r="AM217" s="108"/>
      <c r="AN217" s="108"/>
      <c r="AO217" s="108"/>
      <c r="AP217" s="108"/>
      <c r="AQ217" s="108"/>
      <c r="AR217" s="108"/>
      <c r="AS217" s="108"/>
      <c r="AT217" s="108"/>
      <c r="AU217" s="108"/>
      <c r="AV217" s="108"/>
      <c r="AW217" s="108"/>
    </row>
    <row r="218" spans="1:128" x14ac:dyDescent="0.25">
      <c r="B218" s="108"/>
      <c r="C218" s="108"/>
      <c r="D218" s="108"/>
      <c r="E218" s="108"/>
      <c r="F218" s="108"/>
      <c r="G218" s="108"/>
      <c r="H218" s="10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  <c r="T218" s="108"/>
      <c r="U218" s="108"/>
      <c r="V218" s="108"/>
      <c r="W218" s="108"/>
      <c r="X218" s="108"/>
      <c r="Y218" s="108"/>
      <c r="Z218" s="108"/>
      <c r="AA218" s="108"/>
      <c r="AB218" s="108"/>
      <c r="AC218" s="108"/>
      <c r="AD218" s="108"/>
      <c r="AE218" s="108"/>
      <c r="AF218" s="108"/>
      <c r="AG218" s="108"/>
      <c r="AH218" s="108"/>
      <c r="AI218" s="108"/>
      <c r="AJ218" s="108"/>
      <c r="AK218" s="108"/>
      <c r="AL218" s="108"/>
      <c r="AM218" s="108"/>
      <c r="AN218" s="108"/>
      <c r="AO218" s="108"/>
      <c r="AP218" s="108"/>
      <c r="AQ218" s="108"/>
      <c r="AR218" s="108"/>
      <c r="AS218" s="108"/>
      <c r="AT218" s="108"/>
      <c r="AU218" s="108"/>
      <c r="AV218" s="108"/>
      <c r="AW218" s="108"/>
    </row>
    <row r="219" spans="1:128" x14ac:dyDescent="0.25">
      <c r="B219" s="108"/>
      <c r="C219" s="108"/>
      <c r="D219" s="108"/>
      <c r="E219" s="108"/>
      <c r="F219" s="108"/>
      <c r="G219" s="108"/>
      <c r="H219" s="108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  <c r="Z219" s="108"/>
      <c r="AA219" s="108"/>
      <c r="AB219" s="108"/>
      <c r="AC219" s="108"/>
      <c r="AD219" s="108"/>
      <c r="AE219" s="108"/>
      <c r="AF219" s="108"/>
      <c r="AG219" s="108"/>
      <c r="AH219" s="108"/>
      <c r="AI219" s="108"/>
      <c r="AJ219" s="108"/>
      <c r="AK219" s="108"/>
      <c r="AL219" s="108"/>
      <c r="AM219" s="108"/>
      <c r="AN219" s="108"/>
      <c r="AO219" s="108"/>
      <c r="AP219" s="108"/>
      <c r="AQ219" s="108"/>
      <c r="AR219" s="108"/>
      <c r="AS219" s="108"/>
      <c r="AT219" s="108"/>
      <c r="AU219" s="108"/>
      <c r="AV219" s="108"/>
      <c r="AW219" s="108"/>
    </row>
    <row r="220" spans="1:128" hidden="1" x14ac:dyDescent="0.25">
      <c r="B220" s="1475" t="e">
        <f>SUM(D12:D40,D45:D48,D50:D51,D53,D54:D55,D57:D58,D60:D63,D65:D70,D72,D74,D78:D105,D109:D111,D116:D117,D121:D125,D131:D134,D139:D140,D146:D190,D196:D198,D203,D206,D213,D214)</f>
        <v>#VALUE!</v>
      </c>
      <c r="C220" s="195" t="s">
        <v>206</v>
      </c>
      <c r="D220" s="108"/>
      <c r="E220" s="108"/>
      <c r="F220" s="108"/>
      <c r="G220" s="108"/>
      <c r="H220" s="108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  <c r="T220" s="108"/>
      <c r="U220" s="108"/>
      <c r="V220" s="108"/>
      <c r="W220" s="108"/>
      <c r="X220" s="108"/>
      <c r="Y220" s="108"/>
      <c r="Z220" s="108"/>
      <c r="AA220" s="108"/>
      <c r="AB220" s="108"/>
      <c r="AC220" s="108"/>
      <c r="AD220" s="108"/>
      <c r="AE220" s="108"/>
      <c r="AF220" s="108"/>
      <c r="AG220" s="108"/>
      <c r="AH220" s="108"/>
      <c r="AI220" s="108"/>
      <c r="AJ220" s="108"/>
      <c r="AK220" s="108"/>
      <c r="AL220" s="108"/>
      <c r="AM220" s="108"/>
      <c r="AN220" s="108"/>
      <c r="AO220" s="108"/>
      <c r="AP220" s="108"/>
      <c r="AQ220" s="108"/>
      <c r="AR220" s="108"/>
      <c r="AS220" s="108"/>
      <c r="AT220" s="108"/>
      <c r="AU220" s="108"/>
      <c r="AV220" s="108"/>
      <c r="AW220" s="108"/>
    </row>
    <row r="221" spans="1:128" hidden="1" x14ac:dyDescent="0.25">
      <c r="B221" s="1475" t="e">
        <f>SUM(DQ$12:EV214)</f>
        <v>#VALUE!</v>
      </c>
      <c r="C221" s="195" t="s">
        <v>207</v>
      </c>
      <c r="D221" s="108"/>
      <c r="E221" s="108"/>
      <c r="F221" s="108"/>
      <c r="G221" s="108"/>
      <c r="H221" s="108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  <c r="Y221" s="108"/>
      <c r="Z221" s="108"/>
      <c r="AA221" s="108"/>
      <c r="AB221" s="108"/>
      <c r="AC221" s="108"/>
      <c r="AD221" s="108"/>
      <c r="AE221" s="108"/>
      <c r="AF221" s="108"/>
      <c r="AG221" s="108"/>
      <c r="AH221" s="108"/>
      <c r="AI221" s="108"/>
      <c r="AJ221" s="108"/>
      <c r="AK221" s="108"/>
      <c r="AL221" s="108"/>
      <c r="AM221" s="108"/>
      <c r="AN221" s="108"/>
      <c r="AO221" s="108"/>
      <c r="AP221" s="108"/>
      <c r="AQ221" s="108"/>
      <c r="AR221" s="108"/>
      <c r="AS221" s="108"/>
      <c r="AT221" s="108"/>
      <c r="AU221" s="108"/>
      <c r="AV221" s="108"/>
      <c r="AW221" s="108"/>
    </row>
    <row r="222" spans="1:128" x14ac:dyDescent="0.25">
      <c r="B222" s="108"/>
      <c r="C222" s="108"/>
      <c r="D222" s="108"/>
      <c r="E222" s="108"/>
      <c r="F222" s="108"/>
      <c r="G222" s="108"/>
      <c r="H222" s="108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  <c r="Z222" s="108"/>
      <c r="AA222" s="108"/>
      <c r="AB222" s="108"/>
      <c r="AC222" s="108"/>
      <c r="AD222" s="108"/>
      <c r="AE222" s="108"/>
      <c r="AF222" s="108"/>
      <c r="AG222" s="108"/>
      <c r="AH222" s="108"/>
      <c r="AI222" s="108"/>
      <c r="AJ222" s="108"/>
      <c r="AK222" s="108"/>
      <c r="AL222" s="108"/>
      <c r="AM222" s="108"/>
      <c r="AN222" s="108"/>
      <c r="AO222" s="108"/>
      <c r="AP222" s="108"/>
      <c r="AQ222" s="108"/>
      <c r="AR222" s="108"/>
      <c r="AS222" s="108"/>
      <c r="AT222" s="108"/>
      <c r="AU222" s="108"/>
      <c r="AV222" s="108"/>
      <c r="AW222" s="108"/>
    </row>
    <row r="223" spans="1:128" x14ac:dyDescent="0.25">
      <c r="B223" s="108"/>
      <c r="C223" s="108"/>
      <c r="D223" s="108"/>
      <c r="E223" s="108"/>
      <c r="F223" s="108"/>
      <c r="G223" s="108"/>
      <c r="H223" s="108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  <c r="AA223" s="108"/>
      <c r="AB223" s="108"/>
      <c r="AC223" s="108"/>
      <c r="AD223" s="108"/>
      <c r="AE223" s="108"/>
      <c r="AF223" s="108"/>
      <c r="AG223" s="108"/>
      <c r="AH223" s="108"/>
      <c r="AI223" s="108"/>
      <c r="AJ223" s="108"/>
      <c r="AK223" s="108"/>
      <c r="AL223" s="108"/>
      <c r="AM223" s="108"/>
      <c r="AN223" s="108"/>
      <c r="AO223" s="108"/>
      <c r="AP223" s="108"/>
      <c r="AQ223" s="108"/>
      <c r="AR223" s="108"/>
      <c r="AS223" s="108"/>
      <c r="AT223" s="108"/>
      <c r="AU223" s="108"/>
      <c r="AV223" s="108"/>
      <c r="AW223" s="108"/>
    </row>
    <row r="224" spans="1:128" x14ac:dyDescent="0.25">
      <c r="B224" s="108"/>
      <c r="C224" s="108"/>
      <c r="D224" s="108"/>
      <c r="E224" s="108"/>
      <c r="F224" s="108"/>
      <c r="G224" s="108"/>
      <c r="H224" s="108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  <c r="T224" s="108"/>
      <c r="U224" s="108"/>
      <c r="V224" s="108"/>
      <c r="W224" s="108"/>
      <c r="X224" s="108"/>
      <c r="Y224" s="108"/>
      <c r="Z224" s="108"/>
      <c r="AA224" s="108"/>
      <c r="AB224" s="108"/>
      <c r="AC224" s="108"/>
      <c r="AD224" s="108"/>
      <c r="AE224" s="108"/>
      <c r="AF224" s="108"/>
      <c r="AG224" s="108"/>
      <c r="AH224" s="108"/>
      <c r="AI224" s="108"/>
      <c r="AJ224" s="108"/>
      <c r="AK224" s="108"/>
      <c r="AL224" s="108"/>
      <c r="AM224" s="108"/>
      <c r="AN224" s="108"/>
      <c r="AO224" s="108"/>
      <c r="AP224" s="108"/>
      <c r="AQ224" s="108"/>
      <c r="AR224" s="108"/>
      <c r="AS224" s="108"/>
      <c r="AT224" s="108"/>
      <c r="AU224" s="108"/>
      <c r="AV224" s="108"/>
      <c r="AW224" s="108"/>
    </row>
  </sheetData>
  <dataConsolidate/>
  <mergeCells count="221">
    <mergeCell ref="B76:H76"/>
    <mergeCell ref="B41:P41"/>
    <mergeCell ref="B8:R8"/>
    <mergeCell ref="B127:L127"/>
    <mergeCell ref="B136:J136"/>
    <mergeCell ref="B142:AR142"/>
    <mergeCell ref="B191:AR191"/>
    <mergeCell ref="B199:Z199"/>
    <mergeCell ref="B118:D118"/>
    <mergeCell ref="B113:G113"/>
    <mergeCell ref="B106:L106"/>
    <mergeCell ref="B134:C134"/>
    <mergeCell ref="D143:F144"/>
    <mergeCell ref="B77:C77"/>
    <mergeCell ref="E137:J137"/>
    <mergeCell ref="AE10:AF10"/>
    <mergeCell ref="G9:AH9"/>
    <mergeCell ref="B74:C74"/>
    <mergeCell ref="B65:B73"/>
    <mergeCell ref="B147:C147"/>
    <mergeCell ref="K129:L129"/>
    <mergeCell ref="G144:H144"/>
    <mergeCell ref="I144:J144"/>
    <mergeCell ref="K144:L144"/>
    <mergeCell ref="G128:L128"/>
    <mergeCell ref="M128:M130"/>
    <mergeCell ref="G129:H129"/>
    <mergeCell ref="I129:J129"/>
    <mergeCell ref="F107:F108"/>
    <mergeCell ref="E107:E108"/>
    <mergeCell ref="B141:C141"/>
    <mergeCell ref="B140:C140"/>
    <mergeCell ref="B139:C139"/>
    <mergeCell ref="B137:C138"/>
    <mergeCell ref="AU143:AV144"/>
    <mergeCell ref="AI144:AJ144"/>
    <mergeCell ref="AO144:AP144"/>
    <mergeCell ref="AQ144:AR144"/>
    <mergeCell ref="AG144:AH144"/>
    <mergeCell ref="U144:V144"/>
    <mergeCell ref="W144:X144"/>
    <mergeCell ref="Y144:Z144"/>
    <mergeCell ref="AA144:AB144"/>
    <mergeCell ref="AC144:AD144"/>
    <mergeCell ref="AE144:AF144"/>
    <mergeCell ref="AK144:AL144"/>
    <mergeCell ref="AM144:AN144"/>
    <mergeCell ref="G143:AR143"/>
    <mergeCell ref="AS143:AT144"/>
    <mergeCell ref="Q144:R144"/>
    <mergeCell ref="S144:T144"/>
    <mergeCell ref="M144:N144"/>
    <mergeCell ref="O144:P144"/>
    <mergeCell ref="B19:B24"/>
    <mergeCell ref="B12:C12"/>
    <mergeCell ref="B13:B18"/>
    <mergeCell ref="B25:B31"/>
    <mergeCell ref="B6:Y6"/>
    <mergeCell ref="Q10:R10"/>
    <mergeCell ref="S10:T10"/>
    <mergeCell ref="I10:J10"/>
    <mergeCell ref="K10:L10"/>
    <mergeCell ref="M10:N10"/>
    <mergeCell ref="B9:C11"/>
    <mergeCell ref="G10:H10"/>
    <mergeCell ref="O10:P10"/>
    <mergeCell ref="D9:F10"/>
    <mergeCell ref="U10:V10"/>
    <mergeCell ref="B40:C40"/>
    <mergeCell ref="O43:P43"/>
    <mergeCell ref="B54:B60"/>
    <mergeCell ref="B61:B64"/>
    <mergeCell ref="S43:T43"/>
    <mergeCell ref="B42:C44"/>
    <mergeCell ref="Q43:R43"/>
    <mergeCell ref="I43:J43"/>
    <mergeCell ref="K43:L43"/>
    <mergeCell ref="M43:N43"/>
    <mergeCell ref="G42:T42"/>
    <mergeCell ref="B45:C45"/>
    <mergeCell ref="B46:B53"/>
    <mergeCell ref="D42:F43"/>
    <mergeCell ref="G43:H43"/>
    <mergeCell ref="B151:C151"/>
    <mergeCell ref="B152:C152"/>
    <mergeCell ref="B153:C153"/>
    <mergeCell ref="B143:C145"/>
    <mergeCell ref="B168:C168"/>
    <mergeCell ref="B75:U75"/>
    <mergeCell ref="N107:N108"/>
    <mergeCell ref="O107:O108"/>
    <mergeCell ref="B85:B91"/>
    <mergeCell ref="B78:B84"/>
    <mergeCell ref="M107:M108"/>
    <mergeCell ref="H107:H108"/>
    <mergeCell ref="G107:G108"/>
    <mergeCell ref="B92:B98"/>
    <mergeCell ref="B107:C108"/>
    <mergeCell ref="D107:D108"/>
    <mergeCell ref="J107:J108"/>
    <mergeCell ref="B99:B105"/>
    <mergeCell ref="B133:C133"/>
    <mergeCell ref="L107:L108"/>
    <mergeCell ref="I107:I108"/>
    <mergeCell ref="K107:K108"/>
    <mergeCell ref="D137:D138"/>
    <mergeCell ref="B109:B112"/>
    <mergeCell ref="B146:C146"/>
    <mergeCell ref="B163:C163"/>
    <mergeCell ref="B132:C132"/>
    <mergeCell ref="D114:D115"/>
    <mergeCell ref="B121:C121"/>
    <mergeCell ref="B124:C124"/>
    <mergeCell ref="D119:D120"/>
    <mergeCell ref="B123:C123"/>
    <mergeCell ref="B119:C120"/>
    <mergeCell ref="B117:C117"/>
    <mergeCell ref="D128:F129"/>
    <mergeCell ref="B162:C162"/>
    <mergeCell ref="B116:C116"/>
    <mergeCell ref="B114:C115"/>
    <mergeCell ref="B126:C126"/>
    <mergeCell ref="B135:C135"/>
    <mergeCell ref="B154:C154"/>
    <mergeCell ref="B125:C125"/>
    <mergeCell ref="B122:C122"/>
    <mergeCell ref="B128:C130"/>
    <mergeCell ref="B131:C131"/>
    <mergeCell ref="B149:C149"/>
    <mergeCell ref="B148:C148"/>
    <mergeCell ref="B150:C150"/>
    <mergeCell ref="AS192:AT193"/>
    <mergeCell ref="AU192:AV193"/>
    <mergeCell ref="G193:H193"/>
    <mergeCell ref="I193:J193"/>
    <mergeCell ref="K193:L193"/>
    <mergeCell ref="M193:N193"/>
    <mergeCell ref="O193:P193"/>
    <mergeCell ref="Q193:R193"/>
    <mergeCell ref="S193:T193"/>
    <mergeCell ref="U193:V193"/>
    <mergeCell ref="W193:X193"/>
    <mergeCell ref="Y193:Z193"/>
    <mergeCell ref="AA193:AB193"/>
    <mergeCell ref="AC193:AD193"/>
    <mergeCell ref="AE193:AF193"/>
    <mergeCell ref="AG193:AH193"/>
    <mergeCell ref="AI193:AJ193"/>
    <mergeCell ref="AK193:AL193"/>
    <mergeCell ref="AM193:AN193"/>
    <mergeCell ref="AO193:AP193"/>
    <mergeCell ref="AQ193:AR193"/>
    <mergeCell ref="G192:AR192"/>
    <mergeCell ref="G200:Z200"/>
    <mergeCell ref="AA200:AB201"/>
    <mergeCell ref="AC200:AD201"/>
    <mergeCell ref="B190:C190"/>
    <mergeCell ref="B157:C157"/>
    <mergeCell ref="B158:C158"/>
    <mergeCell ref="B182:C182"/>
    <mergeCell ref="B161:C161"/>
    <mergeCell ref="B176:C176"/>
    <mergeCell ref="B189:C189"/>
    <mergeCell ref="B160:C160"/>
    <mergeCell ref="B175:C175"/>
    <mergeCell ref="B179:C179"/>
    <mergeCell ref="D192:F193"/>
    <mergeCell ref="B178:C178"/>
    <mergeCell ref="B169:C169"/>
    <mergeCell ref="B171:C171"/>
    <mergeCell ref="B192:C194"/>
    <mergeCell ref="B173:C173"/>
    <mergeCell ref="B177:C177"/>
    <mergeCell ref="B204:B206"/>
    <mergeCell ref="B207:B213"/>
    <mergeCell ref="B214:C214"/>
    <mergeCell ref="B167:C167"/>
    <mergeCell ref="B156:C156"/>
    <mergeCell ref="B174:C174"/>
    <mergeCell ref="B183:C183"/>
    <mergeCell ref="B165:C165"/>
    <mergeCell ref="B159:C159"/>
    <mergeCell ref="B164:C164"/>
    <mergeCell ref="B185:C185"/>
    <mergeCell ref="B186:C186"/>
    <mergeCell ref="B187:C187"/>
    <mergeCell ref="B188:C188"/>
    <mergeCell ref="B166:C166"/>
    <mergeCell ref="B180:C180"/>
    <mergeCell ref="B181:C181"/>
    <mergeCell ref="B200:C202"/>
    <mergeCell ref="B195:C195"/>
    <mergeCell ref="B196:C196"/>
    <mergeCell ref="B197:C197"/>
    <mergeCell ref="B198:C198"/>
    <mergeCell ref="B184:C184"/>
    <mergeCell ref="B170:C170"/>
    <mergeCell ref="AI9:AJ10"/>
    <mergeCell ref="AK9:AL10"/>
    <mergeCell ref="W10:X10"/>
    <mergeCell ref="Y10:Z10"/>
    <mergeCell ref="AA10:AB10"/>
    <mergeCell ref="AC10:AD10"/>
    <mergeCell ref="AG10:AH10"/>
    <mergeCell ref="B32:B39"/>
    <mergeCell ref="B203:C203"/>
    <mergeCell ref="AE200:AF201"/>
    <mergeCell ref="AG200:AH201"/>
    <mergeCell ref="G201:H201"/>
    <mergeCell ref="I201:J201"/>
    <mergeCell ref="K201:L201"/>
    <mergeCell ref="M201:N201"/>
    <mergeCell ref="O201:P201"/>
    <mergeCell ref="Q201:R201"/>
    <mergeCell ref="S201:T201"/>
    <mergeCell ref="U201:V201"/>
    <mergeCell ref="W201:X201"/>
    <mergeCell ref="Y201:Z201"/>
    <mergeCell ref="B155:C155"/>
    <mergeCell ref="B172:C172"/>
    <mergeCell ref="D200:F201"/>
  </mergeCells>
  <dataValidations count="14">
    <dataValidation allowBlank="1" showInputMessage="1" showErrorMessage="1" errorTitle="Error de ingreso" error="Debe ingresar sólo números enteros positivos." sqref="B220:C221 AM12:AM40" xr:uid="{00000000-0002-0000-0200-000000000000}"/>
    <dataValidation type="whole" operator="greaterThanOrEqual" allowBlank="1" showInputMessage="1" showErrorMessage="1" sqref="G45:T74 E78:H105 E109:L111 M110:O111 N109:O109 D116:D117 D121:D125 AJ204:AJ214 E139:J140 I32:AL39 G196:AV198 G146:AV190 G40:AL40 G12:AL31 G204:AH214 G131:M134" xr:uid="{00000000-0002-0000-0200-000001000000}">
      <formula1>0</formula1>
    </dataValidation>
    <dataValidation operator="greaterThanOrEqual" allowBlank="1" showInputMessage="1" showErrorMessage="1" sqref="AI203:AI214" xr:uid="{D9658C48-19B5-4079-9C05-E5C48D7914F8}"/>
    <dataValidation type="whole" allowBlank="1" showInputMessage="1" showErrorMessage="1" sqref="M109 H39" xr:uid="{440468F8-31B2-489A-ABB1-61D10DC11477}">
      <formula1>0</formula1>
      <formula2>9.99999999999999E+44</formula2>
    </dataValidation>
    <dataValidation type="whole" allowBlank="1" showInputMessage="1" showErrorMessage="1" sqref="G32" xr:uid="{9D4EB95A-9DFC-4D33-A678-D5E505204CF3}">
      <formula1>0</formula1>
      <formula2>9.99999999999999E+33</formula2>
    </dataValidation>
    <dataValidation type="whole" allowBlank="1" showInputMessage="1" showErrorMessage="1" sqref="G33 H37" xr:uid="{5AD12FB4-FE09-450D-BB7C-C7D37F9E314B}">
      <formula1>0</formula1>
      <formula2>9.99999999999999E+37</formula2>
    </dataValidation>
    <dataValidation type="whole" allowBlank="1" showInputMessage="1" showErrorMessage="1" sqref="G34" xr:uid="{84C86BB0-EFA1-4A6E-B1AF-CE5739D82D5D}">
      <formula1>0</formula1>
      <formula2>9.99999999999999E+36</formula2>
    </dataValidation>
    <dataValidation type="whole" allowBlank="1" showInputMessage="1" showErrorMessage="1" sqref="G35:H35" xr:uid="{557290DE-2A08-44B8-8233-F76A4A2ACA0B}">
      <formula1>0</formula1>
      <formula2>9.99999999999999E+39</formula2>
    </dataValidation>
    <dataValidation type="whole" allowBlank="1" showInputMessage="1" showErrorMessage="1" sqref="G36 G38 H33:H34" xr:uid="{80260CF0-31FE-48A8-AFC8-8C6FA5D6D6C7}">
      <formula1>0</formula1>
      <formula2>9.99999999999999E+41</formula2>
    </dataValidation>
    <dataValidation type="whole" allowBlank="1" showInputMessage="1" showErrorMessage="1" sqref="G37" xr:uid="{8FFDC060-D19E-446F-8719-93793301E999}">
      <formula1>0</formula1>
      <formula2>9.99999999999999E+43</formula2>
    </dataValidation>
    <dataValidation type="whole" allowBlank="1" showInputMessage="1" showErrorMessage="1" sqref="G39" xr:uid="{CAF0A814-913C-4CE4-BE2A-5E5B59CA96D9}">
      <formula1>0</formula1>
      <formula2>9.99999999999999E+42</formula2>
    </dataValidation>
    <dataValidation type="whole" allowBlank="1" showInputMessage="1" showErrorMessage="1" sqref="H32" xr:uid="{ECCEDBB6-FF86-41BF-9E60-F023979423F6}">
      <formula1>0</formula1>
      <formula2>9.99999999999999E+45</formula2>
    </dataValidation>
    <dataValidation type="whole" allowBlank="1" showInputMessage="1" showErrorMessage="1" sqref="H36" xr:uid="{B2C93AB9-52E6-4C83-90F4-06D47466AB19}">
      <formula1>0</formula1>
      <formula2>9.99999999999999E+38</formula2>
    </dataValidation>
    <dataValidation type="whole" allowBlank="1" showInputMessage="1" showErrorMessage="1" sqref="H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J15:AK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W95"/>
  <sheetViews>
    <sheetView showGridLines="0" tabSelected="1" zoomScaleNormal="100" workbookViewId="0"/>
  </sheetViews>
  <sheetFormatPr baseColWidth="10" defaultColWidth="11.42578125" defaultRowHeight="15" x14ac:dyDescent="0.25"/>
  <cols>
    <col min="1" max="1" width="16.7109375" style="108" customWidth="1"/>
    <col min="2" max="2" width="33.5703125" style="108" customWidth="1"/>
    <col min="3" max="3" width="42.28515625" style="108" customWidth="1"/>
    <col min="4" max="4" width="16.85546875" style="108" customWidth="1"/>
    <col min="5" max="5" width="14.28515625" style="108" customWidth="1"/>
    <col min="6" max="6" width="12.85546875" style="108" customWidth="1"/>
    <col min="7" max="15" width="14.7109375" style="108" customWidth="1"/>
    <col min="16" max="40" width="9.85546875" style="108" customWidth="1"/>
    <col min="41" max="41" width="11.42578125" style="108"/>
    <col min="42" max="42" width="11.42578125" style="34"/>
    <col min="43" max="43" width="11.42578125" style="108"/>
    <col min="44" max="46" width="11.28515625" style="108" customWidth="1"/>
    <col min="47" max="51" width="11.42578125" style="108" customWidth="1"/>
    <col min="52" max="52" width="11" style="108" customWidth="1"/>
    <col min="53" max="53" width="11" style="172" customWidth="1"/>
    <col min="54" max="68" width="11.42578125" style="606" customWidth="1"/>
    <col min="69" max="69" width="11" style="172" customWidth="1"/>
    <col min="70" max="70" width="11" style="108" customWidth="1"/>
    <col min="71" max="79" width="11.42578125" style="108" customWidth="1"/>
    <col min="80" max="94" width="11" style="108" customWidth="1"/>
    <col min="95" max="131" width="11.42578125" style="108" customWidth="1"/>
    <col min="132" max="16384" width="11.42578125" style="108"/>
  </cols>
  <sheetData>
    <row r="1" spans="1:96" s="34" customFormat="1" ht="13.5" customHeight="1" x14ac:dyDescent="0.15">
      <c r="B1" s="33" t="s">
        <v>0</v>
      </c>
      <c r="BA1" s="176"/>
      <c r="BQ1" s="176"/>
    </row>
    <row r="2" spans="1:96" s="34" customFormat="1" ht="13.5" customHeight="1" x14ac:dyDescent="0.15">
      <c r="B2" s="33" t="str">
        <f>CONCATENATE("COMUNA: ",NOMBRE!$B$2,"   ","( ",NOMBRE!$C$2,NOMBRE!$D$2,NOMBRE!$E$2,NOMBRE!$F$2,NOMBRE!$G$2," )")</f>
        <v>COMUNA:    (  )</v>
      </c>
      <c r="BA2" s="176"/>
      <c r="BQ2" s="176"/>
    </row>
    <row r="3" spans="1:96" s="34" customFormat="1" ht="13.5" customHeight="1" x14ac:dyDescent="0.15">
      <c r="B3" s="33" t="str">
        <f>CONCATENATE("ESTABLECIMIENTO/ESTRATEGIA: ",NOMBRE!$B$3,"   ","( ",NOMBRE!$C$3,NOMBRE!$D$3,NOMBRE!$E$3,NOMBRE!$F$3,NOMBRE!$G$3,NOMBRE!$H$3," )")</f>
        <v>ESTABLECIMIENTO/ESTRATEGIA:    (  )</v>
      </c>
      <c r="E3" s="83"/>
      <c r="BA3" s="176"/>
      <c r="BQ3" s="176"/>
    </row>
    <row r="4" spans="1:96" s="34" customFormat="1" ht="13.5" customHeight="1" x14ac:dyDescent="0.15">
      <c r="B4" s="33" t="str">
        <f>CONCATENATE("MES: ",NOMBRE!$B$6,"   ","( ",NOMBRE!$C$6,NOMBRE!$D$6," )")</f>
        <v>MES:    (  )</v>
      </c>
      <c r="BA4" s="176"/>
      <c r="BQ4" s="176"/>
    </row>
    <row r="5" spans="1:96" s="34" customFormat="1" ht="13.5" customHeight="1" x14ac:dyDescent="0.15">
      <c r="B5" s="33" t="str">
        <f>CONCATENATE("AÑO: ",NOMBRE!$B$7)</f>
        <v>AÑO: 2025</v>
      </c>
      <c r="BA5" s="176"/>
      <c r="BQ5" s="176"/>
    </row>
    <row r="6" spans="1:96" s="34" customFormat="1" ht="15" customHeight="1" x14ac:dyDescent="0.15">
      <c r="B6" s="82"/>
      <c r="G6" s="1111"/>
      <c r="H6" s="1111"/>
      <c r="I6" s="1111"/>
      <c r="J6" s="1111"/>
      <c r="K6" s="1111"/>
      <c r="L6" s="1111"/>
      <c r="BA6" s="176"/>
      <c r="BQ6" s="176"/>
    </row>
    <row r="7" spans="1:96" ht="21.75" customHeight="1" x14ac:dyDescent="0.25">
      <c r="B7" s="1901" t="s">
        <v>400</v>
      </c>
      <c r="C7" s="1901"/>
      <c r="D7" s="1901"/>
      <c r="E7" s="1901"/>
      <c r="F7" s="1901"/>
      <c r="G7" s="1901"/>
      <c r="H7" s="1901"/>
      <c r="I7" s="1901"/>
      <c r="J7" s="1901"/>
      <c r="K7" s="1901"/>
      <c r="L7" s="1901"/>
      <c r="M7" s="1901"/>
      <c r="N7" s="1901"/>
      <c r="O7" s="1901"/>
      <c r="P7" s="1901"/>
      <c r="Q7" s="1901"/>
      <c r="R7" s="1901"/>
      <c r="S7" s="1901"/>
      <c r="T7" s="1901"/>
      <c r="U7" s="1901"/>
      <c r="V7" s="1111"/>
      <c r="W7" s="1111"/>
      <c r="X7" s="1111"/>
      <c r="Y7" s="1111"/>
      <c r="Z7" s="1111"/>
    </row>
    <row r="8" spans="1:96" ht="17.100000000000001" customHeight="1" x14ac:dyDescent="0.25">
      <c r="B8" s="1327" t="s">
        <v>401</v>
      </c>
      <c r="C8" s="226"/>
      <c r="D8" s="225"/>
      <c r="E8" s="84"/>
      <c r="F8" s="84"/>
      <c r="G8" s="84"/>
      <c r="H8" s="84"/>
      <c r="I8" s="84"/>
      <c r="J8" s="84"/>
      <c r="K8" s="84"/>
      <c r="L8" s="85"/>
      <c r="M8" s="84"/>
      <c r="N8" s="84"/>
      <c r="O8" s="86"/>
      <c r="P8" s="86"/>
      <c r="AD8" s="194"/>
    </row>
    <row r="9" spans="1:96" ht="18.75" customHeight="1" x14ac:dyDescent="0.25">
      <c r="B9" s="1947" t="s">
        <v>402</v>
      </c>
      <c r="C9" s="1947"/>
      <c r="D9" s="1767" t="s">
        <v>49</v>
      </c>
      <c r="E9" s="1768"/>
      <c r="F9" s="1769"/>
      <c r="G9" s="1934" t="s">
        <v>376</v>
      </c>
      <c r="H9" s="1935"/>
      <c r="I9" s="1935"/>
      <c r="J9" s="1935"/>
      <c r="K9" s="1935"/>
      <c r="L9" s="1935"/>
      <c r="M9" s="1935"/>
      <c r="N9" s="1935"/>
      <c r="O9" s="1935"/>
      <c r="P9" s="1935"/>
      <c r="Q9" s="1935"/>
      <c r="R9" s="1935"/>
      <c r="S9" s="1935"/>
      <c r="T9" s="1935"/>
      <c r="U9" s="1935"/>
      <c r="V9" s="1935"/>
      <c r="W9" s="1935"/>
      <c r="X9" s="1935"/>
      <c r="Y9" s="1935"/>
      <c r="Z9" s="1935"/>
      <c r="AA9" s="1935"/>
      <c r="AB9" s="1935"/>
      <c r="AC9" s="1935"/>
      <c r="AD9" s="1935"/>
      <c r="AE9" s="1935"/>
      <c r="AF9" s="1935"/>
      <c r="AG9" s="1935"/>
      <c r="AH9" s="1935"/>
      <c r="AI9" s="1935"/>
      <c r="AJ9" s="1935"/>
      <c r="AK9" s="1935"/>
      <c r="AL9" s="1935"/>
      <c r="AM9" s="1935"/>
      <c r="AN9" s="1936"/>
      <c r="AO9" s="1926" t="s">
        <v>403</v>
      </c>
      <c r="AP9" s="1902" t="s">
        <v>51</v>
      </c>
      <c r="AQ9" s="1903"/>
      <c r="AR9" s="1902" t="s">
        <v>108</v>
      </c>
      <c r="AS9" s="1922"/>
      <c r="AZ9" s="172"/>
      <c r="BA9" s="606"/>
      <c r="BP9" s="172"/>
      <c r="BQ9" s="108"/>
    </row>
    <row r="10" spans="1:96" ht="20.25" customHeight="1" x14ac:dyDescent="0.25">
      <c r="B10" s="1948"/>
      <c r="C10" s="1948"/>
      <c r="D10" s="1770"/>
      <c r="E10" s="1771"/>
      <c r="F10" s="1772"/>
      <c r="G10" s="1929" t="s">
        <v>404</v>
      </c>
      <c r="H10" s="1930"/>
      <c r="I10" s="1929" t="s">
        <v>405</v>
      </c>
      <c r="J10" s="1930"/>
      <c r="K10" s="1929" t="s">
        <v>317</v>
      </c>
      <c r="L10" s="1930"/>
      <c r="M10" s="1931" t="s">
        <v>57</v>
      </c>
      <c r="N10" s="1931"/>
      <c r="O10" s="1931" t="s">
        <v>58</v>
      </c>
      <c r="P10" s="1931"/>
      <c r="Q10" s="1931" t="s">
        <v>59</v>
      </c>
      <c r="R10" s="1931"/>
      <c r="S10" s="1937" t="s">
        <v>60</v>
      </c>
      <c r="T10" s="1853"/>
      <c r="U10" s="1931" t="s">
        <v>61</v>
      </c>
      <c r="V10" s="1931"/>
      <c r="W10" s="1937" t="s">
        <v>62</v>
      </c>
      <c r="X10" s="1853"/>
      <c r="Y10" s="1931" t="s">
        <v>63</v>
      </c>
      <c r="Z10" s="1931"/>
      <c r="AA10" s="1937" t="s">
        <v>64</v>
      </c>
      <c r="AB10" s="1853"/>
      <c r="AC10" s="1931" t="s">
        <v>65</v>
      </c>
      <c r="AD10" s="1931"/>
      <c r="AE10" s="1937" t="s">
        <v>66</v>
      </c>
      <c r="AF10" s="1853"/>
      <c r="AG10" s="1932" t="s">
        <v>67</v>
      </c>
      <c r="AH10" s="1933"/>
      <c r="AI10" s="1932" t="s">
        <v>406</v>
      </c>
      <c r="AJ10" s="1933"/>
      <c r="AK10" s="1932" t="s">
        <v>407</v>
      </c>
      <c r="AL10" s="1933"/>
      <c r="AM10" s="1932" t="s">
        <v>408</v>
      </c>
      <c r="AN10" s="1938"/>
      <c r="AO10" s="1927"/>
      <c r="AP10" s="1904"/>
      <c r="AQ10" s="1905"/>
      <c r="AR10" s="1904"/>
      <c r="AS10" s="1924"/>
      <c r="AZ10" s="172"/>
      <c r="BA10" s="606"/>
      <c r="BP10" s="172"/>
      <c r="BQ10" s="108"/>
    </row>
    <row r="11" spans="1:96" ht="21" x14ac:dyDescent="0.25">
      <c r="B11" s="1948"/>
      <c r="C11" s="1948"/>
      <c r="D11" s="1471" t="s">
        <v>409</v>
      </c>
      <c r="E11" s="1254" t="s">
        <v>86</v>
      </c>
      <c r="F11" s="1255" t="s">
        <v>227</v>
      </c>
      <c r="G11" s="1256" t="s">
        <v>86</v>
      </c>
      <c r="H11" s="1255" t="s">
        <v>227</v>
      </c>
      <c r="I11" s="1256" t="s">
        <v>86</v>
      </c>
      <c r="J11" s="1255" t="s">
        <v>227</v>
      </c>
      <c r="K11" s="1256" t="s">
        <v>86</v>
      </c>
      <c r="L11" s="1255" t="s">
        <v>227</v>
      </c>
      <c r="M11" s="1257" t="s">
        <v>86</v>
      </c>
      <c r="N11" s="1258" t="s">
        <v>227</v>
      </c>
      <c r="O11" s="1257" t="s">
        <v>86</v>
      </c>
      <c r="P11" s="1258" t="s">
        <v>227</v>
      </c>
      <c r="Q11" s="1257" t="s">
        <v>86</v>
      </c>
      <c r="R11" s="1258" t="s">
        <v>227</v>
      </c>
      <c r="S11" s="1259" t="s">
        <v>86</v>
      </c>
      <c r="T11" s="993" t="s">
        <v>227</v>
      </c>
      <c r="U11" s="1257" t="s">
        <v>86</v>
      </c>
      <c r="V11" s="1258" t="s">
        <v>227</v>
      </c>
      <c r="W11" s="1259" t="s">
        <v>86</v>
      </c>
      <c r="X11" s="993" t="s">
        <v>227</v>
      </c>
      <c r="Y11" s="1257" t="s">
        <v>86</v>
      </c>
      <c r="Z11" s="1258" t="s">
        <v>227</v>
      </c>
      <c r="AA11" s="1259" t="s">
        <v>86</v>
      </c>
      <c r="AB11" s="993" t="s">
        <v>227</v>
      </c>
      <c r="AC11" s="1257" t="s">
        <v>86</v>
      </c>
      <c r="AD11" s="1258" t="s">
        <v>227</v>
      </c>
      <c r="AE11" s="1259" t="s">
        <v>86</v>
      </c>
      <c r="AF11" s="993" t="s">
        <v>227</v>
      </c>
      <c r="AG11" s="1260" t="s">
        <v>410</v>
      </c>
      <c r="AH11" s="874" t="s">
        <v>227</v>
      </c>
      <c r="AI11" s="1260" t="s">
        <v>410</v>
      </c>
      <c r="AJ11" s="874" t="s">
        <v>227</v>
      </c>
      <c r="AK11" s="1260" t="s">
        <v>410</v>
      </c>
      <c r="AL11" s="874" t="s">
        <v>227</v>
      </c>
      <c r="AM11" s="1260" t="s">
        <v>410</v>
      </c>
      <c r="AN11" s="87" t="s">
        <v>227</v>
      </c>
      <c r="AO11" s="1928"/>
      <c r="AP11" s="757" t="s">
        <v>410</v>
      </c>
      <c r="AQ11" s="758" t="s">
        <v>227</v>
      </c>
      <c r="AR11" s="1476" t="s">
        <v>410</v>
      </c>
      <c r="AS11" s="874" t="s">
        <v>227</v>
      </c>
      <c r="AZ11" s="172"/>
      <c r="BA11" s="606"/>
      <c r="BP11" s="172"/>
      <c r="BQ11" s="108"/>
    </row>
    <row r="12" spans="1:96" ht="15" customHeight="1" x14ac:dyDescent="0.25">
      <c r="A12" s="1585" t="s">
        <v>1164</v>
      </c>
      <c r="B12" s="1957" t="s">
        <v>411</v>
      </c>
      <c r="C12" s="567" t="s">
        <v>282</v>
      </c>
      <c r="D12" s="1145" t="s">
        <v>1616</v>
      </c>
      <c r="E12" s="392" t="s">
        <v>1617</v>
      </c>
      <c r="F12" s="393" t="s">
        <v>1618</v>
      </c>
      <c r="G12" s="394" t="s">
        <v>1619</v>
      </c>
      <c r="H12" s="395" t="s">
        <v>1620</v>
      </c>
      <c r="I12" s="433" t="s">
        <v>1621</v>
      </c>
      <c r="J12" s="434" t="s">
        <v>1622</v>
      </c>
      <c r="K12" s="433" t="s">
        <v>1623</v>
      </c>
      <c r="L12" s="434" t="s">
        <v>1624</v>
      </c>
      <c r="M12" s="433" t="s">
        <v>1625</v>
      </c>
      <c r="N12" s="434" t="s">
        <v>1626</v>
      </c>
      <c r="O12" s="433" t="s">
        <v>1627</v>
      </c>
      <c r="P12" s="434" t="s">
        <v>1628</v>
      </c>
      <c r="Q12" s="433" t="s">
        <v>1629</v>
      </c>
      <c r="R12" s="434" t="s">
        <v>1630</v>
      </c>
      <c r="S12" s="433" t="s">
        <v>1631</v>
      </c>
      <c r="T12" s="434" t="s">
        <v>1632</v>
      </c>
      <c r="U12" s="433" t="s">
        <v>1633</v>
      </c>
      <c r="V12" s="434" t="s">
        <v>1634</v>
      </c>
      <c r="W12" s="433" t="s">
        <v>1635</v>
      </c>
      <c r="X12" s="434" t="s">
        <v>1636</v>
      </c>
      <c r="Y12" s="433" t="s">
        <v>1637</v>
      </c>
      <c r="Z12" s="434" t="s">
        <v>1638</v>
      </c>
      <c r="AA12" s="433" t="s">
        <v>1639</v>
      </c>
      <c r="AB12" s="434" t="s">
        <v>1640</v>
      </c>
      <c r="AC12" s="433" t="s">
        <v>1641</v>
      </c>
      <c r="AD12" s="434" t="s">
        <v>1642</v>
      </c>
      <c r="AE12" s="433" t="s">
        <v>1643</v>
      </c>
      <c r="AF12" s="434" t="s">
        <v>1644</v>
      </c>
      <c r="AG12" s="433" t="s">
        <v>1645</v>
      </c>
      <c r="AH12" s="434" t="s">
        <v>1646</v>
      </c>
      <c r="AI12" s="433" t="s">
        <v>1647</v>
      </c>
      <c r="AJ12" s="434" t="s">
        <v>1648</v>
      </c>
      <c r="AK12" s="433" t="s">
        <v>1649</v>
      </c>
      <c r="AL12" s="434" t="s">
        <v>1650</v>
      </c>
      <c r="AM12" s="433" t="s">
        <v>1651</v>
      </c>
      <c r="AN12" s="570" t="s">
        <v>1652</v>
      </c>
      <c r="AO12" s="396" t="s">
        <v>1653</v>
      </c>
      <c r="AP12" s="412" t="s">
        <v>1654</v>
      </c>
      <c r="AQ12" s="395" t="s">
        <v>1655</v>
      </c>
      <c r="AR12" s="412" t="s">
        <v>1656</v>
      </c>
      <c r="AS12" s="395" t="s">
        <v>1657</v>
      </c>
      <c r="AT12" s="1056" t="str">
        <f>$CB12&amp;$CC12&amp;$CD12&amp;$CE12&amp;$CF12&amp;$CG12&amp;$CH12</f>
        <v>* La variable con Espirometría Vigente no debe ser mayor al Total Ambos Sexos.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U12" s="606"/>
      <c r="AV12" s="606"/>
      <c r="AW12" s="606"/>
      <c r="AX12" s="606"/>
      <c r="AY12" s="606"/>
      <c r="AZ12" s="606"/>
      <c r="BA12" s="606"/>
      <c r="BP12" s="172"/>
      <c r="BQ12" s="108"/>
      <c r="CB12" s="191" t="str">
        <f>IF($AO12&lt;=D12,"","* La variable con Espirometría Vigente no debe ser mayor al Total Ambos Sexos. ")</f>
        <v xml:space="preserve">* La variable con Espirometría Vigente no debe ser mayor al Total Ambos Sexos. </v>
      </c>
      <c r="CC12" s="191" t="str">
        <f>IF(AND(E12&gt;0,OR(AP12=""))," * No olvide digitar la variable Pueblos Originarios Hombres. Digite Cero si no tiene.",IF(AP12&gt;E12," * La variable Pueblos Originarios Hombres no puede ser Mayor al Total Hombres.",""))</f>
        <v xml:space="preserve"> * La variable Pueblos Originarios Hombres no puede ser Mayor al Total Hombres.</v>
      </c>
      <c r="CD12" s="191" t="str">
        <f>IF(AND(F12&gt;0,OR(AQ12=""))," * No olvide digitar la variable Pueblos Originarios Mujeres. Digite Cero si no tiene.",IF(AQ12&gt;F12," * La variable Pueblos Originarios Mujeres no puede ser Mayor al Total Mujeres.",""))</f>
        <v xml:space="preserve"> * La variable Pueblos Originarios Mujeres no puede ser Mayor al Total Mujeres.</v>
      </c>
      <c r="CE12" s="191" t="str">
        <f>IF(AND($E12&gt;0,OR(AR12=""))," * No olvide digitar la variable Migrantes Hombres. Digite Cero si no tiene.",IF(AR12&gt;$E12," * La variable Migrantes Hombres no puede ser Mayor al Total Hombres.",""))</f>
        <v xml:space="preserve"> * La variable Migrantes Hombres no puede ser Mayor al Total Hombres.</v>
      </c>
      <c r="CF12" s="191" t="str">
        <f>IF(AND(F12&gt;0,OR(AS12=""))," * No olvide digitar la variable Migrantes Mujeres. Digite Cero si no tiene.",IF(AS12&gt;F12," * La variable Migrantes Mujeres no puede ser Mayor al Total Mujeres.",""))</f>
        <v xml:space="preserve"> * La variable Migrantes Mujeres no puede ser Mayor al Total Mujeres.</v>
      </c>
      <c r="CN12" s="1047">
        <f>IF($AO12&lt;=$D12,0,1)</f>
        <v>1</v>
      </c>
      <c r="CO12" s="1047">
        <f>IF(AND(E12&gt;0,OR(AP12="")),1,IF(AP12&gt;E12,1,0))</f>
        <v>1</v>
      </c>
      <c r="CP12" s="1047">
        <f>IF(AND(F12&gt;0,OR(AQ12="")),1,IF(AQ12&gt;F12,1,0))</f>
        <v>1</v>
      </c>
      <c r="CQ12" s="1047">
        <f>IF(AND(E12&gt;0,OR(AR12="")),1,IF(AR12&gt;E12,1,0))</f>
        <v>1</v>
      </c>
      <c r="CR12" s="1047">
        <f>IF(AND(F12&gt;0,OR(AS12="")),1,IF(AS12&gt;F12,1,0))</f>
        <v>1</v>
      </c>
    </row>
    <row r="13" spans="1:96" ht="15" customHeight="1" x14ac:dyDescent="0.25">
      <c r="A13" s="1585" t="s">
        <v>1165</v>
      </c>
      <c r="B13" s="1958"/>
      <c r="C13" s="88" t="s">
        <v>283</v>
      </c>
      <c r="D13" s="1142" t="s">
        <v>1616</v>
      </c>
      <c r="E13" s="397" t="s">
        <v>1617</v>
      </c>
      <c r="F13" s="385" t="s">
        <v>1618</v>
      </c>
      <c r="G13" s="398" t="s">
        <v>1619</v>
      </c>
      <c r="H13" s="399" t="s">
        <v>1620</v>
      </c>
      <c r="I13" s="546" t="s">
        <v>1621</v>
      </c>
      <c r="J13" s="547" t="s">
        <v>1622</v>
      </c>
      <c r="K13" s="436" t="s">
        <v>1623</v>
      </c>
      <c r="L13" s="437" t="s">
        <v>1624</v>
      </c>
      <c r="M13" s="546" t="s">
        <v>1625</v>
      </c>
      <c r="N13" s="547" t="s">
        <v>1626</v>
      </c>
      <c r="O13" s="546" t="s">
        <v>1627</v>
      </c>
      <c r="P13" s="547" t="s">
        <v>1628</v>
      </c>
      <c r="Q13" s="546" t="s">
        <v>1629</v>
      </c>
      <c r="R13" s="547" t="s">
        <v>1630</v>
      </c>
      <c r="S13" s="546" t="s">
        <v>1631</v>
      </c>
      <c r="T13" s="547" t="s">
        <v>1632</v>
      </c>
      <c r="U13" s="546" t="s">
        <v>1633</v>
      </c>
      <c r="V13" s="547" t="s">
        <v>1634</v>
      </c>
      <c r="W13" s="546" t="s">
        <v>1635</v>
      </c>
      <c r="X13" s="547" t="s">
        <v>1636</v>
      </c>
      <c r="Y13" s="546" t="s">
        <v>1637</v>
      </c>
      <c r="Z13" s="547" t="s">
        <v>1638</v>
      </c>
      <c r="AA13" s="546" t="s">
        <v>1639</v>
      </c>
      <c r="AB13" s="547" t="s">
        <v>1640</v>
      </c>
      <c r="AC13" s="546" t="s">
        <v>1641</v>
      </c>
      <c r="AD13" s="547" t="s">
        <v>1642</v>
      </c>
      <c r="AE13" s="546" t="s">
        <v>1643</v>
      </c>
      <c r="AF13" s="547" t="s">
        <v>1644</v>
      </c>
      <c r="AG13" s="546" t="s">
        <v>1645</v>
      </c>
      <c r="AH13" s="547" t="s">
        <v>1646</v>
      </c>
      <c r="AI13" s="546" t="s">
        <v>1647</v>
      </c>
      <c r="AJ13" s="547" t="s">
        <v>1648</v>
      </c>
      <c r="AK13" s="546" t="s">
        <v>1649</v>
      </c>
      <c r="AL13" s="547" t="s">
        <v>1650</v>
      </c>
      <c r="AM13" s="546" t="s">
        <v>1651</v>
      </c>
      <c r="AN13" s="571" t="s">
        <v>1652</v>
      </c>
      <c r="AO13" s="400" t="s">
        <v>1653</v>
      </c>
      <c r="AP13" s="445" t="s">
        <v>1654</v>
      </c>
      <c r="AQ13" s="399" t="s">
        <v>1655</v>
      </c>
      <c r="AR13" s="445" t="s">
        <v>1656</v>
      </c>
      <c r="AS13" s="399" t="s">
        <v>1657</v>
      </c>
      <c r="AT13" s="1056" t="str">
        <f t="shared" ref="AT13:AT19" si="0">$CB13&amp;$CC13&amp;$CD13&amp;$CE13&amp;$CF13&amp;$CG13&amp;$CH13</f>
        <v>* La variable con Espirometría Vigente no debe ser mayor al Total Ambos Sexos.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13" s="172"/>
      <c r="BA13" s="606"/>
      <c r="BP13" s="172"/>
      <c r="BQ13" s="108"/>
      <c r="CB13" s="191" t="str">
        <f t="shared" ref="CB13:CB18" si="1">IF($AO13&lt;=D13,"","* La variable con Espirometría Vigente no debe ser mayor al Total Ambos Sexos. ")</f>
        <v xml:space="preserve">* La variable con Espirometría Vigente no debe ser mayor al Total Ambos Sexos. </v>
      </c>
      <c r="CC13" s="191" t="str">
        <f t="shared" ref="CC13:CC47" si="2">IF(AND(E13&gt;0,OR(AP13=""))," * No olvide digitar la variable Pueblos Originarios Hombres. Digite Cero si no tiene.",IF(AP13&gt;E13," * La variable Pueblos Originarios Hombres no puede ser Mayor al Total Hombres.",""))</f>
        <v xml:space="preserve"> * La variable Pueblos Originarios Hombres no puede ser Mayor al Total Hombres.</v>
      </c>
      <c r="CD13" s="191" t="str">
        <f t="shared" ref="CD13:CD47" si="3">IF(AND(F13&gt;0,OR(AQ13=""))," * No olvide digitar la variable Pueblos Originarios Mujeres. Digite Cero si no tiene.",IF(AQ13&gt;F13," * La variable Pueblos Originarios Mujeres no puede ser Mayor al Total Mujeres.",""))</f>
        <v xml:space="preserve"> * La variable Pueblos Originarios Mujeres no puede ser Mayor al Total Mujeres.</v>
      </c>
      <c r="CE13" s="191" t="str">
        <f t="shared" ref="CE13:CE19" si="4">IF(AND($E13&gt;0,OR(AR13=""))," * No olvide digitar la variable Migrantes Hombres. Digite Cero si no tiene.",IF(AR13&gt;$E13," * La variable Migrantes Hombres no puede ser Mayor al Total Hombres.",""))</f>
        <v xml:space="preserve"> * La variable Migrantes Hombres no puede ser Mayor al Total Hombres.</v>
      </c>
      <c r="CF13" s="191" t="str">
        <f t="shared" ref="CF13:CF19" si="5">IF(AND(F13&gt;0,OR(AS13=""))," * No olvide digitar la variable Migrantes Mujeres. Digite Cero si no tiene.",IF(AS13&gt;F13," * La variable Migrantes Mujeres no puede ser Mayor al Total Mujeres.",""))</f>
        <v xml:space="preserve"> * La variable Migrantes Mujeres no puede ser Mayor al Total Mujeres.</v>
      </c>
      <c r="CN13" s="1047">
        <f t="shared" ref="CN13:CN18" si="6">IF($AO13&lt;=$D13,0,1)</f>
        <v>1</v>
      </c>
      <c r="CO13" s="1047">
        <f t="shared" ref="CO13:CO44" si="7">IF(AND(E13&gt;0,OR(AP13="")),1,IF(AP13&gt;E13,1,0))</f>
        <v>1</v>
      </c>
      <c r="CP13" s="1047">
        <f t="shared" ref="CP13:CP44" si="8">IF(AND(F13&gt;0,OR(AQ13="")),1,IF(AQ13&gt;F13,1,0))</f>
        <v>1</v>
      </c>
      <c r="CQ13" s="1047">
        <f t="shared" ref="CQ13:CQ44" si="9">IF(AND(E13&gt;0,OR(AR13="")),1,IF(AR13&gt;E13,1,0))</f>
        <v>1</v>
      </c>
      <c r="CR13" s="1047">
        <f t="shared" ref="CR13:CR44" si="10">IF(AND(F13&gt;0,OR(AS13="")),1,IF(AS13&gt;F13,1,0))</f>
        <v>1</v>
      </c>
    </row>
    <row r="14" spans="1:96" ht="15" customHeight="1" x14ac:dyDescent="0.25">
      <c r="A14" s="1585" t="s">
        <v>1166</v>
      </c>
      <c r="B14" s="1954"/>
      <c r="C14" s="89" t="s">
        <v>412</v>
      </c>
      <c r="D14" s="1376" t="s">
        <v>1616</v>
      </c>
      <c r="E14" s="401" t="s">
        <v>1617</v>
      </c>
      <c r="F14" s="402" t="s">
        <v>1618</v>
      </c>
      <c r="G14" s="403" t="s">
        <v>1619</v>
      </c>
      <c r="H14" s="404" t="s">
        <v>1620</v>
      </c>
      <c r="I14" s="572" t="s">
        <v>1621</v>
      </c>
      <c r="J14" s="573" t="s">
        <v>1622</v>
      </c>
      <c r="K14" s="572" t="s">
        <v>1623</v>
      </c>
      <c r="L14" s="573" t="s">
        <v>1624</v>
      </c>
      <c r="M14" s="572" t="s">
        <v>1625</v>
      </c>
      <c r="N14" s="573" t="s">
        <v>1626</v>
      </c>
      <c r="O14" s="572" t="s">
        <v>1627</v>
      </c>
      <c r="P14" s="573" t="s">
        <v>1628</v>
      </c>
      <c r="Q14" s="572" t="s">
        <v>1629</v>
      </c>
      <c r="R14" s="573" t="s">
        <v>1630</v>
      </c>
      <c r="S14" s="572" t="s">
        <v>1631</v>
      </c>
      <c r="T14" s="573" t="s">
        <v>1632</v>
      </c>
      <c r="U14" s="572" t="s">
        <v>1633</v>
      </c>
      <c r="V14" s="573" t="s">
        <v>1634</v>
      </c>
      <c r="W14" s="572" t="s">
        <v>1635</v>
      </c>
      <c r="X14" s="573" t="s">
        <v>1636</v>
      </c>
      <c r="Y14" s="572" t="s">
        <v>1637</v>
      </c>
      <c r="Z14" s="573" t="s">
        <v>1638</v>
      </c>
      <c r="AA14" s="572" t="s">
        <v>1639</v>
      </c>
      <c r="AB14" s="573" t="s">
        <v>1640</v>
      </c>
      <c r="AC14" s="572" t="s">
        <v>1641</v>
      </c>
      <c r="AD14" s="573" t="s">
        <v>1642</v>
      </c>
      <c r="AE14" s="572" t="s">
        <v>1643</v>
      </c>
      <c r="AF14" s="573" t="s">
        <v>1644</v>
      </c>
      <c r="AG14" s="572" t="s">
        <v>1645</v>
      </c>
      <c r="AH14" s="573" t="s">
        <v>1646</v>
      </c>
      <c r="AI14" s="572" t="s">
        <v>1647</v>
      </c>
      <c r="AJ14" s="573" t="s">
        <v>1648</v>
      </c>
      <c r="AK14" s="572" t="s">
        <v>1649</v>
      </c>
      <c r="AL14" s="573" t="s">
        <v>1650</v>
      </c>
      <c r="AM14" s="572" t="s">
        <v>1651</v>
      </c>
      <c r="AN14" s="574" t="s">
        <v>1652</v>
      </c>
      <c r="AO14" s="405" t="s">
        <v>1653</v>
      </c>
      <c r="AP14" s="449" t="s">
        <v>1654</v>
      </c>
      <c r="AQ14" s="409" t="s">
        <v>1655</v>
      </c>
      <c r="AR14" s="449" t="s">
        <v>1656</v>
      </c>
      <c r="AS14" s="409" t="s">
        <v>1657</v>
      </c>
      <c r="AT14" s="1056" t="str">
        <f t="shared" si="0"/>
        <v>* La variable con Espirometría Vigente no debe ser mayor al Total Ambos Sexos.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14" s="172"/>
      <c r="BA14" s="606"/>
      <c r="BP14" s="172"/>
      <c r="BQ14" s="108"/>
      <c r="CB14" s="191" t="str">
        <f t="shared" si="1"/>
        <v xml:space="preserve">* La variable con Espirometría Vigente no debe ser mayor al Total Ambos Sexos. </v>
      </c>
      <c r="CC14" s="191" t="str">
        <f t="shared" si="2"/>
        <v xml:space="preserve"> * La variable Pueblos Originarios Hombres no puede ser Mayor al Total Hombres.</v>
      </c>
      <c r="CD14" s="191" t="str">
        <f t="shared" si="3"/>
        <v xml:space="preserve"> * La variable Pueblos Originarios Mujeres no puede ser Mayor al Total Mujeres.</v>
      </c>
      <c r="CE14" s="191" t="str">
        <f t="shared" si="4"/>
        <v xml:space="preserve"> * La variable Migrantes Hombres no puede ser Mayor al Total Hombres.</v>
      </c>
      <c r="CF14" s="191" t="str">
        <f t="shared" si="5"/>
        <v xml:space="preserve"> * La variable Migrantes Mujeres no puede ser Mayor al Total Mujeres.</v>
      </c>
      <c r="CN14" s="1047">
        <f t="shared" si="6"/>
        <v>1</v>
      </c>
      <c r="CO14" s="1047">
        <f t="shared" si="7"/>
        <v>1</v>
      </c>
      <c r="CP14" s="1047">
        <f t="shared" si="8"/>
        <v>1</v>
      </c>
      <c r="CQ14" s="1047">
        <f t="shared" si="9"/>
        <v>1</v>
      </c>
      <c r="CR14" s="1047">
        <f t="shared" si="10"/>
        <v>1</v>
      </c>
    </row>
    <row r="15" spans="1:96" ht="15" customHeight="1" x14ac:dyDescent="0.25">
      <c r="A15" s="1585" t="s">
        <v>1167</v>
      </c>
      <c r="B15" s="1950" t="s">
        <v>413</v>
      </c>
      <c r="C15" s="567" t="s">
        <v>282</v>
      </c>
      <c r="D15" s="1145" t="s">
        <v>1616</v>
      </c>
      <c r="E15" s="392" t="s">
        <v>1617</v>
      </c>
      <c r="F15" s="393" t="s">
        <v>1618</v>
      </c>
      <c r="G15" s="394" t="s">
        <v>1619</v>
      </c>
      <c r="H15" s="395" t="s">
        <v>1620</v>
      </c>
      <c r="I15" s="394" t="s">
        <v>1621</v>
      </c>
      <c r="J15" s="395" t="s">
        <v>1622</v>
      </c>
      <c r="K15" s="394" t="s">
        <v>1623</v>
      </c>
      <c r="L15" s="395" t="s">
        <v>1624</v>
      </c>
      <c r="M15" s="394" t="s">
        <v>1625</v>
      </c>
      <c r="N15" s="395" t="s">
        <v>1626</v>
      </c>
      <c r="O15" s="394" t="s">
        <v>1627</v>
      </c>
      <c r="P15" s="395" t="s">
        <v>1628</v>
      </c>
      <c r="Q15" s="394" t="s">
        <v>1629</v>
      </c>
      <c r="R15" s="395" t="s">
        <v>1630</v>
      </c>
      <c r="S15" s="394" t="s">
        <v>1631</v>
      </c>
      <c r="T15" s="395" t="s">
        <v>1632</v>
      </c>
      <c r="U15" s="394" t="s">
        <v>1633</v>
      </c>
      <c r="V15" s="395" t="s">
        <v>1634</v>
      </c>
      <c r="W15" s="394" t="s">
        <v>1635</v>
      </c>
      <c r="X15" s="395" t="s">
        <v>1636</v>
      </c>
      <c r="Y15" s="394" t="s">
        <v>1637</v>
      </c>
      <c r="Z15" s="395" t="s">
        <v>1638</v>
      </c>
      <c r="AA15" s="394" t="s">
        <v>1639</v>
      </c>
      <c r="AB15" s="395" t="s">
        <v>1640</v>
      </c>
      <c r="AC15" s="394" t="s">
        <v>1641</v>
      </c>
      <c r="AD15" s="395" t="s">
        <v>1642</v>
      </c>
      <c r="AE15" s="394" t="s">
        <v>1643</v>
      </c>
      <c r="AF15" s="395" t="s">
        <v>1644</v>
      </c>
      <c r="AG15" s="394" t="s">
        <v>1645</v>
      </c>
      <c r="AH15" s="395" t="s">
        <v>1646</v>
      </c>
      <c r="AI15" s="394" t="s">
        <v>1647</v>
      </c>
      <c r="AJ15" s="395" t="s">
        <v>1648</v>
      </c>
      <c r="AK15" s="394" t="s">
        <v>1649</v>
      </c>
      <c r="AL15" s="395" t="s">
        <v>1650</v>
      </c>
      <c r="AM15" s="394" t="s">
        <v>1651</v>
      </c>
      <c r="AN15" s="406" t="s">
        <v>1652</v>
      </c>
      <c r="AO15" s="396" t="s">
        <v>1653</v>
      </c>
      <c r="AP15" s="412" t="s">
        <v>1654</v>
      </c>
      <c r="AQ15" s="395" t="s">
        <v>1655</v>
      </c>
      <c r="AR15" s="412" t="s">
        <v>1656</v>
      </c>
      <c r="AS15" s="395" t="s">
        <v>1657</v>
      </c>
      <c r="AT15" s="1056" t="str">
        <f t="shared" si="0"/>
        <v>* La variable con Espirometría Vigente no debe ser mayor al Total Ambos Sexos.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15" s="172"/>
      <c r="BA15" s="606"/>
      <c r="BP15" s="172"/>
      <c r="BQ15" s="108"/>
      <c r="CB15" s="191" t="str">
        <f t="shared" si="1"/>
        <v xml:space="preserve">* La variable con Espirometría Vigente no debe ser mayor al Total Ambos Sexos. </v>
      </c>
      <c r="CC15" s="191" t="str">
        <f t="shared" si="2"/>
        <v xml:space="preserve"> * La variable Pueblos Originarios Hombres no puede ser Mayor al Total Hombres.</v>
      </c>
      <c r="CD15" s="191" t="str">
        <f t="shared" si="3"/>
        <v xml:space="preserve"> * La variable Pueblos Originarios Mujeres no puede ser Mayor al Total Mujeres.</v>
      </c>
      <c r="CE15" s="191" t="str">
        <f t="shared" si="4"/>
        <v xml:space="preserve"> * La variable Migrantes Hombres no puede ser Mayor al Total Hombres.</v>
      </c>
      <c r="CF15" s="191" t="str">
        <f t="shared" si="5"/>
        <v xml:space="preserve"> * La variable Migrantes Mujeres no puede ser Mayor al Total Mujeres.</v>
      </c>
      <c r="CN15" s="1047">
        <f t="shared" si="6"/>
        <v>1</v>
      </c>
      <c r="CO15" s="1047">
        <f t="shared" si="7"/>
        <v>1</v>
      </c>
      <c r="CP15" s="1047">
        <f t="shared" si="8"/>
        <v>1</v>
      </c>
      <c r="CQ15" s="1047">
        <f t="shared" si="9"/>
        <v>1</v>
      </c>
      <c r="CR15" s="1047">
        <f t="shared" si="10"/>
        <v>1</v>
      </c>
    </row>
    <row r="16" spans="1:96" ht="15" customHeight="1" x14ac:dyDescent="0.25">
      <c r="A16" s="1585" t="s">
        <v>1168</v>
      </c>
      <c r="B16" s="1951"/>
      <c r="C16" s="88" t="s">
        <v>283</v>
      </c>
      <c r="D16" s="1142" t="s">
        <v>1616</v>
      </c>
      <c r="E16" s="397" t="s">
        <v>1617</v>
      </c>
      <c r="F16" s="385" t="s">
        <v>1618</v>
      </c>
      <c r="G16" s="398" t="s">
        <v>1619</v>
      </c>
      <c r="H16" s="399" t="s">
        <v>1620</v>
      </c>
      <c r="I16" s="398" t="s">
        <v>1621</v>
      </c>
      <c r="J16" s="399" t="s">
        <v>1622</v>
      </c>
      <c r="K16" s="398" t="s">
        <v>1623</v>
      </c>
      <c r="L16" s="399" t="s">
        <v>1624</v>
      </c>
      <c r="M16" s="398" t="s">
        <v>1625</v>
      </c>
      <c r="N16" s="399" t="s">
        <v>1626</v>
      </c>
      <c r="O16" s="398" t="s">
        <v>1627</v>
      </c>
      <c r="P16" s="399" t="s">
        <v>1628</v>
      </c>
      <c r="Q16" s="398" t="s">
        <v>1629</v>
      </c>
      <c r="R16" s="399" t="s">
        <v>1630</v>
      </c>
      <c r="S16" s="398" t="s">
        <v>1631</v>
      </c>
      <c r="T16" s="399" t="s">
        <v>1632</v>
      </c>
      <c r="U16" s="398" t="s">
        <v>1633</v>
      </c>
      <c r="V16" s="399" t="s">
        <v>1634</v>
      </c>
      <c r="W16" s="398" t="s">
        <v>1635</v>
      </c>
      <c r="X16" s="399" t="s">
        <v>1636</v>
      </c>
      <c r="Y16" s="398" t="s">
        <v>1637</v>
      </c>
      <c r="Z16" s="399" t="s">
        <v>1638</v>
      </c>
      <c r="AA16" s="398" t="s">
        <v>1639</v>
      </c>
      <c r="AB16" s="399" t="s">
        <v>1640</v>
      </c>
      <c r="AC16" s="398" t="s">
        <v>1641</v>
      </c>
      <c r="AD16" s="399" t="s">
        <v>1642</v>
      </c>
      <c r="AE16" s="398" t="s">
        <v>1643</v>
      </c>
      <c r="AF16" s="399" t="s">
        <v>1644</v>
      </c>
      <c r="AG16" s="398" t="s">
        <v>1645</v>
      </c>
      <c r="AH16" s="399" t="s">
        <v>1646</v>
      </c>
      <c r="AI16" s="398" t="s">
        <v>1647</v>
      </c>
      <c r="AJ16" s="399" t="s">
        <v>1648</v>
      </c>
      <c r="AK16" s="398" t="s">
        <v>1649</v>
      </c>
      <c r="AL16" s="399" t="s">
        <v>1650</v>
      </c>
      <c r="AM16" s="398" t="s">
        <v>1651</v>
      </c>
      <c r="AN16" s="407" t="s">
        <v>1652</v>
      </c>
      <c r="AO16" s="400" t="s">
        <v>1653</v>
      </c>
      <c r="AP16" s="445" t="s">
        <v>1654</v>
      </c>
      <c r="AQ16" s="399" t="s">
        <v>1655</v>
      </c>
      <c r="AR16" s="445" t="s">
        <v>1656</v>
      </c>
      <c r="AS16" s="399" t="s">
        <v>1657</v>
      </c>
      <c r="AT16" s="1056" t="str">
        <f t="shared" si="0"/>
        <v>* La variable con Espirometría Vigente no debe ser mayor al Total Ambos Sexos.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16" s="172"/>
      <c r="BA16" s="606"/>
      <c r="BP16" s="172"/>
      <c r="BQ16" s="108"/>
      <c r="CB16" s="191" t="str">
        <f t="shared" si="1"/>
        <v xml:space="preserve">* La variable con Espirometría Vigente no debe ser mayor al Total Ambos Sexos. </v>
      </c>
      <c r="CC16" s="191" t="str">
        <f t="shared" si="2"/>
        <v xml:space="preserve"> * La variable Pueblos Originarios Hombres no puede ser Mayor al Total Hombres.</v>
      </c>
      <c r="CD16" s="191" t="str">
        <f t="shared" si="3"/>
        <v xml:space="preserve"> * La variable Pueblos Originarios Mujeres no puede ser Mayor al Total Mujeres.</v>
      </c>
      <c r="CE16" s="191" t="str">
        <f t="shared" si="4"/>
        <v xml:space="preserve"> * La variable Migrantes Hombres no puede ser Mayor al Total Hombres.</v>
      </c>
      <c r="CF16" s="191" t="str">
        <f t="shared" si="5"/>
        <v xml:space="preserve"> * La variable Migrantes Mujeres no puede ser Mayor al Total Mujeres.</v>
      </c>
      <c r="CN16" s="1047">
        <f t="shared" si="6"/>
        <v>1</v>
      </c>
      <c r="CO16" s="1047">
        <f t="shared" si="7"/>
        <v>1</v>
      </c>
      <c r="CP16" s="1047">
        <f t="shared" si="8"/>
        <v>1</v>
      </c>
      <c r="CQ16" s="1047">
        <f t="shared" si="9"/>
        <v>1</v>
      </c>
      <c r="CR16" s="1047">
        <f t="shared" si="10"/>
        <v>1</v>
      </c>
    </row>
    <row r="17" spans="1:96" ht="15" customHeight="1" x14ac:dyDescent="0.25">
      <c r="A17" s="1585" t="s">
        <v>1169</v>
      </c>
      <c r="B17" s="1952"/>
      <c r="C17" s="89" t="s">
        <v>412</v>
      </c>
      <c r="D17" s="1144" t="s">
        <v>1616</v>
      </c>
      <c r="E17" s="391" t="s">
        <v>1617</v>
      </c>
      <c r="F17" s="386" t="s">
        <v>1618</v>
      </c>
      <c r="G17" s="403" t="s">
        <v>1619</v>
      </c>
      <c r="H17" s="404" t="s">
        <v>1620</v>
      </c>
      <c r="I17" s="408" t="s">
        <v>1621</v>
      </c>
      <c r="J17" s="409" t="s">
        <v>1622</v>
      </c>
      <c r="K17" s="408" t="s">
        <v>1623</v>
      </c>
      <c r="L17" s="409" t="s">
        <v>1624</v>
      </c>
      <c r="M17" s="408" t="s">
        <v>1625</v>
      </c>
      <c r="N17" s="409" t="s">
        <v>1626</v>
      </c>
      <c r="O17" s="408" t="s">
        <v>1627</v>
      </c>
      <c r="P17" s="409" t="s">
        <v>1628</v>
      </c>
      <c r="Q17" s="408" t="s">
        <v>1629</v>
      </c>
      <c r="R17" s="409" t="s">
        <v>1630</v>
      </c>
      <c r="S17" s="408" t="s">
        <v>1631</v>
      </c>
      <c r="T17" s="409" t="s">
        <v>1632</v>
      </c>
      <c r="U17" s="408" t="s">
        <v>1633</v>
      </c>
      <c r="V17" s="409" t="s">
        <v>1634</v>
      </c>
      <c r="W17" s="408" t="s">
        <v>1635</v>
      </c>
      <c r="X17" s="409" t="s">
        <v>1636</v>
      </c>
      <c r="Y17" s="408" t="s">
        <v>1637</v>
      </c>
      <c r="Z17" s="409" t="s">
        <v>1638</v>
      </c>
      <c r="AA17" s="408" t="s">
        <v>1639</v>
      </c>
      <c r="AB17" s="409" t="s">
        <v>1640</v>
      </c>
      <c r="AC17" s="408" t="s">
        <v>1641</v>
      </c>
      <c r="AD17" s="409" t="s">
        <v>1642</v>
      </c>
      <c r="AE17" s="408" t="s">
        <v>1643</v>
      </c>
      <c r="AF17" s="409" t="s">
        <v>1644</v>
      </c>
      <c r="AG17" s="408" t="s">
        <v>1645</v>
      </c>
      <c r="AH17" s="409" t="s">
        <v>1646</v>
      </c>
      <c r="AI17" s="408" t="s">
        <v>1647</v>
      </c>
      <c r="AJ17" s="409" t="s">
        <v>1648</v>
      </c>
      <c r="AK17" s="408" t="s">
        <v>1649</v>
      </c>
      <c r="AL17" s="409" t="s">
        <v>1650</v>
      </c>
      <c r="AM17" s="408" t="s">
        <v>1651</v>
      </c>
      <c r="AN17" s="410" t="s">
        <v>1652</v>
      </c>
      <c r="AO17" s="411" t="s">
        <v>1653</v>
      </c>
      <c r="AP17" s="416" t="s">
        <v>1654</v>
      </c>
      <c r="AQ17" s="404" t="s">
        <v>1655</v>
      </c>
      <c r="AR17" s="416" t="s">
        <v>1656</v>
      </c>
      <c r="AS17" s="404" t="s">
        <v>1657</v>
      </c>
      <c r="AT17" s="1056" t="str">
        <f t="shared" si="0"/>
        <v>* La variable con Espirometría Vigente no debe ser mayor al Total Ambos Sexos.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17" s="172"/>
      <c r="BA17" s="606"/>
      <c r="BP17" s="172"/>
      <c r="BQ17" s="108"/>
      <c r="CB17" s="191" t="str">
        <f t="shared" si="1"/>
        <v xml:space="preserve">* La variable con Espirometría Vigente no debe ser mayor al Total Ambos Sexos. </v>
      </c>
      <c r="CC17" s="191" t="str">
        <f t="shared" si="2"/>
        <v xml:space="preserve"> * La variable Pueblos Originarios Hombres no puede ser Mayor al Total Hombres.</v>
      </c>
      <c r="CD17" s="191" t="str">
        <f t="shared" si="3"/>
        <v xml:space="preserve"> * La variable Pueblos Originarios Mujeres no puede ser Mayor al Total Mujeres.</v>
      </c>
      <c r="CE17" s="191" t="str">
        <f t="shared" si="4"/>
        <v xml:space="preserve"> * La variable Migrantes Hombres no puede ser Mayor al Total Hombres.</v>
      </c>
      <c r="CF17" s="191" t="str">
        <f t="shared" si="5"/>
        <v xml:space="preserve"> * La variable Migrantes Mujeres no puede ser Mayor al Total Mujeres.</v>
      </c>
      <c r="CN17" s="1047">
        <f t="shared" si="6"/>
        <v>1</v>
      </c>
      <c r="CO17" s="1047">
        <f t="shared" si="7"/>
        <v>1</v>
      </c>
      <c r="CP17" s="1047">
        <f t="shared" si="8"/>
        <v>1</v>
      </c>
      <c r="CQ17" s="1047">
        <f t="shared" si="9"/>
        <v>1</v>
      </c>
      <c r="CR17" s="1047">
        <f t="shared" si="10"/>
        <v>1</v>
      </c>
    </row>
    <row r="18" spans="1:96" ht="15" customHeight="1" x14ac:dyDescent="0.25">
      <c r="A18" s="1585" t="s">
        <v>1170</v>
      </c>
      <c r="B18" s="1953" t="s">
        <v>414</v>
      </c>
      <c r="C18" s="90" t="s">
        <v>415</v>
      </c>
      <c r="D18" s="1142" t="s">
        <v>1616</v>
      </c>
      <c r="E18" s="387" t="s">
        <v>1617</v>
      </c>
      <c r="F18" s="388" t="s">
        <v>1618</v>
      </c>
      <c r="G18" s="433" t="s">
        <v>1619</v>
      </c>
      <c r="H18" s="434" t="s">
        <v>1620</v>
      </c>
      <c r="I18" s="433" t="s">
        <v>1621</v>
      </c>
      <c r="J18" s="434" t="s">
        <v>1622</v>
      </c>
      <c r="K18" s="433" t="s">
        <v>1623</v>
      </c>
      <c r="L18" s="434" t="s">
        <v>1624</v>
      </c>
      <c r="M18" s="433" t="s">
        <v>1625</v>
      </c>
      <c r="N18" s="434" t="s">
        <v>1626</v>
      </c>
      <c r="O18" s="433" t="s">
        <v>1627</v>
      </c>
      <c r="P18" s="434" t="s">
        <v>1628</v>
      </c>
      <c r="Q18" s="433" t="s">
        <v>1629</v>
      </c>
      <c r="R18" s="434" t="s">
        <v>1630</v>
      </c>
      <c r="S18" s="433" t="s">
        <v>1631</v>
      </c>
      <c r="T18" s="434" t="s">
        <v>1632</v>
      </c>
      <c r="U18" s="433" t="s">
        <v>1633</v>
      </c>
      <c r="V18" s="434" t="s">
        <v>1634</v>
      </c>
      <c r="W18" s="394" t="s">
        <v>1635</v>
      </c>
      <c r="X18" s="395" t="s">
        <v>1636</v>
      </c>
      <c r="Y18" s="394" t="s">
        <v>1637</v>
      </c>
      <c r="Z18" s="395" t="s">
        <v>1638</v>
      </c>
      <c r="AA18" s="394" t="s">
        <v>1639</v>
      </c>
      <c r="AB18" s="395" t="s">
        <v>1640</v>
      </c>
      <c r="AC18" s="394" t="s">
        <v>1641</v>
      </c>
      <c r="AD18" s="395" t="s">
        <v>1642</v>
      </c>
      <c r="AE18" s="394" t="s">
        <v>1643</v>
      </c>
      <c r="AF18" s="395" t="s">
        <v>1644</v>
      </c>
      <c r="AG18" s="394" t="s">
        <v>1645</v>
      </c>
      <c r="AH18" s="395" t="s">
        <v>1646</v>
      </c>
      <c r="AI18" s="394" t="s">
        <v>1647</v>
      </c>
      <c r="AJ18" s="395" t="s">
        <v>1648</v>
      </c>
      <c r="AK18" s="394" t="s">
        <v>1649</v>
      </c>
      <c r="AL18" s="395" t="s">
        <v>1650</v>
      </c>
      <c r="AM18" s="394" t="s">
        <v>1651</v>
      </c>
      <c r="AN18" s="406" t="s">
        <v>1652</v>
      </c>
      <c r="AO18" s="396" t="s">
        <v>1653</v>
      </c>
      <c r="AP18" s="412" t="s">
        <v>1654</v>
      </c>
      <c r="AQ18" s="395" t="s">
        <v>1655</v>
      </c>
      <c r="AR18" s="412" t="s">
        <v>1656</v>
      </c>
      <c r="AS18" s="395" t="s">
        <v>1657</v>
      </c>
      <c r="AT18" s="1056" t="str">
        <f t="shared" si="0"/>
        <v>* La variable con Espirometría Vigente no debe ser mayor al Total Ambos Sexos.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18" s="172"/>
      <c r="BA18" s="606"/>
      <c r="BP18" s="172"/>
      <c r="BQ18" s="108"/>
      <c r="CB18" s="191" t="str">
        <f t="shared" si="1"/>
        <v xml:space="preserve">* La variable con Espirometría Vigente no debe ser mayor al Total Ambos Sexos. </v>
      </c>
      <c r="CC18" s="191" t="str">
        <f t="shared" si="2"/>
        <v xml:space="preserve"> * La variable Pueblos Originarios Hombres no puede ser Mayor al Total Hombres.</v>
      </c>
      <c r="CD18" s="191" t="str">
        <f t="shared" si="3"/>
        <v xml:space="preserve"> * La variable Pueblos Originarios Mujeres no puede ser Mayor al Total Mujeres.</v>
      </c>
      <c r="CE18" s="191" t="str">
        <f t="shared" si="4"/>
        <v xml:space="preserve"> * La variable Migrantes Hombres no puede ser Mayor al Total Hombres.</v>
      </c>
      <c r="CF18" s="191" t="str">
        <f t="shared" si="5"/>
        <v xml:space="preserve"> * La variable Migrantes Mujeres no puede ser Mayor al Total Mujeres.</v>
      </c>
      <c r="CN18" s="1047">
        <f t="shared" si="6"/>
        <v>1</v>
      </c>
      <c r="CO18" s="1047">
        <f t="shared" si="7"/>
        <v>1</v>
      </c>
      <c r="CP18" s="1047">
        <f t="shared" si="8"/>
        <v>1</v>
      </c>
      <c r="CQ18" s="1047">
        <f t="shared" si="9"/>
        <v>1</v>
      </c>
      <c r="CR18" s="1047">
        <f t="shared" si="10"/>
        <v>1</v>
      </c>
    </row>
    <row r="19" spans="1:96" ht="15" customHeight="1" x14ac:dyDescent="0.25">
      <c r="A19" s="1585" t="s">
        <v>1171</v>
      </c>
      <c r="B19" s="1954"/>
      <c r="C19" s="91" t="s">
        <v>416</v>
      </c>
      <c r="D19" s="1143" t="s">
        <v>1616</v>
      </c>
      <c r="E19" s="391" t="s">
        <v>1617</v>
      </c>
      <c r="F19" s="386" t="s">
        <v>1618</v>
      </c>
      <c r="G19" s="439" t="s">
        <v>1619</v>
      </c>
      <c r="H19" s="440" t="s">
        <v>1620</v>
      </c>
      <c r="I19" s="439" t="s">
        <v>1621</v>
      </c>
      <c r="J19" s="440" t="s">
        <v>1622</v>
      </c>
      <c r="K19" s="439" t="s">
        <v>1623</v>
      </c>
      <c r="L19" s="440" t="s">
        <v>1624</v>
      </c>
      <c r="M19" s="439" t="s">
        <v>1625</v>
      </c>
      <c r="N19" s="440" t="s">
        <v>1626</v>
      </c>
      <c r="O19" s="439" t="s">
        <v>1627</v>
      </c>
      <c r="P19" s="440" t="s">
        <v>1628</v>
      </c>
      <c r="Q19" s="439" t="s">
        <v>1629</v>
      </c>
      <c r="R19" s="440" t="s">
        <v>1630</v>
      </c>
      <c r="S19" s="568" t="s">
        <v>1631</v>
      </c>
      <c r="T19" s="569" t="s">
        <v>1632</v>
      </c>
      <c r="U19" s="568" t="s">
        <v>1633</v>
      </c>
      <c r="V19" s="569" t="s">
        <v>1634</v>
      </c>
      <c r="W19" s="413" t="s">
        <v>1635</v>
      </c>
      <c r="X19" s="414" t="s">
        <v>1636</v>
      </c>
      <c r="Y19" s="413" t="s">
        <v>1637</v>
      </c>
      <c r="Z19" s="414" t="s">
        <v>1638</v>
      </c>
      <c r="AA19" s="413" t="s">
        <v>1639</v>
      </c>
      <c r="AB19" s="414" t="s">
        <v>1640</v>
      </c>
      <c r="AC19" s="413" t="s">
        <v>1641</v>
      </c>
      <c r="AD19" s="414" t="s">
        <v>1642</v>
      </c>
      <c r="AE19" s="413" t="s">
        <v>1643</v>
      </c>
      <c r="AF19" s="414" t="s">
        <v>1644</v>
      </c>
      <c r="AG19" s="413" t="s">
        <v>1645</v>
      </c>
      <c r="AH19" s="414" t="s">
        <v>1646</v>
      </c>
      <c r="AI19" s="413" t="s">
        <v>1647</v>
      </c>
      <c r="AJ19" s="414" t="s">
        <v>1648</v>
      </c>
      <c r="AK19" s="413" t="s">
        <v>1649</v>
      </c>
      <c r="AL19" s="414" t="s">
        <v>1650</v>
      </c>
      <c r="AM19" s="413" t="s">
        <v>1651</v>
      </c>
      <c r="AN19" s="415" t="s">
        <v>1652</v>
      </c>
      <c r="AO19" s="411" t="s">
        <v>1653</v>
      </c>
      <c r="AP19" s="416" t="s">
        <v>1654</v>
      </c>
      <c r="AQ19" s="404" t="s">
        <v>1655</v>
      </c>
      <c r="AR19" s="416" t="s">
        <v>1656</v>
      </c>
      <c r="AS19" s="404" t="s">
        <v>1657</v>
      </c>
      <c r="AT19" s="1056" t="str">
        <f t="shared" si="0"/>
        <v>* La variable con Espirometría Vigente no debe ser mayor al Total Ambos Sexos.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19" s="172"/>
      <c r="BA19" s="606"/>
      <c r="BP19" s="172"/>
      <c r="BQ19" s="108"/>
      <c r="CB19" s="191" t="str">
        <f>IF($AO19&lt;=D19,"","* La variable con Espirometría Vigente no debe ser mayor al Total Ambos Sexos. ")</f>
        <v xml:space="preserve">* La variable con Espirometría Vigente no debe ser mayor al Total Ambos Sexos. </v>
      </c>
      <c r="CC19" s="191" t="str">
        <f t="shared" si="2"/>
        <v xml:space="preserve"> * La variable Pueblos Originarios Hombres no puede ser Mayor al Total Hombres.</v>
      </c>
      <c r="CD19" s="191" t="str">
        <f>IF(AND(F19&gt;0,OR(AQ19=""))," * No olvide digitar la variable Pueblos Originarios Mujeres. Digite Cero si no tiene.",IF(AQ19&gt;F19," * La variable Pueblos Originarios Mujeres no puede ser Mayor al Total Mujeres.",""))</f>
        <v xml:space="preserve"> * La variable Pueblos Originarios Mujeres no puede ser Mayor al Total Mujeres.</v>
      </c>
      <c r="CE19" s="191" t="str">
        <f t="shared" si="4"/>
        <v xml:space="preserve"> * La variable Migrantes Hombres no puede ser Mayor al Total Hombres.</v>
      </c>
      <c r="CF19" s="191" t="str">
        <f t="shared" si="5"/>
        <v xml:space="preserve"> * La variable Migrantes Mujeres no puede ser Mayor al Total Mujeres.</v>
      </c>
      <c r="CN19" s="1047">
        <f>IF($AO19&lt;=$D19,0,1)</f>
        <v>1</v>
      </c>
      <c r="CO19" s="1047">
        <f t="shared" si="7"/>
        <v>1</v>
      </c>
      <c r="CP19" s="1047">
        <f t="shared" si="8"/>
        <v>1</v>
      </c>
      <c r="CQ19" s="1047">
        <f t="shared" si="9"/>
        <v>1</v>
      </c>
      <c r="CR19" s="1047">
        <f t="shared" si="10"/>
        <v>1</v>
      </c>
    </row>
    <row r="20" spans="1:96" ht="15" customHeight="1" x14ac:dyDescent="0.25">
      <c r="A20" s="1585" t="s">
        <v>1172</v>
      </c>
      <c r="B20" s="1955" t="s">
        <v>417</v>
      </c>
      <c r="C20" s="1956"/>
      <c r="D20" s="1142" t="s">
        <v>1616</v>
      </c>
      <c r="E20" s="387" t="s">
        <v>1617</v>
      </c>
      <c r="F20" s="388" t="s">
        <v>1618</v>
      </c>
      <c r="G20" s="417" t="s">
        <v>1619</v>
      </c>
      <c r="H20" s="418" t="s">
        <v>1620</v>
      </c>
      <c r="I20" s="417" t="s">
        <v>1621</v>
      </c>
      <c r="J20" s="418" t="s">
        <v>1622</v>
      </c>
      <c r="K20" s="417" t="s">
        <v>1623</v>
      </c>
      <c r="L20" s="418" t="s">
        <v>1624</v>
      </c>
      <c r="M20" s="417" t="s">
        <v>1625</v>
      </c>
      <c r="N20" s="418" t="s">
        <v>1626</v>
      </c>
      <c r="O20" s="417" t="s">
        <v>1627</v>
      </c>
      <c r="P20" s="418" t="s">
        <v>1628</v>
      </c>
      <c r="Q20" s="417" t="s">
        <v>1629</v>
      </c>
      <c r="R20" s="418" t="s">
        <v>1630</v>
      </c>
      <c r="S20" s="417" t="s">
        <v>1631</v>
      </c>
      <c r="T20" s="418" t="s">
        <v>1632</v>
      </c>
      <c r="U20" s="417" t="s">
        <v>1633</v>
      </c>
      <c r="V20" s="418" t="s">
        <v>1634</v>
      </c>
      <c r="W20" s="417" t="s">
        <v>1635</v>
      </c>
      <c r="X20" s="418" t="s">
        <v>1636</v>
      </c>
      <c r="Y20" s="417" t="s">
        <v>1637</v>
      </c>
      <c r="Z20" s="418" t="s">
        <v>1638</v>
      </c>
      <c r="AA20" s="417" t="s">
        <v>1639</v>
      </c>
      <c r="AB20" s="418" t="s">
        <v>1640</v>
      </c>
      <c r="AC20" s="417" t="s">
        <v>1641</v>
      </c>
      <c r="AD20" s="418" t="s">
        <v>1642</v>
      </c>
      <c r="AE20" s="417" t="s">
        <v>1643</v>
      </c>
      <c r="AF20" s="418" t="s">
        <v>1644</v>
      </c>
      <c r="AG20" s="417" t="s">
        <v>1645</v>
      </c>
      <c r="AH20" s="418" t="s">
        <v>1646</v>
      </c>
      <c r="AI20" s="417" t="s">
        <v>1647</v>
      </c>
      <c r="AJ20" s="418" t="s">
        <v>1648</v>
      </c>
      <c r="AK20" s="417" t="s">
        <v>1649</v>
      </c>
      <c r="AL20" s="418" t="s">
        <v>1650</v>
      </c>
      <c r="AM20" s="417" t="s">
        <v>1651</v>
      </c>
      <c r="AN20" s="419" t="s">
        <v>1652</v>
      </c>
      <c r="AO20" s="420" t="s">
        <v>1653</v>
      </c>
      <c r="AP20" s="455" t="s">
        <v>1654</v>
      </c>
      <c r="AQ20" s="418" t="s">
        <v>1655</v>
      </c>
      <c r="AR20" s="455" t="s">
        <v>1656</v>
      </c>
      <c r="AS20" s="418" t="s">
        <v>1657</v>
      </c>
      <c r="AT20" s="1056" t="str">
        <f>$CC20&amp;$CD20&amp;$CE20&amp;$CF20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0" s="172"/>
      <c r="BA20" s="606"/>
      <c r="BP20" s="172"/>
      <c r="BQ20" s="108"/>
      <c r="CC20" s="191" t="str">
        <f t="shared" si="2"/>
        <v xml:space="preserve"> * La variable Pueblos Originarios Hombres no puede ser Mayor al Total Hombres.</v>
      </c>
      <c r="CD20" s="191" t="str">
        <f t="shared" si="3"/>
        <v xml:space="preserve"> * La variable Pueblos Originarios Mujeres no puede ser Mayor al Total Mujeres.</v>
      </c>
      <c r="CE20" s="191" t="str">
        <f t="shared" ref="CE20:CE47" si="11">IF(AND($E20&gt;0,OR(AR20=""))," * No olvide digitar la variable Migrantes Hombres. Digite Cero si no tiene.",IF(AR20&gt;$E20," * La variable Migrantes Hombres no puede ser Mayor al Total Hombres.",""))</f>
        <v xml:space="preserve"> * La variable Migrantes Hombres no puede ser Mayor al Total Hombres.</v>
      </c>
      <c r="CF20" s="191" t="str">
        <f t="shared" ref="CF20:CF47" si="12">IF(AND(F20&gt;0,OR(AS20=""))," * No olvide digitar la variable Migrantes Mujeres. Digite Cero si no tiene.",IF(AS20&gt;F20," * La variable Migrantes Mujeres no puede ser Mayor al Total Mujeres.",""))</f>
        <v xml:space="preserve"> * La variable Migrantes Mujeres no puede ser Mayor al Total Mujeres.</v>
      </c>
      <c r="CO20" s="1047">
        <f t="shared" si="7"/>
        <v>1</v>
      </c>
      <c r="CP20" s="1047">
        <f t="shared" si="8"/>
        <v>1</v>
      </c>
      <c r="CQ20" s="1047">
        <f t="shared" si="9"/>
        <v>1</v>
      </c>
      <c r="CR20" s="1047">
        <f t="shared" si="10"/>
        <v>1</v>
      </c>
    </row>
    <row r="21" spans="1:96" ht="15" customHeight="1" x14ac:dyDescent="0.25">
      <c r="A21" s="1585" t="s">
        <v>1173</v>
      </c>
      <c r="B21" s="1765" t="s">
        <v>418</v>
      </c>
      <c r="C21" s="1766"/>
      <c r="D21" s="1147" t="s">
        <v>1616</v>
      </c>
      <c r="E21" s="397" t="s">
        <v>1617</v>
      </c>
      <c r="F21" s="385" t="s">
        <v>1618</v>
      </c>
      <c r="G21" s="417" t="s">
        <v>1619</v>
      </c>
      <c r="H21" s="418" t="s">
        <v>1620</v>
      </c>
      <c r="I21" s="417" t="s">
        <v>1621</v>
      </c>
      <c r="J21" s="418" t="s">
        <v>1622</v>
      </c>
      <c r="K21" s="417" t="s">
        <v>1623</v>
      </c>
      <c r="L21" s="418" t="s">
        <v>1624</v>
      </c>
      <c r="M21" s="417" t="s">
        <v>1625</v>
      </c>
      <c r="N21" s="418" t="s">
        <v>1626</v>
      </c>
      <c r="O21" s="417" t="s">
        <v>1627</v>
      </c>
      <c r="P21" s="418" t="s">
        <v>1628</v>
      </c>
      <c r="Q21" s="417" t="s">
        <v>1629</v>
      </c>
      <c r="R21" s="418" t="s">
        <v>1630</v>
      </c>
      <c r="S21" s="417" t="s">
        <v>1631</v>
      </c>
      <c r="T21" s="418" t="s">
        <v>1632</v>
      </c>
      <c r="U21" s="417" t="s">
        <v>1633</v>
      </c>
      <c r="V21" s="418" t="s">
        <v>1634</v>
      </c>
      <c r="W21" s="417" t="s">
        <v>1635</v>
      </c>
      <c r="X21" s="418" t="s">
        <v>1636</v>
      </c>
      <c r="Y21" s="417" t="s">
        <v>1637</v>
      </c>
      <c r="Z21" s="418" t="s">
        <v>1638</v>
      </c>
      <c r="AA21" s="417" t="s">
        <v>1639</v>
      </c>
      <c r="AB21" s="418" t="s">
        <v>1640</v>
      </c>
      <c r="AC21" s="417" t="s">
        <v>1641</v>
      </c>
      <c r="AD21" s="418" t="s">
        <v>1642</v>
      </c>
      <c r="AE21" s="417" t="s">
        <v>1643</v>
      </c>
      <c r="AF21" s="418" t="s">
        <v>1644</v>
      </c>
      <c r="AG21" s="417" t="s">
        <v>1645</v>
      </c>
      <c r="AH21" s="418" t="s">
        <v>1646</v>
      </c>
      <c r="AI21" s="417" t="s">
        <v>1647</v>
      </c>
      <c r="AJ21" s="418" t="s">
        <v>1648</v>
      </c>
      <c r="AK21" s="417" t="s">
        <v>1649</v>
      </c>
      <c r="AL21" s="418" t="s">
        <v>1650</v>
      </c>
      <c r="AM21" s="417" t="s">
        <v>1651</v>
      </c>
      <c r="AN21" s="419" t="s">
        <v>1652</v>
      </c>
      <c r="AO21" s="421" t="s">
        <v>1653</v>
      </c>
      <c r="AP21" s="445" t="s">
        <v>1654</v>
      </c>
      <c r="AQ21" s="399" t="s">
        <v>1655</v>
      </c>
      <c r="AR21" s="445" t="s">
        <v>1656</v>
      </c>
      <c r="AS21" s="399" t="s">
        <v>1657</v>
      </c>
      <c r="AT21" s="1056" t="str">
        <f t="shared" ref="AT21:AT36" si="13">$CC21&amp;$CD21&amp;$CE21&amp;$CF21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1" s="172"/>
      <c r="BA21" s="606"/>
      <c r="BP21" s="172"/>
      <c r="BQ21" s="108"/>
      <c r="CC21" s="191" t="str">
        <f t="shared" si="2"/>
        <v xml:space="preserve"> * La variable Pueblos Originarios Hombres no puede ser Mayor al Total Hombres.</v>
      </c>
      <c r="CD21" s="191" t="str">
        <f t="shared" si="3"/>
        <v xml:space="preserve"> * La variable Pueblos Originarios Mujeres no puede ser Mayor al Total Mujeres.</v>
      </c>
      <c r="CE21" s="191" t="str">
        <f t="shared" si="11"/>
        <v xml:space="preserve"> * La variable Migrantes Hombres no puede ser Mayor al Total Hombres.</v>
      </c>
      <c r="CF21" s="191" t="str">
        <f t="shared" si="12"/>
        <v xml:space="preserve"> * La variable Migrantes Mujeres no puede ser Mayor al Total Mujeres.</v>
      </c>
      <c r="CO21" s="1047">
        <f t="shared" si="7"/>
        <v>1</v>
      </c>
      <c r="CP21" s="1047">
        <f t="shared" si="8"/>
        <v>1</v>
      </c>
      <c r="CQ21" s="1047">
        <f t="shared" si="9"/>
        <v>1</v>
      </c>
      <c r="CR21" s="1047">
        <f t="shared" si="10"/>
        <v>1</v>
      </c>
    </row>
    <row r="22" spans="1:96" ht="15" customHeight="1" x14ac:dyDescent="0.25">
      <c r="A22" s="1585" t="s">
        <v>1174</v>
      </c>
      <c r="B22" s="1913" t="s">
        <v>419</v>
      </c>
      <c r="C22" s="1914"/>
      <c r="D22" s="1147" t="s">
        <v>1616</v>
      </c>
      <c r="E22" s="397" t="s">
        <v>1617</v>
      </c>
      <c r="F22" s="385" t="s">
        <v>1618</v>
      </c>
      <c r="G22" s="417" t="s">
        <v>1619</v>
      </c>
      <c r="H22" s="418" t="s">
        <v>1620</v>
      </c>
      <c r="I22" s="417" t="s">
        <v>1621</v>
      </c>
      <c r="J22" s="418" t="s">
        <v>1622</v>
      </c>
      <c r="K22" s="417" t="s">
        <v>1623</v>
      </c>
      <c r="L22" s="418" t="s">
        <v>1624</v>
      </c>
      <c r="M22" s="417" t="s">
        <v>1625</v>
      </c>
      <c r="N22" s="418" t="s">
        <v>1626</v>
      </c>
      <c r="O22" s="417" t="s">
        <v>1627</v>
      </c>
      <c r="P22" s="418" t="s">
        <v>1628</v>
      </c>
      <c r="Q22" s="417" t="s">
        <v>1629</v>
      </c>
      <c r="R22" s="418" t="s">
        <v>1630</v>
      </c>
      <c r="S22" s="417" t="s">
        <v>1631</v>
      </c>
      <c r="T22" s="418" t="s">
        <v>1632</v>
      </c>
      <c r="U22" s="417" t="s">
        <v>1633</v>
      </c>
      <c r="V22" s="418" t="s">
        <v>1634</v>
      </c>
      <c r="W22" s="417" t="s">
        <v>1635</v>
      </c>
      <c r="X22" s="418" t="s">
        <v>1636</v>
      </c>
      <c r="Y22" s="417" t="s">
        <v>1637</v>
      </c>
      <c r="Z22" s="418" t="s">
        <v>1638</v>
      </c>
      <c r="AA22" s="417" t="s">
        <v>1639</v>
      </c>
      <c r="AB22" s="418" t="s">
        <v>1640</v>
      </c>
      <c r="AC22" s="417" t="s">
        <v>1641</v>
      </c>
      <c r="AD22" s="418" t="s">
        <v>1642</v>
      </c>
      <c r="AE22" s="417" t="s">
        <v>1643</v>
      </c>
      <c r="AF22" s="418" t="s">
        <v>1644</v>
      </c>
      <c r="AG22" s="417" t="s">
        <v>1645</v>
      </c>
      <c r="AH22" s="418" t="s">
        <v>1646</v>
      </c>
      <c r="AI22" s="417" t="s">
        <v>1647</v>
      </c>
      <c r="AJ22" s="418" t="s">
        <v>1648</v>
      </c>
      <c r="AK22" s="417" t="s">
        <v>1649</v>
      </c>
      <c r="AL22" s="418" t="s">
        <v>1650</v>
      </c>
      <c r="AM22" s="417" t="s">
        <v>1651</v>
      </c>
      <c r="AN22" s="419" t="s">
        <v>1652</v>
      </c>
      <c r="AO22" s="421" t="s">
        <v>1653</v>
      </c>
      <c r="AP22" s="445" t="s">
        <v>1654</v>
      </c>
      <c r="AQ22" s="399" t="s">
        <v>1655</v>
      </c>
      <c r="AR22" s="445" t="s">
        <v>1656</v>
      </c>
      <c r="AS22" s="399" t="s">
        <v>1657</v>
      </c>
      <c r="AT22" s="1056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2" s="172"/>
      <c r="BA22" s="606"/>
      <c r="BP22" s="172"/>
      <c r="BQ22" s="108"/>
      <c r="CC22" s="191" t="str">
        <f t="shared" si="2"/>
        <v xml:space="preserve"> * La variable Pueblos Originarios Hombres no puede ser Mayor al Total Hombres.</v>
      </c>
      <c r="CD22" s="191" t="str">
        <f t="shared" si="3"/>
        <v xml:space="preserve"> * La variable Pueblos Originarios Mujeres no puede ser Mayor al Total Mujeres.</v>
      </c>
      <c r="CE22" s="191" t="str">
        <f t="shared" si="11"/>
        <v xml:space="preserve"> * La variable Migrantes Hombres no puede ser Mayor al Total Hombres.</v>
      </c>
      <c r="CF22" s="191" t="str">
        <f t="shared" si="12"/>
        <v xml:space="preserve"> * La variable Migrantes Mujeres no puede ser Mayor al Total Mujeres.</v>
      </c>
      <c r="CO22" s="1047">
        <f t="shared" si="7"/>
        <v>1</v>
      </c>
      <c r="CP22" s="1047">
        <f t="shared" si="8"/>
        <v>1</v>
      </c>
      <c r="CQ22" s="1047">
        <f t="shared" si="9"/>
        <v>1</v>
      </c>
      <c r="CR22" s="1047">
        <f t="shared" si="10"/>
        <v>1</v>
      </c>
    </row>
    <row r="23" spans="1:96" ht="15" customHeight="1" x14ac:dyDescent="0.25">
      <c r="A23" s="1585" t="s">
        <v>1175</v>
      </c>
      <c r="B23" s="1765" t="s">
        <v>350</v>
      </c>
      <c r="C23" s="1766"/>
      <c r="D23" s="1142" t="s">
        <v>1616</v>
      </c>
      <c r="E23" s="387" t="s">
        <v>1617</v>
      </c>
      <c r="F23" s="388" t="s">
        <v>1618</v>
      </c>
      <c r="G23" s="417" t="s">
        <v>1619</v>
      </c>
      <c r="H23" s="418" t="s">
        <v>1620</v>
      </c>
      <c r="I23" s="417" t="s">
        <v>1621</v>
      </c>
      <c r="J23" s="418" t="s">
        <v>1622</v>
      </c>
      <c r="K23" s="417" t="s">
        <v>1623</v>
      </c>
      <c r="L23" s="418" t="s">
        <v>1624</v>
      </c>
      <c r="M23" s="417" t="s">
        <v>1625</v>
      </c>
      <c r="N23" s="418" t="s">
        <v>1626</v>
      </c>
      <c r="O23" s="417" t="s">
        <v>1627</v>
      </c>
      <c r="P23" s="418" t="s">
        <v>1628</v>
      </c>
      <c r="Q23" s="417" t="s">
        <v>1629</v>
      </c>
      <c r="R23" s="418" t="s">
        <v>1630</v>
      </c>
      <c r="S23" s="417" t="s">
        <v>1631</v>
      </c>
      <c r="T23" s="418" t="s">
        <v>1632</v>
      </c>
      <c r="U23" s="417" t="s">
        <v>1633</v>
      </c>
      <c r="V23" s="418" t="s">
        <v>1634</v>
      </c>
      <c r="W23" s="417" t="s">
        <v>1635</v>
      </c>
      <c r="X23" s="418" t="s">
        <v>1636</v>
      </c>
      <c r="Y23" s="417" t="s">
        <v>1637</v>
      </c>
      <c r="Z23" s="418" t="s">
        <v>1638</v>
      </c>
      <c r="AA23" s="417" t="s">
        <v>1639</v>
      </c>
      <c r="AB23" s="418" t="s">
        <v>1640</v>
      </c>
      <c r="AC23" s="417" t="s">
        <v>1641</v>
      </c>
      <c r="AD23" s="418" t="s">
        <v>1642</v>
      </c>
      <c r="AE23" s="417" t="s">
        <v>1643</v>
      </c>
      <c r="AF23" s="418" t="s">
        <v>1644</v>
      </c>
      <c r="AG23" s="436" t="s">
        <v>1645</v>
      </c>
      <c r="AH23" s="437" t="s">
        <v>1646</v>
      </c>
      <c r="AI23" s="436" t="s">
        <v>1647</v>
      </c>
      <c r="AJ23" s="437" t="s">
        <v>1648</v>
      </c>
      <c r="AK23" s="436" t="s">
        <v>1649</v>
      </c>
      <c r="AL23" s="437" t="s">
        <v>1650</v>
      </c>
      <c r="AM23" s="436" t="s">
        <v>1651</v>
      </c>
      <c r="AN23" s="536" t="s">
        <v>1652</v>
      </c>
      <c r="AO23" s="421" t="s">
        <v>1653</v>
      </c>
      <c r="AP23" s="445" t="s">
        <v>1654</v>
      </c>
      <c r="AQ23" s="399" t="s">
        <v>1655</v>
      </c>
      <c r="AR23" s="445" t="s">
        <v>1656</v>
      </c>
      <c r="AS23" s="399" t="s">
        <v>1657</v>
      </c>
      <c r="AT23" s="1056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3" s="172"/>
      <c r="BA23" s="606"/>
      <c r="BP23" s="172"/>
      <c r="BQ23" s="108"/>
      <c r="CC23" s="191" t="str">
        <f t="shared" si="2"/>
        <v xml:space="preserve"> * La variable Pueblos Originarios Hombres no puede ser Mayor al Total Hombres.</v>
      </c>
      <c r="CD23" s="191" t="str">
        <f t="shared" si="3"/>
        <v xml:space="preserve"> * La variable Pueblos Originarios Mujeres no puede ser Mayor al Total Mujeres.</v>
      </c>
      <c r="CE23" s="191" t="str">
        <f t="shared" si="11"/>
        <v xml:space="preserve"> * La variable Migrantes Hombres no puede ser Mayor al Total Hombres.</v>
      </c>
      <c r="CF23" s="191" t="str">
        <f t="shared" si="12"/>
        <v xml:space="preserve"> * La variable Migrantes Mujeres no puede ser Mayor al Total Mujeres.</v>
      </c>
      <c r="CO23" s="1047">
        <f t="shared" si="7"/>
        <v>1</v>
      </c>
      <c r="CP23" s="1047">
        <f t="shared" si="8"/>
        <v>1</v>
      </c>
      <c r="CQ23" s="1047">
        <f t="shared" si="9"/>
        <v>1</v>
      </c>
      <c r="CR23" s="1047">
        <f t="shared" si="10"/>
        <v>1</v>
      </c>
    </row>
    <row r="24" spans="1:96" ht="15" customHeight="1" x14ac:dyDescent="0.25">
      <c r="A24" s="1585" t="s">
        <v>1176</v>
      </c>
      <c r="B24" s="1911" t="s">
        <v>323</v>
      </c>
      <c r="C24" s="1912"/>
      <c r="D24" s="1147" t="s">
        <v>1616</v>
      </c>
      <c r="E24" s="397" t="s">
        <v>1617</v>
      </c>
      <c r="F24" s="385" t="s">
        <v>1618</v>
      </c>
      <c r="G24" s="417" t="s">
        <v>1619</v>
      </c>
      <c r="H24" s="418" t="s">
        <v>1620</v>
      </c>
      <c r="I24" s="417" t="s">
        <v>1621</v>
      </c>
      <c r="J24" s="418" t="s">
        <v>1622</v>
      </c>
      <c r="K24" s="417" t="s">
        <v>1623</v>
      </c>
      <c r="L24" s="418" t="s">
        <v>1624</v>
      </c>
      <c r="M24" s="417" t="s">
        <v>1625</v>
      </c>
      <c r="N24" s="418" t="s">
        <v>1626</v>
      </c>
      <c r="O24" s="417" t="s">
        <v>1627</v>
      </c>
      <c r="P24" s="418" t="s">
        <v>1628</v>
      </c>
      <c r="Q24" s="417" t="s">
        <v>1629</v>
      </c>
      <c r="R24" s="418" t="s">
        <v>1630</v>
      </c>
      <c r="S24" s="417" t="s">
        <v>1631</v>
      </c>
      <c r="T24" s="418" t="s">
        <v>1632</v>
      </c>
      <c r="U24" s="417" t="s">
        <v>1633</v>
      </c>
      <c r="V24" s="418" t="s">
        <v>1634</v>
      </c>
      <c r="W24" s="417" t="s">
        <v>1635</v>
      </c>
      <c r="X24" s="418" t="s">
        <v>1636</v>
      </c>
      <c r="Y24" s="417" t="s">
        <v>1637</v>
      </c>
      <c r="Z24" s="418" t="s">
        <v>1638</v>
      </c>
      <c r="AA24" s="417" t="s">
        <v>1639</v>
      </c>
      <c r="AB24" s="418" t="s">
        <v>1640</v>
      </c>
      <c r="AC24" s="417" t="s">
        <v>1641</v>
      </c>
      <c r="AD24" s="418" t="s">
        <v>1642</v>
      </c>
      <c r="AE24" s="417" t="s">
        <v>1643</v>
      </c>
      <c r="AF24" s="418" t="s">
        <v>1644</v>
      </c>
      <c r="AG24" s="417" t="s">
        <v>1645</v>
      </c>
      <c r="AH24" s="418" t="s">
        <v>1646</v>
      </c>
      <c r="AI24" s="417" t="s">
        <v>1647</v>
      </c>
      <c r="AJ24" s="418" t="s">
        <v>1648</v>
      </c>
      <c r="AK24" s="417" t="s">
        <v>1649</v>
      </c>
      <c r="AL24" s="418" t="s">
        <v>1650</v>
      </c>
      <c r="AM24" s="417" t="s">
        <v>1651</v>
      </c>
      <c r="AN24" s="419" t="s">
        <v>1652</v>
      </c>
      <c r="AO24" s="421" t="s">
        <v>1653</v>
      </c>
      <c r="AP24" s="445" t="s">
        <v>1654</v>
      </c>
      <c r="AQ24" s="399" t="s">
        <v>1655</v>
      </c>
      <c r="AR24" s="445" t="s">
        <v>1656</v>
      </c>
      <c r="AS24" s="399" t="s">
        <v>1657</v>
      </c>
      <c r="AT24" s="1056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4" s="172"/>
      <c r="BA24" s="606"/>
      <c r="BP24" s="172"/>
      <c r="BQ24" s="108"/>
      <c r="CC24" s="191" t="str">
        <f t="shared" si="2"/>
        <v xml:space="preserve"> * La variable Pueblos Originarios Hombres no puede ser Mayor al Total Hombres.</v>
      </c>
      <c r="CD24" s="191" t="str">
        <f t="shared" si="3"/>
        <v xml:space="preserve"> * La variable Pueblos Originarios Mujeres no puede ser Mayor al Total Mujeres.</v>
      </c>
      <c r="CE24" s="191" t="str">
        <f t="shared" si="11"/>
        <v xml:space="preserve"> * La variable Migrantes Hombres no puede ser Mayor al Total Hombres.</v>
      </c>
      <c r="CF24" s="191" t="str">
        <f t="shared" si="12"/>
        <v xml:space="preserve"> * La variable Migrantes Mujeres no puede ser Mayor al Total Mujeres.</v>
      </c>
      <c r="CO24" s="1047">
        <f t="shared" si="7"/>
        <v>1</v>
      </c>
      <c r="CP24" s="1047">
        <f t="shared" si="8"/>
        <v>1</v>
      </c>
      <c r="CQ24" s="1047">
        <f t="shared" si="9"/>
        <v>1</v>
      </c>
      <c r="CR24" s="1047">
        <f t="shared" si="10"/>
        <v>1</v>
      </c>
    </row>
    <row r="25" spans="1:96" ht="15" customHeight="1" x14ac:dyDescent="0.25">
      <c r="A25" s="1593" t="s">
        <v>1177</v>
      </c>
      <c r="B25" s="1916" t="s">
        <v>1666</v>
      </c>
      <c r="C25" s="1917"/>
      <c r="D25" s="1147" t="s">
        <v>1616</v>
      </c>
      <c r="E25" s="397" t="s">
        <v>1617</v>
      </c>
      <c r="F25" s="385" t="s">
        <v>1618</v>
      </c>
      <c r="G25" s="417" t="s">
        <v>1619</v>
      </c>
      <c r="H25" s="418" t="s">
        <v>1620</v>
      </c>
      <c r="I25" s="417" t="s">
        <v>1621</v>
      </c>
      <c r="J25" s="418" t="s">
        <v>1622</v>
      </c>
      <c r="K25" s="417" t="s">
        <v>1623</v>
      </c>
      <c r="L25" s="418" t="s">
        <v>1624</v>
      </c>
      <c r="M25" s="417" t="s">
        <v>1625</v>
      </c>
      <c r="N25" s="418" t="s">
        <v>1626</v>
      </c>
      <c r="O25" s="417" t="s">
        <v>1627</v>
      </c>
      <c r="P25" s="418" t="s">
        <v>1628</v>
      </c>
      <c r="Q25" s="417" t="s">
        <v>1629</v>
      </c>
      <c r="R25" s="418" t="s">
        <v>1630</v>
      </c>
      <c r="S25" s="417" t="s">
        <v>1631</v>
      </c>
      <c r="T25" s="418" t="s">
        <v>1632</v>
      </c>
      <c r="U25" s="417" t="s">
        <v>1633</v>
      </c>
      <c r="V25" s="418" t="s">
        <v>1634</v>
      </c>
      <c r="W25" s="417" t="s">
        <v>1635</v>
      </c>
      <c r="X25" s="418" t="s">
        <v>1636</v>
      </c>
      <c r="Y25" s="417" t="s">
        <v>1637</v>
      </c>
      <c r="Z25" s="418" t="s">
        <v>1638</v>
      </c>
      <c r="AA25" s="417" t="s">
        <v>1639</v>
      </c>
      <c r="AB25" s="418" t="s">
        <v>1640</v>
      </c>
      <c r="AC25" s="417" t="s">
        <v>1641</v>
      </c>
      <c r="AD25" s="418" t="s">
        <v>1642</v>
      </c>
      <c r="AE25" s="417" t="s">
        <v>1643</v>
      </c>
      <c r="AF25" s="418" t="s">
        <v>1644</v>
      </c>
      <c r="AG25" s="417" t="s">
        <v>1645</v>
      </c>
      <c r="AH25" s="418" t="s">
        <v>1646</v>
      </c>
      <c r="AI25" s="417" t="s">
        <v>1647</v>
      </c>
      <c r="AJ25" s="418" t="s">
        <v>1648</v>
      </c>
      <c r="AK25" s="417" t="s">
        <v>1649</v>
      </c>
      <c r="AL25" s="418" t="s">
        <v>1650</v>
      </c>
      <c r="AM25" s="417" t="s">
        <v>1651</v>
      </c>
      <c r="AN25" s="419" t="s">
        <v>1652</v>
      </c>
      <c r="AO25" s="421" t="s">
        <v>1653</v>
      </c>
      <c r="AP25" s="445" t="s">
        <v>1654</v>
      </c>
      <c r="AQ25" s="399" t="s">
        <v>1655</v>
      </c>
      <c r="AR25" s="445" t="s">
        <v>1656</v>
      </c>
      <c r="AS25" s="399" t="s">
        <v>1657</v>
      </c>
      <c r="AT25" s="1056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5" s="172"/>
      <c r="BA25" s="606"/>
      <c r="BP25" s="172"/>
      <c r="BQ25" s="108"/>
      <c r="CC25" s="191" t="str">
        <f t="shared" si="2"/>
        <v xml:space="preserve"> * La variable Pueblos Originarios Hombres no puede ser Mayor al Total Hombres.</v>
      </c>
      <c r="CD25" s="191" t="str">
        <f t="shared" si="3"/>
        <v xml:space="preserve"> * La variable Pueblos Originarios Mujeres no puede ser Mayor al Total Mujeres.</v>
      </c>
      <c r="CE25" s="191" t="str">
        <f t="shared" si="11"/>
        <v xml:space="preserve"> * La variable Migrantes Hombres no puede ser Mayor al Total Hombres.</v>
      </c>
      <c r="CF25" s="191" t="str">
        <f t="shared" si="12"/>
        <v xml:space="preserve"> * La variable Migrantes Mujeres no puede ser Mayor al Total Mujeres.</v>
      </c>
      <c r="CO25" s="1047">
        <f>IF(AND(E25&gt;0,OR(AP25="")),1,IF(AP25&gt;E25,1,0))</f>
        <v>1</v>
      </c>
      <c r="CP25" s="1047">
        <f>IF(AND(F25&gt;0,OR(AQ25="")),1,IF(AQ25&gt;F25,1,0))</f>
        <v>1</v>
      </c>
      <c r="CQ25" s="1047">
        <f t="shared" si="9"/>
        <v>1</v>
      </c>
      <c r="CR25" s="1047">
        <f t="shared" si="10"/>
        <v>1</v>
      </c>
    </row>
    <row r="26" spans="1:96" ht="15" customHeight="1" x14ac:dyDescent="0.25">
      <c r="A26" s="1578"/>
      <c r="B26" s="1918" t="s">
        <v>421</v>
      </c>
      <c r="C26" s="1919"/>
      <c r="D26" s="847" t="s">
        <v>1616</v>
      </c>
      <c r="E26" s="534" t="s">
        <v>1617</v>
      </c>
      <c r="F26" s="437" t="s">
        <v>1618</v>
      </c>
      <c r="G26" s="1041" t="s">
        <v>1619</v>
      </c>
      <c r="H26" s="1042" t="s">
        <v>1620</v>
      </c>
      <c r="I26" s="1041" t="s">
        <v>1621</v>
      </c>
      <c r="J26" s="1042" t="s">
        <v>1622</v>
      </c>
      <c r="K26" s="1041" t="s">
        <v>1623</v>
      </c>
      <c r="L26" s="1042" t="s">
        <v>1624</v>
      </c>
      <c r="M26" s="1041" t="s">
        <v>1625</v>
      </c>
      <c r="N26" s="1042" t="s">
        <v>1626</v>
      </c>
      <c r="O26" s="1041" t="s">
        <v>1627</v>
      </c>
      <c r="P26" s="1042" t="s">
        <v>1628</v>
      </c>
      <c r="Q26" s="1041" t="s">
        <v>1629</v>
      </c>
      <c r="R26" s="1042" t="s">
        <v>1630</v>
      </c>
      <c r="S26" s="1041" t="s">
        <v>1631</v>
      </c>
      <c r="T26" s="1042" t="s">
        <v>1632</v>
      </c>
      <c r="U26" s="1041" t="s">
        <v>1633</v>
      </c>
      <c r="V26" s="1042" t="s">
        <v>1634</v>
      </c>
      <c r="W26" s="1041" t="s">
        <v>1635</v>
      </c>
      <c r="X26" s="1042" t="s">
        <v>1636</v>
      </c>
      <c r="Y26" s="1041" t="s">
        <v>1637</v>
      </c>
      <c r="Z26" s="1042" t="s">
        <v>1638</v>
      </c>
      <c r="AA26" s="1041" t="s">
        <v>1639</v>
      </c>
      <c r="AB26" s="1042" t="s">
        <v>1640</v>
      </c>
      <c r="AC26" s="1041" t="s">
        <v>1641</v>
      </c>
      <c r="AD26" s="1042" t="s">
        <v>1642</v>
      </c>
      <c r="AE26" s="1041" t="s">
        <v>1643</v>
      </c>
      <c r="AF26" s="1042" t="s">
        <v>1644</v>
      </c>
      <c r="AG26" s="1041" t="s">
        <v>1645</v>
      </c>
      <c r="AH26" s="1042" t="s">
        <v>1646</v>
      </c>
      <c r="AI26" s="1041" t="s">
        <v>1647</v>
      </c>
      <c r="AJ26" s="1042" t="s">
        <v>1648</v>
      </c>
      <c r="AK26" s="1041" t="s">
        <v>1649</v>
      </c>
      <c r="AL26" s="1042" t="s">
        <v>1650</v>
      </c>
      <c r="AM26" s="1041" t="s">
        <v>1651</v>
      </c>
      <c r="AN26" s="1637" t="s">
        <v>1652</v>
      </c>
      <c r="AO26" s="421" t="s">
        <v>1653</v>
      </c>
      <c r="AP26" s="1638" t="s">
        <v>1654</v>
      </c>
      <c r="AQ26" s="1639" t="s">
        <v>1655</v>
      </c>
      <c r="AR26" s="1638" t="s">
        <v>1656</v>
      </c>
      <c r="AS26" s="1639" t="s">
        <v>1657</v>
      </c>
      <c r="AT26" s="1056"/>
      <c r="AZ26" s="172"/>
      <c r="BA26" s="606"/>
      <c r="BP26" s="172"/>
      <c r="BQ26" s="108"/>
      <c r="CC26" s="191"/>
      <c r="CD26" s="191"/>
      <c r="CE26" s="191"/>
      <c r="CF26" s="191"/>
      <c r="CO26" s="1047"/>
      <c r="CP26" s="1047"/>
      <c r="CQ26" s="1047"/>
      <c r="CR26" s="1047"/>
    </row>
    <row r="27" spans="1:96" ht="15" customHeight="1" x14ac:dyDescent="0.25">
      <c r="A27" s="1578"/>
      <c r="B27" s="1918" t="s">
        <v>422</v>
      </c>
      <c r="C27" s="1919"/>
      <c r="D27" s="847" t="s">
        <v>1616</v>
      </c>
      <c r="E27" s="534" t="s">
        <v>1617</v>
      </c>
      <c r="F27" s="437" t="s">
        <v>1618</v>
      </c>
      <c r="G27" s="1041" t="s">
        <v>1619</v>
      </c>
      <c r="H27" s="1042" t="s">
        <v>1620</v>
      </c>
      <c r="I27" s="1041" t="s">
        <v>1621</v>
      </c>
      <c r="J27" s="1042" t="s">
        <v>1622</v>
      </c>
      <c r="K27" s="1041" t="s">
        <v>1623</v>
      </c>
      <c r="L27" s="1042" t="s">
        <v>1624</v>
      </c>
      <c r="M27" s="1041" t="s">
        <v>1625</v>
      </c>
      <c r="N27" s="1042" t="s">
        <v>1626</v>
      </c>
      <c r="O27" s="1041" t="s">
        <v>1627</v>
      </c>
      <c r="P27" s="1042" t="s">
        <v>1628</v>
      </c>
      <c r="Q27" s="1041" t="s">
        <v>1629</v>
      </c>
      <c r="R27" s="1042" t="s">
        <v>1630</v>
      </c>
      <c r="S27" s="1041" t="s">
        <v>1631</v>
      </c>
      <c r="T27" s="1042" t="s">
        <v>1632</v>
      </c>
      <c r="U27" s="1041" t="s">
        <v>1633</v>
      </c>
      <c r="V27" s="1042" t="s">
        <v>1634</v>
      </c>
      <c r="W27" s="1041" t="s">
        <v>1635</v>
      </c>
      <c r="X27" s="1042" t="s">
        <v>1636</v>
      </c>
      <c r="Y27" s="1041" t="s">
        <v>1637</v>
      </c>
      <c r="Z27" s="1042" t="s">
        <v>1638</v>
      </c>
      <c r="AA27" s="1041" t="s">
        <v>1639</v>
      </c>
      <c r="AB27" s="1042" t="s">
        <v>1640</v>
      </c>
      <c r="AC27" s="1041" t="s">
        <v>1641</v>
      </c>
      <c r="AD27" s="1042" t="s">
        <v>1642</v>
      </c>
      <c r="AE27" s="1041" t="s">
        <v>1643</v>
      </c>
      <c r="AF27" s="1042" t="s">
        <v>1644</v>
      </c>
      <c r="AG27" s="1041" t="s">
        <v>1645</v>
      </c>
      <c r="AH27" s="1042" t="s">
        <v>1646</v>
      </c>
      <c r="AI27" s="1041" t="s">
        <v>1647</v>
      </c>
      <c r="AJ27" s="1042" t="s">
        <v>1648</v>
      </c>
      <c r="AK27" s="1041" t="s">
        <v>1649</v>
      </c>
      <c r="AL27" s="1042" t="s">
        <v>1650</v>
      </c>
      <c r="AM27" s="1041" t="s">
        <v>1651</v>
      </c>
      <c r="AN27" s="1637" t="s">
        <v>1652</v>
      </c>
      <c r="AO27" s="421" t="s">
        <v>1653</v>
      </c>
      <c r="AP27" s="1638" t="s">
        <v>1654</v>
      </c>
      <c r="AQ27" s="1639" t="s">
        <v>1655</v>
      </c>
      <c r="AR27" s="1638" t="s">
        <v>1656</v>
      </c>
      <c r="AS27" s="1639" t="s">
        <v>1657</v>
      </c>
      <c r="AT27" s="1056"/>
      <c r="AZ27" s="172"/>
      <c r="BA27" s="606"/>
      <c r="BP27" s="172"/>
      <c r="BQ27" s="108"/>
      <c r="CC27" s="191"/>
      <c r="CD27" s="191"/>
      <c r="CE27" s="191"/>
      <c r="CF27" s="191"/>
      <c r="CO27" s="1047"/>
      <c r="CP27" s="1047"/>
      <c r="CQ27" s="1047"/>
      <c r="CR27" s="1047"/>
    </row>
    <row r="28" spans="1:96" ht="15" customHeight="1" x14ac:dyDescent="0.25">
      <c r="A28" s="1585" t="s">
        <v>1180</v>
      </c>
      <c r="B28" s="1920" t="s">
        <v>423</v>
      </c>
      <c r="C28" s="1921"/>
      <c r="D28" s="1147" t="s">
        <v>1616</v>
      </c>
      <c r="E28" s="397" t="s">
        <v>1617</v>
      </c>
      <c r="F28" s="385" t="s">
        <v>1618</v>
      </c>
      <c r="G28" s="417" t="s">
        <v>1619</v>
      </c>
      <c r="H28" s="418" t="s">
        <v>1620</v>
      </c>
      <c r="I28" s="417" t="s">
        <v>1621</v>
      </c>
      <c r="J28" s="418" t="s">
        <v>1622</v>
      </c>
      <c r="K28" s="417" t="s">
        <v>1623</v>
      </c>
      <c r="L28" s="418" t="s">
        <v>1624</v>
      </c>
      <c r="M28" s="417" t="s">
        <v>1625</v>
      </c>
      <c r="N28" s="418" t="s">
        <v>1626</v>
      </c>
      <c r="O28" s="417" t="s">
        <v>1627</v>
      </c>
      <c r="P28" s="418" t="s">
        <v>1628</v>
      </c>
      <c r="Q28" s="417" t="s">
        <v>1629</v>
      </c>
      <c r="R28" s="418" t="s">
        <v>1630</v>
      </c>
      <c r="S28" s="417" t="s">
        <v>1631</v>
      </c>
      <c r="T28" s="418" t="s">
        <v>1632</v>
      </c>
      <c r="U28" s="417" t="s">
        <v>1633</v>
      </c>
      <c r="V28" s="418" t="s">
        <v>1634</v>
      </c>
      <c r="W28" s="417" t="s">
        <v>1635</v>
      </c>
      <c r="X28" s="418" t="s">
        <v>1636</v>
      </c>
      <c r="Y28" s="417" t="s">
        <v>1637</v>
      </c>
      <c r="Z28" s="418" t="s">
        <v>1638</v>
      </c>
      <c r="AA28" s="417" t="s">
        <v>1639</v>
      </c>
      <c r="AB28" s="418" t="s">
        <v>1640</v>
      </c>
      <c r="AC28" s="417" t="s">
        <v>1641</v>
      </c>
      <c r="AD28" s="418" t="s">
        <v>1642</v>
      </c>
      <c r="AE28" s="417" t="s">
        <v>1643</v>
      </c>
      <c r="AF28" s="418" t="s">
        <v>1644</v>
      </c>
      <c r="AG28" s="417" t="s">
        <v>1645</v>
      </c>
      <c r="AH28" s="418" t="s">
        <v>1646</v>
      </c>
      <c r="AI28" s="417" t="s">
        <v>1647</v>
      </c>
      <c r="AJ28" s="418" t="s">
        <v>1648</v>
      </c>
      <c r="AK28" s="417" t="s">
        <v>1649</v>
      </c>
      <c r="AL28" s="418" t="s">
        <v>1650</v>
      </c>
      <c r="AM28" s="417" t="s">
        <v>1651</v>
      </c>
      <c r="AN28" s="419" t="s">
        <v>1652</v>
      </c>
      <c r="AO28" s="421" t="s">
        <v>1653</v>
      </c>
      <c r="AP28" s="445" t="s">
        <v>1654</v>
      </c>
      <c r="AQ28" s="399" t="s">
        <v>1655</v>
      </c>
      <c r="AR28" s="445" t="s">
        <v>1656</v>
      </c>
      <c r="AS28" s="399" t="s">
        <v>1657</v>
      </c>
      <c r="AT28" s="1056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8" s="172"/>
      <c r="BA28" s="606"/>
      <c r="BP28" s="172"/>
      <c r="BQ28" s="108"/>
      <c r="CC28" s="191" t="str">
        <f t="shared" si="2"/>
        <v xml:space="preserve"> * La variable Pueblos Originarios Hombres no puede ser Mayor al Total Hombres.</v>
      </c>
      <c r="CD28" s="191" t="str">
        <f t="shared" si="3"/>
        <v xml:space="preserve"> * La variable Pueblos Originarios Mujeres no puede ser Mayor al Total Mujeres.</v>
      </c>
      <c r="CE28" s="191" t="str">
        <f t="shared" si="11"/>
        <v xml:space="preserve"> * La variable Migrantes Hombres no puede ser Mayor al Total Hombres.</v>
      </c>
      <c r="CF28" s="191" t="str">
        <f t="shared" si="12"/>
        <v xml:space="preserve"> * La variable Migrantes Mujeres no puede ser Mayor al Total Mujeres.</v>
      </c>
      <c r="CO28" s="1047">
        <f t="shared" si="7"/>
        <v>1</v>
      </c>
      <c r="CP28" s="1047">
        <f t="shared" si="8"/>
        <v>1</v>
      </c>
      <c r="CQ28" s="1047">
        <f t="shared" si="9"/>
        <v>1</v>
      </c>
      <c r="CR28" s="1047">
        <f t="shared" si="10"/>
        <v>1</v>
      </c>
    </row>
    <row r="29" spans="1:96" ht="15" customHeight="1" x14ac:dyDescent="0.25">
      <c r="A29" s="1585" t="s">
        <v>1181</v>
      </c>
      <c r="B29" s="1911" t="s">
        <v>424</v>
      </c>
      <c r="C29" s="1912"/>
      <c r="D29" s="1147" t="s">
        <v>1616</v>
      </c>
      <c r="E29" s="397" t="s">
        <v>1617</v>
      </c>
      <c r="F29" s="385" t="s">
        <v>1618</v>
      </c>
      <c r="G29" s="417" t="s">
        <v>1619</v>
      </c>
      <c r="H29" s="418" t="s">
        <v>1620</v>
      </c>
      <c r="I29" s="417" t="s">
        <v>1621</v>
      </c>
      <c r="J29" s="418" t="s">
        <v>1622</v>
      </c>
      <c r="K29" s="417" t="s">
        <v>1623</v>
      </c>
      <c r="L29" s="418" t="s">
        <v>1624</v>
      </c>
      <c r="M29" s="417" t="s">
        <v>1625</v>
      </c>
      <c r="N29" s="418" t="s">
        <v>1626</v>
      </c>
      <c r="O29" s="417" t="s">
        <v>1627</v>
      </c>
      <c r="P29" s="418" t="s">
        <v>1628</v>
      </c>
      <c r="Q29" s="417" t="s">
        <v>1629</v>
      </c>
      <c r="R29" s="418" t="s">
        <v>1630</v>
      </c>
      <c r="S29" s="417" t="s">
        <v>1631</v>
      </c>
      <c r="T29" s="418" t="s">
        <v>1632</v>
      </c>
      <c r="U29" s="417" t="s">
        <v>1633</v>
      </c>
      <c r="V29" s="418" t="s">
        <v>1634</v>
      </c>
      <c r="W29" s="417" t="s">
        <v>1635</v>
      </c>
      <c r="X29" s="418" t="s">
        <v>1636</v>
      </c>
      <c r="Y29" s="417" t="s">
        <v>1637</v>
      </c>
      <c r="Z29" s="418" t="s">
        <v>1638</v>
      </c>
      <c r="AA29" s="417" t="s">
        <v>1639</v>
      </c>
      <c r="AB29" s="418" t="s">
        <v>1640</v>
      </c>
      <c r="AC29" s="417" t="s">
        <v>1641</v>
      </c>
      <c r="AD29" s="418" t="s">
        <v>1642</v>
      </c>
      <c r="AE29" s="417" t="s">
        <v>1643</v>
      </c>
      <c r="AF29" s="418" t="s">
        <v>1644</v>
      </c>
      <c r="AG29" s="417" t="s">
        <v>1645</v>
      </c>
      <c r="AH29" s="418" t="s">
        <v>1646</v>
      </c>
      <c r="AI29" s="417" t="s">
        <v>1647</v>
      </c>
      <c r="AJ29" s="418" t="s">
        <v>1648</v>
      </c>
      <c r="AK29" s="417" t="s">
        <v>1649</v>
      </c>
      <c r="AL29" s="418" t="s">
        <v>1650</v>
      </c>
      <c r="AM29" s="417" t="s">
        <v>1651</v>
      </c>
      <c r="AN29" s="419" t="s">
        <v>1652</v>
      </c>
      <c r="AO29" s="421" t="s">
        <v>1653</v>
      </c>
      <c r="AP29" s="445" t="s">
        <v>1654</v>
      </c>
      <c r="AQ29" s="399" t="s">
        <v>1655</v>
      </c>
      <c r="AR29" s="445" t="s">
        <v>1656</v>
      </c>
      <c r="AS29" s="399" t="s">
        <v>1657</v>
      </c>
      <c r="AT29" s="1056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9" s="172"/>
      <c r="BA29" s="606"/>
      <c r="BP29" s="172"/>
      <c r="BQ29" s="108"/>
      <c r="CC29" s="191" t="str">
        <f t="shared" si="2"/>
        <v xml:space="preserve"> * La variable Pueblos Originarios Hombres no puede ser Mayor al Total Hombres.</v>
      </c>
      <c r="CD29" s="191" t="str">
        <f t="shared" si="3"/>
        <v xml:space="preserve"> * La variable Pueblos Originarios Mujeres no puede ser Mayor al Total Mujeres.</v>
      </c>
      <c r="CE29" s="191" t="str">
        <f t="shared" si="11"/>
        <v xml:space="preserve"> * La variable Migrantes Hombres no puede ser Mayor al Total Hombres.</v>
      </c>
      <c r="CF29" s="191" t="str">
        <f t="shared" si="12"/>
        <v xml:space="preserve"> * La variable Migrantes Mujeres no puede ser Mayor al Total Mujeres.</v>
      </c>
      <c r="CO29" s="1047">
        <f t="shared" si="7"/>
        <v>1</v>
      </c>
      <c r="CP29" s="1047">
        <f t="shared" si="8"/>
        <v>1</v>
      </c>
      <c r="CQ29" s="1047">
        <f t="shared" si="9"/>
        <v>1</v>
      </c>
      <c r="CR29" s="1047">
        <f t="shared" si="10"/>
        <v>1</v>
      </c>
    </row>
    <row r="30" spans="1:96" ht="15" customHeight="1" x14ac:dyDescent="0.25">
      <c r="A30" s="1585" t="s">
        <v>1182</v>
      </c>
      <c r="B30" s="1911" t="s">
        <v>425</v>
      </c>
      <c r="C30" s="1912"/>
      <c r="D30" s="1147" t="s">
        <v>1616</v>
      </c>
      <c r="E30" s="397" t="s">
        <v>1617</v>
      </c>
      <c r="F30" s="385" t="s">
        <v>1618</v>
      </c>
      <c r="G30" s="417" t="s">
        <v>1619</v>
      </c>
      <c r="H30" s="418" t="s">
        <v>1620</v>
      </c>
      <c r="I30" s="417" t="s">
        <v>1621</v>
      </c>
      <c r="J30" s="418" t="s">
        <v>1622</v>
      </c>
      <c r="K30" s="417" t="s">
        <v>1623</v>
      </c>
      <c r="L30" s="418" t="s">
        <v>1624</v>
      </c>
      <c r="M30" s="417" t="s">
        <v>1625</v>
      </c>
      <c r="N30" s="418" t="s">
        <v>1626</v>
      </c>
      <c r="O30" s="417" t="s">
        <v>1627</v>
      </c>
      <c r="P30" s="418" t="s">
        <v>1628</v>
      </c>
      <c r="Q30" s="417" t="s">
        <v>1629</v>
      </c>
      <c r="R30" s="418" t="s">
        <v>1630</v>
      </c>
      <c r="S30" s="417" t="s">
        <v>1631</v>
      </c>
      <c r="T30" s="418" t="s">
        <v>1632</v>
      </c>
      <c r="U30" s="417" t="s">
        <v>1633</v>
      </c>
      <c r="V30" s="418" t="s">
        <v>1634</v>
      </c>
      <c r="W30" s="417" t="s">
        <v>1635</v>
      </c>
      <c r="X30" s="418" t="s">
        <v>1636</v>
      </c>
      <c r="Y30" s="417" t="s">
        <v>1637</v>
      </c>
      <c r="Z30" s="418" t="s">
        <v>1638</v>
      </c>
      <c r="AA30" s="417" t="s">
        <v>1639</v>
      </c>
      <c r="AB30" s="418" t="s">
        <v>1640</v>
      </c>
      <c r="AC30" s="417" t="s">
        <v>1641</v>
      </c>
      <c r="AD30" s="418" t="s">
        <v>1642</v>
      </c>
      <c r="AE30" s="417" t="s">
        <v>1643</v>
      </c>
      <c r="AF30" s="418" t="s">
        <v>1644</v>
      </c>
      <c r="AG30" s="417" t="s">
        <v>1645</v>
      </c>
      <c r="AH30" s="418" t="s">
        <v>1646</v>
      </c>
      <c r="AI30" s="417" t="s">
        <v>1647</v>
      </c>
      <c r="AJ30" s="418" t="s">
        <v>1648</v>
      </c>
      <c r="AK30" s="417" t="s">
        <v>1649</v>
      </c>
      <c r="AL30" s="418" t="s">
        <v>1650</v>
      </c>
      <c r="AM30" s="417" t="s">
        <v>1651</v>
      </c>
      <c r="AN30" s="419" t="s">
        <v>1652</v>
      </c>
      <c r="AO30" s="421" t="s">
        <v>1653</v>
      </c>
      <c r="AP30" s="445" t="s">
        <v>1654</v>
      </c>
      <c r="AQ30" s="399" t="s">
        <v>1655</v>
      </c>
      <c r="AR30" s="445" t="s">
        <v>1656</v>
      </c>
      <c r="AS30" s="399" t="s">
        <v>1657</v>
      </c>
      <c r="AT30" s="1056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30" s="172"/>
      <c r="BA30" s="606"/>
      <c r="BP30" s="172"/>
      <c r="BQ30" s="108"/>
      <c r="CC30" s="191" t="str">
        <f t="shared" si="2"/>
        <v xml:space="preserve"> * La variable Pueblos Originarios Hombres no puede ser Mayor al Total Hombres.</v>
      </c>
      <c r="CD30" s="191" t="str">
        <f t="shared" si="3"/>
        <v xml:space="preserve"> * La variable Pueblos Originarios Mujeres no puede ser Mayor al Total Mujeres.</v>
      </c>
      <c r="CE30" s="191" t="str">
        <f t="shared" si="11"/>
        <v xml:space="preserve"> * La variable Migrantes Hombres no puede ser Mayor al Total Hombres.</v>
      </c>
      <c r="CF30" s="191" t="str">
        <f t="shared" si="12"/>
        <v xml:space="preserve"> * La variable Migrantes Mujeres no puede ser Mayor al Total Mujeres.</v>
      </c>
      <c r="CO30" s="1047">
        <f t="shared" si="7"/>
        <v>1</v>
      </c>
      <c r="CP30" s="1047">
        <f t="shared" si="8"/>
        <v>1</v>
      </c>
      <c r="CQ30" s="1047">
        <f t="shared" si="9"/>
        <v>1</v>
      </c>
      <c r="CR30" s="1047">
        <f t="shared" si="10"/>
        <v>1</v>
      </c>
    </row>
    <row r="31" spans="1:96" ht="15" customHeight="1" x14ac:dyDescent="0.25">
      <c r="A31" s="1585" t="s">
        <v>1183</v>
      </c>
      <c r="B31" s="1909" t="s">
        <v>426</v>
      </c>
      <c r="C31" s="1910"/>
      <c r="D31" s="1147" t="s">
        <v>1616</v>
      </c>
      <c r="E31" s="397" t="s">
        <v>1617</v>
      </c>
      <c r="F31" s="385" t="s">
        <v>1618</v>
      </c>
      <c r="G31" s="417" t="s">
        <v>1619</v>
      </c>
      <c r="H31" s="418" t="s">
        <v>1620</v>
      </c>
      <c r="I31" s="417" t="s">
        <v>1621</v>
      </c>
      <c r="J31" s="418" t="s">
        <v>1622</v>
      </c>
      <c r="K31" s="417" t="s">
        <v>1623</v>
      </c>
      <c r="L31" s="418" t="s">
        <v>1624</v>
      </c>
      <c r="M31" s="417" t="s">
        <v>1625</v>
      </c>
      <c r="N31" s="418" t="s">
        <v>1626</v>
      </c>
      <c r="O31" s="417" t="s">
        <v>1627</v>
      </c>
      <c r="P31" s="418" t="s">
        <v>1628</v>
      </c>
      <c r="Q31" s="417" t="s">
        <v>1629</v>
      </c>
      <c r="R31" s="418" t="s">
        <v>1630</v>
      </c>
      <c r="S31" s="417" t="s">
        <v>1631</v>
      </c>
      <c r="T31" s="418" t="s">
        <v>1632</v>
      </c>
      <c r="U31" s="417" t="s">
        <v>1633</v>
      </c>
      <c r="V31" s="418" t="s">
        <v>1634</v>
      </c>
      <c r="W31" s="417" t="s">
        <v>1635</v>
      </c>
      <c r="X31" s="418" t="s">
        <v>1636</v>
      </c>
      <c r="Y31" s="417" t="s">
        <v>1637</v>
      </c>
      <c r="Z31" s="418" t="s">
        <v>1638</v>
      </c>
      <c r="AA31" s="417" t="s">
        <v>1639</v>
      </c>
      <c r="AB31" s="418" t="s">
        <v>1640</v>
      </c>
      <c r="AC31" s="417" t="s">
        <v>1641</v>
      </c>
      <c r="AD31" s="418" t="s">
        <v>1642</v>
      </c>
      <c r="AE31" s="417" t="s">
        <v>1643</v>
      </c>
      <c r="AF31" s="418" t="s">
        <v>1644</v>
      </c>
      <c r="AG31" s="417" t="s">
        <v>1645</v>
      </c>
      <c r="AH31" s="418" t="s">
        <v>1646</v>
      </c>
      <c r="AI31" s="417" t="s">
        <v>1647</v>
      </c>
      <c r="AJ31" s="418" t="s">
        <v>1648</v>
      </c>
      <c r="AK31" s="417" t="s">
        <v>1649</v>
      </c>
      <c r="AL31" s="418" t="s">
        <v>1650</v>
      </c>
      <c r="AM31" s="417" t="s">
        <v>1651</v>
      </c>
      <c r="AN31" s="419" t="s">
        <v>1652</v>
      </c>
      <c r="AO31" s="421" t="s">
        <v>1653</v>
      </c>
      <c r="AP31" s="445" t="s">
        <v>1654</v>
      </c>
      <c r="AQ31" s="399" t="s">
        <v>1655</v>
      </c>
      <c r="AR31" s="445" t="s">
        <v>1656</v>
      </c>
      <c r="AS31" s="399" t="s">
        <v>1657</v>
      </c>
      <c r="AT31" s="1056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31" s="172"/>
      <c r="BA31" s="606"/>
      <c r="BP31" s="172"/>
      <c r="BQ31" s="108"/>
      <c r="CC31" s="191" t="str">
        <f t="shared" si="2"/>
        <v xml:space="preserve"> * La variable Pueblos Originarios Hombres no puede ser Mayor al Total Hombres.</v>
      </c>
      <c r="CD31" s="191" t="str">
        <f t="shared" si="3"/>
        <v xml:space="preserve"> * La variable Pueblos Originarios Mujeres no puede ser Mayor al Total Mujeres.</v>
      </c>
      <c r="CE31" s="191" t="str">
        <f t="shared" si="11"/>
        <v xml:space="preserve"> * La variable Migrantes Hombres no puede ser Mayor al Total Hombres.</v>
      </c>
      <c r="CF31" s="191" t="str">
        <f t="shared" si="12"/>
        <v xml:space="preserve"> * La variable Migrantes Mujeres no puede ser Mayor al Total Mujeres.</v>
      </c>
      <c r="CO31" s="1047">
        <f t="shared" si="7"/>
        <v>1</v>
      </c>
      <c r="CP31" s="1047">
        <f t="shared" si="8"/>
        <v>1</v>
      </c>
      <c r="CQ31" s="1047">
        <f t="shared" si="9"/>
        <v>1</v>
      </c>
      <c r="CR31" s="1047">
        <f t="shared" si="10"/>
        <v>1</v>
      </c>
    </row>
    <row r="32" spans="1:96" ht="15" customHeight="1" x14ac:dyDescent="0.25">
      <c r="A32" s="1585" t="s">
        <v>1184</v>
      </c>
      <c r="B32" s="1909" t="s">
        <v>427</v>
      </c>
      <c r="C32" s="1910"/>
      <c r="D32" s="1147" t="s">
        <v>1616</v>
      </c>
      <c r="E32" s="397" t="s">
        <v>1617</v>
      </c>
      <c r="F32" s="385" t="s">
        <v>1618</v>
      </c>
      <c r="G32" s="417" t="s">
        <v>1619</v>
      </c>
      <c r="H32" s="418" t="s">
        <v>1620</v>
      </c>
      <c r="I32" s="417" t="s">
        <v>1621</v>
      </c>
      <c r="J32" s="418" t="s">
        <v>1622</v>
      </c>
      <c r="K32" s="417" t="s">
        <v>1623</v>
      </c>
      <c r="L32" s="418" t="s">
        <v>1624</v>
      </c>
      <c r="M32" s="417" t="s">
        <v>1625</v>
      </c>
      <c r="N32" s="418" t="s">
        <v>1626</v>
      </c>
      <c r="O32" s="417" t="s">
        <v>1627</v>
      </c>
      <c r="P32" s="418" t="s">
        <v>1628</v>
      </c>
      <c r="Q32" s="417" t="s">
        <v>1629</v>
      </c>
      <c r="R32" s="418" t="s">
        <v>1630</v>
      </c>
      <c r="S32" s="417" t="s">
        <v>1631</v>
      </c>
      <c r="T32" s="418" t="s">
        <v>1632</v>
      </c>
      <c r="U32" s="417" t="s">
        <v>1633</v>
      </c>
      <c r="V32" s="418" t="s">
        <v>1634</v>
      </c>
      <c r="W32" s="417" t="s">
        <v>1635</v>
      </c>
      <c r="X32" s="418" t="s">
        <v>1636</v>
      </c>
      <c r="Y32" s="417" t="s">
        <v>1637</v>
      </c>
      <c r="Z32" s="418" t="s">
        <v>1638</v>
      </c>
      <c r="AA32" s="417" t="s">
        <v>1639</v>
      </c>
      <c r="AB32" s="418" t="s">
        <v>1640</v>
      </c>
      <c r="AC32" s="417" t="s">
        <v>1641</v>
      </c>
      <c r="AD32" s="418" t="s">
        <v>1642</v>
      </c>
      <c r="AE32" s="417" t="s">
        <v>1643</v>
      </c>
      <c r="AF32" s="418" t="s">
        <v>1644</v>
      </c>
      <c r="AG32" s="417" t="s">
        <v>1645</v>
      </c>
      <c r="AH32" s="418" t="s">
        <v>1646</v>
      </c>
      <c r="AI32" s="417" t="s">
        <v>1647</v>
      </c>
      <c r="AJ32" s="418" t="s">
        <v>1648</v>
      </c>
      <c r="AK32" s="417" t="s">
        <v>1649</v>
      </c>
      <c r="AL32" s="418" t="s">
        <v>1650</v>
      </c>
      <c r="AM32" s="417" t="s">
        <v>1651</v>
      </c>
      <c r="AN32" s="419" t="s">
        <v>1652</v>
      </c>
      <c r="AO32" s="421" t="s">
        <v>1653</v>
      </c>
      <c r="AP32" s="445" t="s">
        <v>1654</v>
      </c>
      <c r="AQ32" s="399" t="s">
        <v>1655</v>
      </c>
      <c r="AR32" s="445" t="s">
        <v>1656</v>
      </c>
      <c r="AS32" s="399" t="s">
        <v>1657</v>
      </c>
      <c r="AT32" s="1056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32" s="172"/>
      <c r="BA32" s="606"/>
      <c r="BP32" s="172"/>
      <c r="BQ32" s="108"/>
      <c r="CC32" s="191" t="str">
        <f t="shared" si="2"/>
        <v xml:space="preserve"> * La variable Pueblos Originarios Hombres no puede ser Mayor al Total Hombres.</v>
      </c>
      <c r="CD32" s="191" t="str">
        <f t="shared" si="3"/>
        <v xml:space="preserve"> * La variable Pueblos Originarios Mujeres no puede ser Mayor al Total Mujeres.</v>
      </c>
      <c r="CE32" s="191" t="str">
        <f t="shared" si="11"/>
        <v xml:space="preserve"> * La variable Migrantes Hombres no puede ser Mayor al Total Hombres.</v>
      </c>
      <c r="CF32" s="191" t="str">
        <f t="shared" si="12"/>
        <v xml:space="preserve"> * La variable Migrantes Mujeres no puede ser Mayor al Total Mujeres.</v>
      </c>
      <c r="CO32" s="1047">
        <f t="shared" si="7"/>
        <v>1</v>
      </c>
      <c r="CP32" s="1047">
        <f t="shared" si="8"/>
        <v>1</v>
      </c>
      <c r="CQ32" s="1047">
        <f t="shared" si="9"/>
        <v>1</v>
      </c>
      <c r="CR32" s="1047">
        <f t="shared" si="10"/>
        <v>1</v>
      </c>
    </row>
    <row r="33" spans="1:98" ht="15" customHeight="1" x14ac:dyDescent="0.25">
      <c r="A33" s="1585" t="s">
        <v>1185</v>
      </c>
      <c r="B33" s="1911" t="s">
        <v>428</v>
      </c>
      <c r="C33" s="1912"/>
      <c r="D33" s="1142" t="s">
        <v>1616</v>
      </c>
      <c r="E33" s="387" t="s">
        <v>1617</v>
      </c>
      <c r="F33" s="388" t="s">
        <v>1618</v>
      </c>
      <c r="G33" s="417" t="s">
        <v>1619</v>
      </c>
      <c r="H33" s="418" t="s">
        <v>1620</v>
      </c>
      <c r="I33" s="417" t="s">
        <v>1621</v>
      </c>
      <c r="J33" s="418" t="s">
        <v>1622</v>
      </c>
      <c r="K33" s="417" t="s">
        <v>1623</v>
      </c>
      <c r="L33" s="418" t="s">
        <v>1624</v>
      </c>
      <c r="M33" s="417" t="s">
        <v>1625</v>
      </c>
      <c r="N33" s="418" t="s">
        <v>1626</v>
      </c>
      <c r="O33" s="417" t="s">
        <v>1627</v>
      </c>
      <c r="P33" s="418" t="s">
        <v>1628</v>
      </c>
      <c r="Q33" s="417" t="s">
        <v>1629</v>
      </c>
      <c r="R33" s="418" t="s">
        <v>1630</v>
      </c>
      <c r="S33" s="417" t="s">
        <v>1631</v>
      </c>
      <c r="T33" s="418" t="s">
        <v>1632</v>
      </c>
      <c r="U33" s="417" t="s">
        <v>1633</v>
      </c>
      <c r="V33" s="418" t="s">
        <v>1634</v>
      </c>
      <c r="W33" s="417" t="s">
        <v>1635</v>
      </c>
      <c r="X33" s="418" t="s">
        <v>1636</v>
      </c>
      <c r="Y33" s="417" t="s">
        <v>1637</v>
      </c>
      <c r="Z33" s="418" t="s">
        <v>1638</v>
      </c>
      <c r="AA33" s="417" t="s">
        <v>1639</v>
      </c>
      <c r="AB33" s="418" t="s">
        <v>1640</v>
      </c>
      <c r="AC33" s="417" t="s">
        <v>1641</v>
      </c>
      <c r="AD33" s="418" t="s">
        <v>1642</v>
      </c>
      <c r="AE33" s="417" t="s">
        <v>1643</v>
      </c>
      <c r="AF33" s="418" t="s">
        <v>1644</v>
      </c>
      <c r="AG33" s="417" t="s">
        <v>1645</v>
      </c>
      <c r="AH33" s="418" t="s">
        <v>1646</v>
      </c>
      <c r="AI33" s="417" t="s">
        <v>1647</v>
      </c>
      <c r="AJ33" s="418" t="s">
        <v>1648</v>
      </c>
      <c r="AK33" s="417" t="s">
        <v>1649</v>
      </c>
      <c r="AL33" s="418" t="s">
        <v>1650</v>
      </c>
      <c r="AM33" s="417" t="s">
        <v>1651</v>
      </c>
      <c r="AN33" s="419" t="s">
        <v>1652</v>
      </c>
      <c r="AO33" s="420" t="s">
        <v>1653</v>
      </c>
      <c r="AP33" s="455" t="s">
        <v>1654</v>
      </c>
      <c r="AQ33" s="418" t="s">
        <v>1655</v>
      </c>
      <c r="AR33" s="455" t="s">
        <v>1656</v>
      </c>
      <c r="AS33" s="418" t="s">
        <v>1657</v>
      </c>
      <c r="AT33" s="1056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33" s="172"/>
      <c r="BA33" s="606"/>
      <c r="BP33" s="172"/>
      <c r="BQ33" s="108"/>
      <c r="CC33" s="191" t="str">
        <f t="shared" si="2"/>
        <v xml:space="preserve"> * La variable Pueblos Originarios Hombres no puede ser Mayor al Total Hombres.</v>
      </c>
      <c r="CD33" s="191" t="str">
        <f t="shared" si="3"/>
        <v xml:space="preserve"> * La variable Pueblos Originarios Mujeres no puede ser Mayor al Total Mujeres.</v>
      </c>
      <c r="CE33" s="191" t="str">
        <f t="shared" si="11"/>
        <v xml:space="preserve"> * La variable Migrantes Hombres no puede ser Mayor al Total Hombres.</v>
      </c>
      <c r="CF33" s="191" t="str">
        <f t="shared" si="12"/>
        <v xml:space="preserve"> * La variable Migrantes Mujeres no puede ser Mayor al Total Mujeres.</v>
      </c>
      <c r="CO33" s="1047">
        <f t="shared" si="7"/>
        <v>1</v>
      </c>
      <c r="CP33" s="1047">
        <f t="shared" si="8"/>
        <v>1</v>
      </c>
      <c r="CQ33" s="1047">
        <f t="shared" si="9"/>
        <v>1</v>
      </c>
      <c r="CR33" s="1047">
        <f t="shared" si="10"/>
        <v>1</v>
      </c>
    </row>
    <row r="34" spans="1:98" ht="15" customHeight="1" x14ac:dyDescent="0.25">
      <c r="A34" s="1585" t="s">
        <v>1186</v>
      </c>
      <c r="B34" s="1961" t="s">
        <v>429</v>
      </c>
      <c r="C34" s="1962"/>
      <c r="D34" s="1143" t="s">
        <v>1616</v>
      </c>
      <c r="E34" s="391" t="s">
        <v>1617</v>
      </c>
      <c r="F34" s="386" t="s">
        <v>1618</v>
      </c>
      <c r="G34" s="403" t="s">
        <v>1619</v>
      </c>
      <c r="H34" s="404" t="s">
        <v>1620</v>
      </c>
      <c r="I34" s="403" t="s">
        <v>1621</v>
      </c>
      <c r="J34" s="404" t="s">
        <v>1622</v>
      </c>
      <c r="K34" s="403" t="s">
        <v>1623</v>
      </c>
      <c r="L34" s="404" t="s">
        <v>1624</v>
      </c>
      <c r="M34" s="403" t="s">
        <v>1625</v>
      </c>
      <c r="N34" s="404" t="s">
        <v>1626</v>
      </c>
      <c r="O34" s="403" t="s">
        <v>1627</v>
      </c>
      <c r="P34" s="404" t="s">
        <v>1628</v>
      </c>
      <c r="Q34" s="403" t="s">
        <v>1629</v>
      </c>
      <c r="R34" s="404" t="s">
        <v>1630</v>
      </c>
      <c r="S34" s="403" t="s">
        <v>1631</v>
      </c>
      <c r="T34" s="404" t="s">
        <v>1632</v>
      </c>
      <c r="U34" s="403" t="s">
        <v>1633</v>
      </c>
      <c r="V34" s="404" t="s">
        <v>1634</v>
      </c>
      <c r="W34" s="403" t="s">
        <v>1635</v>
      </c>
      <c r="X34" s="404" t="s">
        <v>1636</v>
      </c>
      <c r="Y34" s="403" t="s">
        <v>1637</v>
      </c>
      <c r="Z34" s="404" t="s">
        <v>1638</v>
      </c>
      <c r="AA34" s="403" t="s">
        <v>1639</v>
      </c>
      <c r="AB34" s="404" t="s">
        <v>1640</v>
      </c>
      <c r="AC34" s="403" t="s">
        <v>1641</v>
      </c>
      <c r="AD34" s="404" t="s">
        <v>1642</v>
      </c>
      <c r="AE34" s="403" t="s">
        <v>1643</v>
      </c>
      <c r="AF34" s="404" t="s">
        <v>1644</v>
      </c>
      <c r="AG34" s="403" t="s">
        <v>1645</v>
      </c>
      <c r="AH34" s="404" t="s">
        <v>1646</v>
      </c>
      <c r="AI34" s="403" t="s">
        <v>1647</v>
      </c>
      <c r="AJ34" s="404" t="s">
        <v>1648</v>
      </c>
      <c r="AK34" s="403" t="s">
        <v>1649</v>
      </c>
      <c r="AL34" s="404" t="s">
        <v>1650</v>
      </c>
      <c r="AM34" s="403" t="s">
        <v>1651</v>
      </c>
      <c r="AN34" s="431" t="s">
        <v>1652</v>
      </c>
      <c r="AO34" s="738" t="s">
        <v>1653</v>
      </c>
      <c r="AP34" s="416" t="s">
        <v>1654</v>
      </c>
      <c r="AQ34" s="404" t="s">
        <v>1655</v>
      </c>
      <c r="AR34" s="416" t="s">
        <v>1656</v>
      </c>
      <c r="AS34" s="404" t="s">
        <v>1657</v>
      </c>
      <c r="AT34" s="1056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34" s="172"/>
      <c r="BA34" s="606"/>
      <c r="BP34" s="172"/>
      <c r="BQ34" s="108"/>
      <c r="CC34" s="191" t="str">
        <f t="shared" si="2"/>
        <v xml:space="preserve"> * La variable Pueblos Originarios Hombres no puede ser Mayor al Total Hombres.</v>
      </c>
      <c r="CD34" s="191" t="str">
        <f t="shared" si="3"/>
        <v xml:space="preserve"> * La variable Pueblos Originarios Mujeres no puede ser Mayor al Total Mujeres.</v>
      </c>
      <c r="CE34" s="191" t="str">
        <f t="shared" si="11"/>
        <v xml:space="preserve"> * La variable Migrantes Hombres no puede ser Mayor al Total Hombres.</v>
      </c>
      <c r="CF34" s="191" t="str">
        <f t="shared" si="12"/>
        <v xml:space="preserve"> * La variable Migrantes Mujeres no puede ser Mayor al Total Mujeres.</v>
      </c>
      <c r="CO34" s="1047">
        <f t="shared" si="7"/>
        <v>1</v>
      </c>
      <c r="CP34" s="1047">
        <f t="shared" si="8"/>
        <v>1</v>
      </c>
      <c r="CQ34" s="1047">
        <f t="shared" si="9"/>
        <v>1</v>
      </c>
      <c r="CR34" s="1047">
        <f t="shared" si="10"/>
        <v>1</v>
      </c>
    </row>
    <row r="35" spans="1:98" ht="15" customHeight="1" x14ac:dyDescent="0.25">
      <c r="A35" s="1585" t="s">
        <v>1187</v>
      </c>
      <c r="B35" s="1959" t="s">
        <v>430</v>
      </c>
      <c r="C35" s="737" t="s">
        <v>431</v>
      </c>
      <c r="D35" s="1142" t="s">
        <v>1616</v>
      </c>
      <c r="E35" s="387" t="s">
        <v>1617</v>
      </c>
      <c r="F35" s="388" t="s">
        <v>1618</v>
      </c>
      <c r="G35" s="417" t="s">
        <v>1619</v>
      </c>
      <c r="H35" s="418" t="s">
        <v>1620</v>
      </c>
      <c r="I35" s="417" t="s">
        <v>1621</v>
      </c>
      <c r="J35" s="418" t="s">
        <v>1622</v>
      </c>
      <c r="K35" s="417" t="s">
        <v>1623</v>
      </c>
      <c r="L35" s="418" t="s">
        <v>1624</v>
      </c>
      <c r="M35" s="417" t="s">
        <v>1625</v>
      </c>
      <c r="N35" s="418" t="s">
        <v>1626</v>
      </c>
      <c r="O35" s="417" t="s">
        <v>1627</v>
      </c>
      <c r="P35" s="418" t="s">
        <v>1628</v>
      </c>
      <c r="Q35" s="417" t="s">
        <v>1629</v>
      </c>
      <c r="R35" s="418" t="s">
        <v>1630</v>
      </c>
      <c r="S35" s="417" t="s">
        <v>1631</v>
      </c>
      <c r="T35" s="418" t="s">
        <v>1632</v>
      </c>
      <c r="U35" s="417" t="s">
        <v>1633</v>
      </c>
      <c r="V35" s="418" t="s">
        <v>1634</v>
      </c>
      <c r="W35" s="417" t="s">
        <v>1635</v>
      </c>
      <c r="X35" s="418" t="s">
        <v>1636</v>
      </c>
      <c r="Y35" s="417" t="s">
        <v>1637</v>
      </c>
      <c r="Z35" s="418" t="s">
        <v>1638</v>
      </c>
      <c r="AA35" s="417" t="s">
        <v>1639</v>
      </c>
      <c r="AB35" s="418" t="s">
        <v>1640</v>
      </c>
      <c r="AC35" s="417" t="s">
        <v>1641</v>
      </c>
      <c r="AD35" s="418" t="s">
        <v>1642</v>
      </c>
      <c r="AE35" s="417" t="s">
        <v>1643</v>
      </c>
      <c r="AF35" s="418" t="s">
        <v>1644</v>
      </c>
      <c r="AG35" s="417" t="s">
        <v>1645</v>
      </c>
      <c r="AH35" s="418" t="s">
        <v>1646</v>
      </c>
      <c r="AI35" s="417" t="s">
        <v>1647</v>
      </c>
      <c r="AJ35" s="418" t="s">
        <v>1648</v>
      </c>
      <c r="AK35" s="417" t="s">
        <v>1649</v>
      </c>
      <c r="AL35" s="418" t="s">
        <v>1650</v>
      </c>
      <c r="AM35" s="417" t="s">
        <v>1651</v>
      </c>
      <c r="AN35" s="419" t="s">
        <v>1652</v>
      </c>
      <c r="AO35" s="420" t="s">
        <v>1653</v>
      </c>
      <c r="AP35" s="455" t="s">
        <v>1654</v>
      </c>
      <c r="AQ35" s="418" t="s">
        <v>1655</v>
      </c>
      <c r="AR35" s="455" t="s">
        <v>1656</v>
      </c>
      <c r="AS35" s="418" t="s">
        <v>1657</v>
      </c>
      <c r="AT35" s="1056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35" s="172"/>
      <c r="BA35" s="606"/>
      <c r="BP35" s="172"/>
      <c r="BQ35" s="108"/>
      <c r="CC35" s="191" t="str">
        <f t="shared" si="2"/>
        <v xml:space="preserve"> * La variable Pueblos Originarios Hombres no puede ser Mayor al Total Hombres.</v>
      </c>
      <c r="CD35" s="191" t="str">
        <f t="shared" si="3"/>
        <v xml:space="preserve"> * La variable Pueblos Originarios Mujeres no puede ser Mayor al Total Mujeres.</v>
      </c>
      <c r="CE35" s="191" t="str">
        <f t="shared" si="11"/>
        <v xml:space="preserve"> * La variable Migrantes Hombres no puede ser Mayor al Total Hombres.</v>
      </c>
      <c r="CF35" s="191" t="str">
        <f t="shared" si="12"/>
        <v xml:space="preserve"> * La variable Migrantes Mujeres no puede ser Mayor al Total Mujeres.</v>
      </c>
      <c r="CO35" s="1047">
        <f t="shared" si="7"/>
        <v>1</v>
      </c>
      <c r="CP35" s="1047">
        <f t="shared" si="8"/>
        <v>1</v>
      </c>
      <c r="CQ35" s="1047">
        <f t="shared" si="9"/>
        <v>1</v>
      </c>
      <c r="CR35" s="1047">
        <f t="shared" si="10"/>
        <v>1</v>
      </c>
    </row>
    <row r="36" spans="1:98" ht="15" customHeight="1" x14ac:dyDescent="0.25">
      <c r="A36" s="1585" t="s">
        <v>1188</v>
      </c>
      <c r="B36" s="1959"/>
      <c r="C36" s="92" t="s">
        <v>432</v>
      </c>
      <c r="D36" s="1147" t="s">
        <v>1616</v>
      </c>
      <c r="E36" s="397" t="s">
        <v>1617</v>
      </c>
      <c r="F36" s="385" t="s">
        <v>1618</v>
      </c>
      <c r="G36" s="417" t="s">
        <v>1619</v>
      </c>
      <c r="H36" s="418" t="s">
        <v>1620</v>
      </c>
      <c r="I36" s="417" t="s">
        <v>1621</v>
      </c>
      <c r="J36" s="418" t="s">
        <v>1622</v>
      </c>
      <c r="K36" s="417" t="s">
        <v>1623</v>
      </c>
      <c r="L36" s="418" t="s">
        <v>1624</v>
      </c>
      <c r="M36" s="417" t="s">
        <v>1625</v>
      </c>
      <c r="N36" s="418" t="s">
        <v>1626</v>
      </c>
      <c r="O36" s="417" t="s">
        <v>1627</v>
      </c>
      <c r="P36" s="418" t="s">
        <v>1628</v>
      </c>
      <c r="Q36" s="417" t="s">
        <v>1629</v>
      </c>
      <c r="R36" s="418" t="s">
        <v>1630</v>
      </c>
      <c r="S36" s="417" t="s">
        <v>1631</v>
      </c>
      <c r="T36" s="418" t="s">
        <v>1632</v>
      </c>
      <c r="U36" s="417" t="s">
        <v>1633</v>
      </c>
      <c r="V36" s="418" t="s">
        <v>1634</v>
      </c>
      <c r="W36" s="417" t="s">
        <v>1635</v>
      </c>
      <c r="X36" s="418" t="s">
        <v>1636</v>
      </c>
      <c r="Y36" s="417" t="s">
        <v>1637</v>
      </c>
      <c r="Z36" s="418" t="s">
        <v>1638</v>
      </c>
      <c r="AA36" s="417" t="s">
        <v>1639</v>
      </c>
      <c r="AB36" s="418" t="s">
        <v>1640</v>
      </c>
      <c r="AC36" s="417" t="s">
        <v>1641</v>
      </c>
      <c r="AD36" s="418" t="s">
        <v>1642</v>
      </c>
      <c r="AE36" s="417" t="s">
        <v>1643</v>
      </c>
      <c r="AF36" s="418" t="s">
        <v>1644</v>
      </c>
      <c r="AG36" s="417" t="s">
        <v>1645</v>
      </c>
      <c r="AH36" s="418" t="s">
        <v>1646</v>
      </c>
      <c r="AI36" s="417" t="s">
        <v>1647</v>
      </c>
      <c r="AJ36" s="418" t="s">
        <v>1648</v>
      </c>
      <c r="AK36" s="417" t="s">
        <v>1649</v>
      </c>
      <c r="AL36" s="418" t="s">
        <v>1650</v>
      </c>
      <c r="AM36" s="417" t="s">
        <v>1651</v>
      </c>
      <c r="AN36" s="419" t="s">
        <v>1652</v>
      </c>
      <c r="AO36" s="421" t="s">
        <v>1653</v>
      </c>
      <c r="AP36" s="445" t="s">
        <v>1654</v>
      </c>
      <c r="AQ36" s="399" t="s">
        <v>1655</v>
      </c>
      <c r="AR36" s="445" t="s">
        <v>1656</v>
      </c>
      <c r="AS36" s="399" t="s">
        <v>1657</v>
      </c>
      <c r="AT36" s="1056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36" s="172"/>
      <c r="BA36" s="606"/>
      <c r="BP36" s="172"/>
      <c r="BQ36" s="108"/>
      <c r="CC36" s="191" t="str">
        <f t="shared" si="2"/>
        <v xml:space="preserve"> * La variable Pueblos Originarios Hombres no puede ser Mayor al Total Hombres.</v>
      </c>
      <c r="CD36" s="191" t="str">
        <f t="shared" si="3"/>
        <v xml:space="preserve"> * La variable Pueblos Originarios Mujeres no puede ser Mayor al Total Mujeres.</v>
      </c>
      <c r="CE36" s="191" t="str">
        <f t="shared" si="11"/>
        <v xml:space="preserve"> * La variable Migrantes Hombres no puede ser Mayor al Total Hombres.</v>
      </c>
      <c r="CF36" s="191" t="str">
        <f t="shared" si="12"/>
        <v xml:space="preserve"> * La variable Migrantes Mujeres no puede ser Mayor al Total Mujeres.</v>
      </c>
      <c r="CO36" s="1047">
        <f t="shared" si="7"/>
        <v>1</v>
      </c>
      <c r="CP36" s="1047">
        <f t="shared" si="8"/>
        <v>1</v>
      </c>
      <c r="CQ36" s="1047">
        <f t="shared" si="9"/>
        <v>1</v>
      </c>
      <c r="CR36" s="1047">
        <f t="shared" si="10"/>
        <v>1</v>
      </c>
    </row>
    <row r="37" spans="1:98" ht="15" customHeight="1" thickBot="1" x14ac:dyDescent="0.3">
      <c r="A37" s="1585" t="s">
        <v>1189</v>
      </c>
      <c r="B37" s="1960"/>
      <c r="C37" s="1095" t="s">
        <v>433</v>
      </c>
      <c r="D37" s="1147" t="s">
        <v>1616</v>
      </c>
      <c r="E37" s="422" t="s">
        <v>1617</v>
      </c>
      <c r="F37" s="423" t="s">
        <v>1618</v>
      </c>
      <c r="G37" s="417" t="s">
        <v>1619</v>
      </c>
      <c r="H37" s="418" t="s">
        <v>1620</v>
      </c>
      <c r="I37" s="417" t="s">
        <v>1621</v>
      </c>
      <c r="J37" s="418" t="s">
        <v>1622</v>
      </c>
      <c r="K37" s="417" t="s">
        <v>1623</v>
      </c>
      <c r="L37" s="418" t="s">
        <v>1624</v>
      </c>
      <c r="M37" s="417" t="s">
        <v>1625</v>
      </c>
      <c r="N37" s="418" t="s">
        <v>1626</v>
      </c>
      <c r="O37" s="417" t="s">
        <v>1627</v>
      </c>
      <c r="P37" s="418" t="s">
        <v>1628</v>
      </c>
      <c r="Q37" s="417" t="s">
        <v>1629</v>
      </c>
      <c r="R37" s="418" t="s">
        <v>1630</v>
      </c>
      <c r="S37" s="417" t="s">
        <v>1631</v>
      </c>
      <c r="T37" s="418" t="s">
        <v>1632</v>
      </c>
      <c r="U37" s="417" t="s">
        <v>1633</v>
      </c>
      <c r="V37" s="418" t="s">
        <v>1634</v>
      </c>
      <c r="W37" s="417" t="s">
        <v>1635</v>
      </c>
      <c r="X37" s="418" t="s">
        <v>1636</v>
      </c>
      <c r="Y37" s="417" t="s">
        <v>1637</v>
      </c>
      <c r="Z37" s="418" t="s">
        <v>1638</v>
      </c>
      <c r="AA37" s="417" t="s">
        <v>1639</v>
      </c>
      <c r="AB37" s="418" t="s">
        <v>1640</v>
      </c>
      <c r="AC37" s="417" t="s">
        <v>1641</v>
      </c>
      <c r="AD37" s="418" t="s">
        <v>1642</v>
      </c>
      <c r="AE37" s="417" t="s">
        <v>1643</v>
      </c>
      <c r="AF37" s="418" t="s">
        <v>1644</v>
      </c>
      <c r="AG37" s="417" t="s">
        <v>1645</v>
      </c>
      <c r="AH37" s="418" t="s">
        <v>1646</v>
      </c>
      <c r="AI37" s="417" t="s">
        <v>1647</v>
      </c>
      <c r="AJ37" s="418" t="s">
        <v>1648</v>
      </c>
      <c r="AK37" s="417" t="s">
        <v>1649</v>
      </c>
      <c r="AL37" s="418" t="s">
        <v>1650</v>
      </c>
      <c r="AM37" s="417" t="s">
        <v>1651</v>
      </c>
      <c r="AN37" s="419" t="s">
        <v>1652</v>
      </c>
      <c r="AO37" s="424" t="s">
        <v>1653</v>
      </c>
      <c r="AP37" s="449" t="s">
        <v>1654</v>
      </c>
      <c r="AQ37" s="409" t="s">
        <v>1655</v>
      </c>
      <c r="AR37" s="449" t="s">
        <v>1656</v>
      </c>
      <c r="AS37" s="409" t="s">
        <v>1657</v>
      </c>
      <c r="AT37" s="1056" t="e">
        <f>$CC37&amp;$CD37&amp;$CE37&amp;$CF37&amp;CG37</f>
        <v>#VALUE!</v>
      </c>
      <c r="AZ37" s="172"/>
      <c r="BA37" s="606"/>
      <c r="BP37" s="172"/>
      <c r="BQ37" s="108"/>
      <c r="CC37" s="191" t="str">
        <f t="shared" si="2"/>
        <v xml:space="preserve"> * La variable Pueblos Originarios Hombres no puede ser Mayor al Total Hombres.</v>
      </c>
      <c r="CD37" s="191" t="str">
        <f t="shared" si="3"/>
        <v xml:space="preserve"> * La variable Pueblos Originarios Mujeres no puede ser Mayor al Total Mujeres.</v>
      </c>
      <c r="CE37" s="191" t="str">
        <f t="shared" si="11"/>
        <v xml:space="preserve"> * La variable Migrantes Hombres no puede ser Mayor al Total Hombres.</v>
      </c>
      <c r="CF37" s="191" t="str">
        <f t="shared" si="12"/>
        <v xml:space="preserve"> * La variable Migrantes Mujeres no puede ser Mayor al Total Mujeres.</v>
      </c>
      <c r="CG37" s="191" t="e">
        <f>IF($D37&lt;=$D35+$D36,"","TOTAL PERSONAS CON LESIÓN POR PRESIÓN* no debe ser mayor que los Dependientes oncológicos + no Oncológicos. ")</f>
        <v>#VALUE!</v>
      </c>
      <c r="CO37" s="1047">
        <f t="shared" si="7"/>
        <v>1</v>
      </c>
      <c r="CP37" s="1047">
        <f t="shared" si="8"/>
        <v>1</v>
      </c>
      <c r="CQ37" s="1047">
        <f t="shared" si="9"/>
        <v>1</v>
      </c>
      <c r="CR37" s="1047">
        <f t="shared" si="10"/>
        <v>1</v>
      </c>
      <c r="CS37" s="1047" t="e">
        <f>IF($D37&lt;=$D35+$D36,0,1)</f>
        <v>#VALUE!</v>
      </c>
    </row>
    <row r="38" spans="1:98" ht="15" customHeight="1" thickTop="1" x14ac:dyDescent="0.25">
      <c r="A38" s="1585" t="s">
        <v>1190</v>
      </c>
      <c r="B38" s="1906" t="s">
        <v>434</v>
      </c>
      <c r="C38" s="587" t="s">
        <v>435</v>
      </c>
      <c r="D38" s="1167" t="s">
        <v>1616</v>
      </c>
      <c r="E38" s="425" t="s">
        <v>1617</v>
      </c>
      <c r="F38" s="426" t="s">
        <v>1618</v>
      </c>
      <c r="G38" s="427" t="s">
        <v>1619</v>
      </c>
      <c r="H38" s="428" t="s">
        <v>1620</v>
      </c>
      <c r="I38" s="427" t="s">
        <v>1621</v>
      </c>
      <c r="J38" s="428" t="s">
        <v>1622</v>
      </c>
      <c r="K38" s="427" t="s">
        <v>1623</v>
      </c>
      <c r="L38" s="428" t="s">
        <v>1624</v>
      </c>
      <c r="M38" s="427" t="s">
        <v>1625</v>
      </c>
      <c r="N38" s="428" t="s">
        <v>1626</v>
      </c>
      <c r="O38" s="427" t="s">
        <v>1627</v>
      </c>
      <c r="P38" s="428" t="s">
        <v>1628</v>
      </c>
      <c r="Q38" s="427" t="s">
        <v>1629</v>
      </c>
      <c r="R38" s="428" t="s">
        <v>1630</v>
      </c>
      <c r="S38" s="427" t="s">
        <v>1631</v>
      </c>
      <c r="T38" s="428" t="s">
        <v>1632</v>
      </c>
      <c r="U38" s="427" t="s">
        <v>1633</v>
      </c>
      <c r="V38" s="428" t="s">
        <v>1634</v>
      </c>
      <c r="W38" s="427" t="s">
        <v>1635</v>
      </c>
      <c r="X38" s="428" t="s">
        <v>1636</v>
      </c>
      <c r="Y38" s="427" t="s">
        <v>1637</v>
      </c>
      <c r="Z38" s="428" t="s">
        <v>1638</v>
      </c>
      <c r="AA38" s="427" t="s">
        <v>1639</v>
      </c>
      <c r="AB38" s="428" t="s">
        <v>1640</v>
      </c>
      <c r="AC38" s="427" t="s">
        <v>1641</v>
      </c>
      <c r="AD38" s="428" t="s">
        <v>1642</v>
      </c>
      <c r="AE38" s="427" t="s">
        <v>1643</v>
      </c>
      <c r="AF38" s="428" t="s">
        <v>1644</v>
      </c>
      <c r="AG38" s="427" t="s">
        <v>1645</v>
      </c>
      <c r="AH38" s="428" t="s">
        <v>1646</v>
      </c>
      <c r="AI38" s="427" t="s">
        <v>1647</v>
      </c>
      <c r="AJ38" s="428" t="s">
        <v>1648</v>
      </c>
      <c r="AK38" s="427" t="s">
        <v>1649</v>
      </c>
      <c r="AL38" s="428" t="s">
        <v>1650</v>
      </c>
      <c r="AM38" s="427" t="s">
        <v>1651</v>
      </c>
      <c r="AN38" s="429" t="s">
        <v>1652</v>
      </c>
      <c r="AO38" s="430" t="s">
        <v>1653</v>
      </c>
      <c r="AP38" s="575" t="s">
        <v>1654</v>
      </c>
      <c r="AQ38" s="428" t="s">
        <v>1655</v>
      </c>
      <c r="AR38" s="575" t="s">
        <v>1656</v>
      </c>
      <c r="AS38" s="428" t="s">
        <v>1657</v>
      </c>
      <c r="AT38" s="1056" t="e">
        <f>$CC38&amp;$CD38&amp;$CE38&amp;$CF38&amp;$CG38&amp;$CH38</f>
        <v>#VALUE!</v>
      </c>
      <c r="AZ38" s="172"/>
      <c r="BA38" s="606"/>
      <c r="BP38" s="172"/>
      <c r="BQ38" s="108"/>
      <c r="CC38" s="191" t="str">
        <f t="shared" si="2"/>
        <v xml:space="preserve"> * La variable Pueblos Originarios Hombres no puede ser Mayor al Total Hombres.</v>
      </c>
      <c r="CD38" s="191" t="str">
        <f t="shared" si="3"/>
        <v xml:space="preserve"> * La variable Pueblos Originarios Mujeres no puede ser Mayor al Total Mujeres.</v>
      </c>
      <c r="CE38" s="191" t="str">
        <f t="shared" si="11"/>
        <v xml:space="preserve"> * La variable Migrantes Hombres no puede ser Mayor al Total Hombres.</v>
      </c>
      <c r="CF38" s="191" t="str">
        <f t="shared" si="12"/>
        <v xml:space="preserve"> * La variable Migrantes Mujeres no puede ser Mayor al Total Mujeres.</v>
      </c>
      <c r="CG38" s="191" t="e">
        <f>IF($D38&lt;=$D35+$D36,"","*Total Personas con Atención Domiciliaria por Dependencia Severa no debe ser mayor que Dependencia Severa / oncológicos + no Oncológicos. ")</f>
        <v>#VALUE!</v>
      </c>
      <c r="CO38" s="1047">
        <f t="shared" si="7"/>
        <v>1</v>
      </c>
      <c r="CP38" s="1047">
        <f t="shared" si="8"/>
        <v>1</v>
      </c>
      <c r="CQ38" s="1047">
        <f t="shared" si="9"/>
        <v>1</v>
      </c>
      <c r="CR38" s="1047">
        <f t="shared" si="10"/>
        <v>1</v>
      </c>
      <c r="CS38" s="1047" t="e">
        <f>IF($D38&lt;=$D35+$D36,0,1)</f>
        <v>#VALUE!</v>
      </c>
    </row>
    <row r="39" spans="1:98" ht="15" customHeight="1" x14ac:dyDescent="0.25">
      <c r="A39" s="1585" t="s">
        <v>1191</v>
      </c>
      <c r="B39" s="1907"/>
      <c r="C39" s="737" t="s">
        <v>431</v>
      </c>
      <c r="D39" s="1147" t="s">
        <v>1616</v>
      </c>
      <c r="E39" s="397" t="s">
        <v>1617</v>
      </c>
      <c r="F39" s="385" t="s">
        <v>1618</v>
      </c>
      <c r="G39" s="398" t="s">
        <v>1619</v>
      </c>
      <c r="H39" s="399" t="s">
        <v>1620</v>
      </c>
      <c r="I39" s="398" t="s">
        <v>1621</v>
      </c>
      <c r="J39" s="399" t="s">
        <v>1622</v>
      </c>
      <c r="K39" s="398" t="s">
        <v>1623</v>
      </c>
      <c r="L39" s="399" t="s">
        <v>1624</v>
      </c>
      <c r="M39" s="398" t="s">
        <v>1625</v>
      </c>
      <c r="N39" s="399" t="s">
        <v>1626</v>
      </c>
      <c r="O39" s="398" t="s">
        <v>1627</v>
      </c>
      <c r="P39" s="399" t="s">
        <v>1628</v>
      </c>
      <c r="Q39" s="398" t="s">
        <v>1629</v>
      </c>
      <c r="R39" s="399" t="s">
        <v>1630</v>
      </c>
      <c r="S39" s="398" t="s">
        <v>1631</v>
      </c>
      <c r="T39" s="399" t="s">
        <v>1632</v>
      </c>
      <c r="U39" s="398" t="s">
        <v>1633</v>
      </c>
      <c r="V39" s="399" t="s">
        <v>1634</v>
      </c>
      <c r="W39" s="398" t="s">
        <v>1635</v>
      </c>
      <c r="X39" s="399" t="s">
        <v>1636</v>
      </c>
      <c r="Y39" s="398" t="s">
        <v>1637</v>
      </c>
      <c r="Z39" s="399" t="s">
        <v>1638</v>
      </c>
      <c r="AA39" s="398" t="s">
        <v>1639</v>
      </c>
      <c r="AB39" s="399" t="s">
        <v>1640</v>
      </c>
      <c r="AC39" s="398" t="s">
        <v>1641</v>
      </c>
      <c r="AD39" s="399" t="s">
        <v>1642</v>
      </c>
      <c r="AE39" s="398" t="s">
        <v>1643</v>
      </c>
      <c r="AF39" s="399" t="s">
        <v>1644</v>
      </c>
      <c r="AG39" s="398" t="s">
        <v>1645</v>
      </c>
      <c r="AH39" s="399" t="s">
        <v>1646</v>
      </c>
      <c r="AI39" s="398" t="s">
        <v>1647</v>
      </c>
      <c r="AJ39" s="399" t="s">
        <v>1648</v>
      </c>
      <c r="AK39" s="398" t="s">
        <v>1649</v>
      </c>
      <c r="AL39" s="399" t="s">
        <v>1650</v>
      </c>
      <c r="AM39" s="398" t="s">
        <v>1651</v>
      </c>
      <c r="AN39" s="407" t="s">
        <v>1652</v>
      </c>
      <c r="AO39" s="421" t="s">
        <v>1653</v>
      </c>
      <c r="AP39" s="445" t="s">
        <v>1654</v>
      </c>
      <c r="AQ39" s="399" t="s">
        <v>1655</v>
      </c>
      <c r="AR39" s="445" t="s">
        <v>1656</v>
      </c>
      <c r="AS39" s="399" t="s">
        <v>1657</v>
      </c>
      <c r="AT39" s="1056" t="str">
        <f>$CC39&amp;$CD39&amp;$CE39&amp;$CF39&amp;$CG39&amp;$CH39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39" s="172"/>
      <c r="BA39" s="606"/>
      <c r="BP39" s="172"/>
      <c r="BQ39" s="108"/>
      <c r="CC39" s="191" t="str">
        <f t="shared" si="2"/>
        <v xml:space="preserve"> * La variable Pueblos Originarios Hombres no puede ser Mayor al Total Hombres.</v>
      </c>
      <c r="CD39" s="191" t="str">
        <f t="shared" si="3"/>
        <v xml:space="preserve"> * La variable Pueblos Originarios Mujeres no puede ser Mayor al Total Mujeres.</v>
      </c>
      <c r="CE39" s="191" t="str">
        <f t="shared" si="11"/>
        <v xml:space="preserve"> * La variable Migrantes Hombres no puede ser Mayor al Total Hombres.</v>
      </c>
      <c r="CF39" s="191" t="str">
        <f t="shared" si="12"/>
        <v xml:space="preserve"> * La variable Migrantes Mujeres no puede ser Mayor al Total Mujeres.</v>
      </c>
      <c r="CG39" s="191" t="str">
        <f>IF($D39&lt;=$D$38,"","* Atención Domiciliaria por Dependencia Severa: Total Oncológica no debe ser mayor al Total Personas. ")</f>
        <v/>
      </c>
      <c r="CH39" s="191" t="str">
        <f>IF($D39&lt;=$D35,"","* Atención Domiciliaria por Dependencia Severa: Total Oncológica no debe ser mayor a las personas con Dependencia Severa / Oncológica. ")</f>
        <v/>
      </c>
      <c r="CO39" s="1047">
        <f t="shared" si="7"/>
        <v>1</v>
      </c>
      <c r="CP39" s="1047">
        <f t="shared" si="8"/>
        <v>1</v>
      </c>
      <c r="CQ39" s="1047">
        <f t="shared" si="9"/>
        <v>1</v>
      </c>
      <c r="CR39" s="1047">
        <f t="shared" si="10"/>
        <v>1</v>
      </c>
      <c r="CS39" s="1047">
        <f>IF($D39&lt;=$D$38,0,1)</f>
        <v>0</v>
      </c>
      <c r="CT39" s="1047">
        <f>IF($D39&lt;=$D35,0,1)</f>
        <v>0</v>
      </c>
    </row>
    <row r="40" spans="1:98" ht="15" customHeight="1" x14ac:dyDescent="0.25">
      <c r="A40" s="1585" t="s">
        <v>1192</v>
      </c>
      <c r="B40" s="1907"/>
      <c r="C40" s="92" t="s">
        <v>432</v>
      </c>
      <c r="D40" s="1147" t="s">
        <v>1616</v>
      </c>
      <c r="E40" s="397" t="s">
        <v>1617</v>
      </c>
      <c r="F40" s="385" t="s">
        <v>1618</v>
      </c>
      <c r="G40" s="398" t="s">
        <v>1619</v>
      </c>
      <c r="H40" s="399" t="s">
        <v>1620</v>
      </c>
      <c r="I40" s="398" t="s">
        <v>1621</v>
      </c>
      <c r="J40" s="399" t="s">
        <v>1622</v>
      </c>
      <c r="K40" s="398" t="s">
        <v>1623</v>
      </c>
      <c r="L40" s="399" t="s">
        <v>1624</v>
      </c>
      <c r="M40" s="398" t="s">
        <v>1625</v>
      </c>
      <c r="N40" s="399" t="s">
        <v>1626</v>
      </c>
      <c r="O40" s="398" t="s">
        <v>1627</v>
      </c>
      <c r="P40" s="399" t="s">
        <v>1628</v>
      </c>
      <c r="Q40" s="398" t="s">
        <v>1629</v>
      </c>
      <c r="R40" s="399" t="s">
        <v>1630</v>
      </c>
      <c r="S40" s="398" t="s">
        <v>1631</v>
      </c>
      <c r="T40" s="399" t="s">
        <v>1632</v>
      </c>
      <c r="U40" s="398" t="s">
        <v>1633</v>
      </c>
      <c r="V40" s="399" t="s">
        <v>1634</v>
      </c>
      <c r="W40" s="398" t="s">
        <v>1635</v>
      </c>
      <c r="X40" s="399" t="s">
        <v>1636</v>
      </c>
      <c r="Y40" s="398" t="s">
        <v>1637</v>
      </c>
      <c r="Z40" s="399" t="s">
        <v>1638</v>
      </c>
      <c r="AA40" s="398" t="s">
        <v>1639</v>
      </c>
      <c r="AB40" s="399" t="s">
        <v>1640</v>
      </c>
      <c r="AC40" s="398" t="s">
        <v>1641</v>
      </c>
      <c r="AD40" s="399" t="s">
        <v>1642</v>
      </c>
      <c r="AE40" s="398" t="s">
        <v>1643</v>
      </c>
      <c r="AF40" s="399" t="s">
        <v>1644</v>
      </c>
      <c r="AG40" s="398" t="s">
        <v>1645</v>
      </c>
      <c r="AH40" s="399" t="s">
        <v>1646</v>
      </c>
      <c r="AI40" s="398" t="s">
        <v>1647</v>
      </c>
      <c r="AJ40" s="399" t="s">
        <v>1648</v>
      </c>
      <c r="AK40" s="398" t="s">
        <v>1649</v>
      </c>
      <c r="AL40" s="399" t="s">
        <v>1650</v>
      </c>
      <c r="AM40" s="398" t="s">
        <v>1651</v>
      </c>
      <c r="AN40" s="407" t="s">
        <v>1652</v>
      </c>
      <c r="AO40" s="421" t="s">
        <v>1653</v>
      </c>
      <c r="AP40" s="445" t="s">
        <v>1654</v>
      </c>
      <c r="AQ40" s="399" t="s">
        <v>1655</v>
      </c>
      <c r="AR40" s="445" t="s">
        <v>1656</v>
      </c>
      <c r="AS40" s="399" t="s">
        <v>1657</v>
      </c>
      <c r="AT40" s="1056" t="str">
        <f t="shared" ref="AT40" si="14">$CC40&amp;$CD40&amp;$CE40&amp;$CF40&amp;$CG40&amp;$CH40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40" s="172"/>
      <c r="BA40" s="606"/>
      <c r="BP40" s="172"/>
      <c r="BQ40" s="108"/>
      <c r="CC40" s="191" t="str">
        <f t="shared" si="2"/>
        <v xml:space="preserve"> * La variable Pueblos Originarios Hombres no puede ser Mayor al Total Hombres.</v>
      </c>
      <c r="CD40" s="191" t="str">
        <f t="shared" si="3"/>
        <v xml:space="preserve"> * La variable Pueblos Originarios Mujeres no puede ser Mayor al Total Mujeres.</v>
      </c>
      <c r="CE40" s="191" t="str">
        <f t="shared" si="11"/>
        <v xml:space="preserve"> * La variable Migrantes Hombres no puede ser Mayor al Total Hombres.</v>
      </c>
      <c r="CF40" s="191" t="str">
        <f t="shared" si="12"/>
        <v xml:space="preserve"> * La variable Migrantes Mujeres no puede ser Mayor al Total Mujeres.</v>
      </c>
      <c r="CG40" s="191" t="str">
        <f>IF($D40&lt;=$D$38,"","* Atención Domiciliaria por Dependencia Severa: Total No Oncológica no debe ser mayor al Total Personas. ")</f>
        <v/>
      </c>
      <c r="CH40" s="191" t="str">
        <f>IF($D40&lt;=$D36,"","* Atención Domiciliaria por Dependencia Severa: Total No Oncológica no debe ser mayor a las personas con Dependencia Severa / No Oncológica. ")</f>
        <v/>
      </c>
      <c r="CO40" s="1047">
        <f t="shared" si="7"/>
        <v>1</v>
      </c>
      <c r="CP40" s="1047">
        <f t="shared" si="8"/>
        <v>1</v>
      </c>
      <c r="CQ40" s="1047">
        <f t="shared" si="9"/>
        <v>1</v>
      </c>
      <c r="CR40" s="1047">
        <f t="shared" si="10"/>
        <v>1</v>
      </c>
      <c r="CS40" s="1047">
        <f>IF($D40&lt;=$D$38,0,1)</f>
        <v>0</v>
      </c>
      <c r="CT40" s="1047">
        <f>IF($D40&lt;=$D36,0,1)</f>
        <v>0</v>
      </c>
    </row>
    <row r="41" spans="1:98" ht="15" customHeight="1" x14ac:dyDescent="0.25">
      <c r="A41" s="1585" t="s">
        <v>1193</v>
      </c>
      <c r="B41" s="1907"/>
      <c r="C41" s="92" t="s">
        <v>436</v>
      </c>
      <c r="D41" s="1147" t="s">
        <v>1616</v>
      </c>
      <c r="E41" s="397" t="s">
        <v>1617</v>
      </c>
      <c r="F41" s="385" t="s">
        <v>1618</v>
      </c>
      <c r="G41" s="398" t="s">
        <v>1619</v>
      </c>
      <c r="H41" s="399" t="s">
        <v>1620</v>
      </c>
      <c r="I41" s="398" t="s">
        <v>1621</v>
      </c>
      <c r="J41" s="399" t="s">
        <v>1622</v>
      </c>
      <c r="K41" s="398" t="s">
        <v>1623</v>
      </c>
      <c r="L41" s="399" t="s">
        <v>1624</v>
      </c>
      <c r="M41" s="398" t="s">
        <v>1625</v>
      </c>
      <c r="N41" s="399" t="s">
        <v>1626</v>
      </c>
      <c r="O41" s="398" t="s">
        <v>1627</v>
      </c>
      <c r="P41" s="399" t="s">
        <v>1628</v>
      </c>
      <c r="Q41" s="398" t="s">
        <v>1629</v>
      </c>
      <c r="R41" s="399" t="s">
        <v>1630</v>
      </c>
      <c r="S41" s="398" t="s">
        <v>1631</v>
      </c>
      <c r="T41" s="399" t="s">
        <v>1632</v>
      </c>
      <c r="U41" s="398" t="s">
        <v>1633</v>
      </c>
      <c r="V41" s="399" t="s">
        <v>1634</v>
      </c>
      <c r="W41" s="398" t="s">
        <v>1635</v>
      </c>
      <c r="X41" s="399" t="s">
        <v>1636</v>
      </c>
      <c r="Y41" s="398" t="s">
        <v>1637</v>
      </c>
      <c r="Z41" s="399" t="s">
        <v>1638</v>
      </c>
      <c r="AA41" s="398" t="s">
        <v>1639</v>
      </c>
      <c r="AB41" s="399" t="s">
        <v>1640</v>
      </c>
      <c r="AC41" s="398" t="s">
        <v>1641</v>
      </c>
      <c r="AD41" s="399" t="s">
        <v>1642</v>
      </c>
      <c r="AE41" s="398" t="s">
        <v>1643</v>
      </c>
      <c r="AF41" s="399" t="s">
        <v>1644</v>
      </c>
      <c r="AG41" s="398" t="s">
        <v>1645</v>
      </c>
      <c r="AH41" s="399" t="s">
        <v>1646</v>
      </c>
      <c r="AI41" s="398" t="s">
        <v>1647</v>
      </c>
      <c r="AJ41" s="399" t="s">
        <v>1648</v>
      </c>
      <c r="AK41" s="398" t="s">
        <v>1649</v>
      </c>
      <c r="AL41" s="399" t="s">
        <v>1650</v>
      </c>
      <c r="AM41" s="398" t="s">
        <v>1651</v>
      </c>
      <c r="AN41" s="407" t="s">
        <v>1652</v>
      </c>
      <c r="AO41" s="421" t="s">
        <v>1653</v>
      </c>
      <c r="AP41" s="445" t="s">
        <v>1654</v>
      </c>
      <c r="AQ41" s="399" t="s">
        <v>1655</v>
      </c>
      <c r="AR41" s="445" t="s">
        <v>1656</v>
      </c>
      <c r="AS41" s="399" t="s">
        <v>1657</v>
      </c>
      <c r="AT41" s="1056" t="str">
        <f>$CC41&amp;$CD41&amp;$CE41&amp;$CF41&amp;$CG41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41" s="172"/>
      <c r="BA41" s="606"/>
      <c r="BP41" s="172"/>
      <c r="BQ41" s="108"/>
      <c r="CC41" s="191" t="str">
        <f t="shared" si="2"/>
        <v xml:space="preserve"> * La variable Pueblos Originarios Hombres no puede ser Mayor al Total Hombres.</v>
      </c>
      <c r="CD41" s="191" t="str">
        <f t="shared" si="3"/>
        <v xml:space="preserve"> * La variable Pueblos Originarios Mujeres no puede ser Mayor al Total Mujeres.</v>
      </c>
      <c r="CE41" s="191" t="str">
        <f t="shared" si="11"/>
        <v xml:space="preserve"> * La variable Migrantes Hombres no puede ser Mayor al Total Hombres.</v>
      </c>
      <c r="CF41" s="191" t="str">
        <f t="shared" si="12"/>
        <v xml:space="preserve"> * La variable Migrantes Mujeres no puede ser Mayor al Total Mujeres.</v>
      </c>
      <c r="CG41" s="191" t="str">
        <f>IF($D41&lt;=$D$38,"","* Atención Domiciliaria por Dependencia Severa / Con Demencia no debe ser mayor al Total Personas. ")</f>
        <v/>
      </c>
      <c r="CO41" s="1047">
        <f t="shared" si="7"/>
        <v>1</v>
      </c>
      <c r="CP41" s="1047">
        <f t="shared" si="8"/>
        <v>1</v>
      </c>
      <c r="CQ41" s="1047">
        <f t="shared" si="9"/>
        <v>1</v>
      </c>
      <c r="CR41" s="1047">
        <f t="shared" si="10"/>
        <v>1</v>
      </c>
      <c r="CS41" s="1047">
        <f>IF($D41&lt;=$D$38,0,1)</f>
        <v>0</v>
      </c>
    </row>
    <row r="42" spans="1:98" ht="15" customHeight="1" x14ac:dyDescent="0.25">
      <c r="A42" s="1585" t="s">
        <v>1194</v>
      </c>
      <c r="B42" s="1907"/>
      <c r="C42" s="92" t="s">
        <v>437</v>
      </c>
      <c r="D42" s="1147" t="s">
        <v>1616</v>
      </c>
      <c r="E42" s="397" t="s">
        <v>1617</v>
      </c>
      <c r="F42" s="385" t="s">
        <v>1618</v>
      </c>
      <c r="G42" s="398" t="s">
        <v>1619</v>
      </c>
      <c r="H42" s="399" t="s">
        <v>1620</v>
      </c>
      <c r="I42" s="398" t="s">
        <v>1621</v>
      </c>
      <c r="J42" s="399" t="s">
        <v>1622</v>
      </c>
      <c r="K42" s="398" t="s">
        <v>1623</v>
      </c>
      <c r="L42" s="399" t="s">
        <v>1624</v>
      </c>
      <c r="M42" s="398" t="s">
        <v>1625</v>
      </c>
      <c r="N42" s="399" t="s">
        <v>1626</v>
      </c>
      <c r="O42" s="398" t="s">
        <v>1627</v>
      </c>
      <c r="P42" s="399" t="s">
        <v>1628</v>
      </c>
      <c r="Q42" s="398" t="s">
        <v>1629</v>
      </c>
      <c r="R42" s="399" t="s">
        <v>1630</v>
      </c>
      <c r="S42" s="398" t="s">
        <v>1631</v>
      </c>
      <c r="T42" s="399" t="s">
        <v>1632</v>
      </c>
      <c r="U42" s="398" t="s">
        <v>1633</v>
      </c>
      <c r="V42" s="399" t="s">
        <v>1634</v>
      </c>
      <c r="W42" s="398" t="s">
        <v>1635</v>
      </c>
      <c r="X42" s="399" t="s">
        <v>1636</v>
      </c>
      <c r="Y42" s="398" t="s">
        <v>1637</v>
      </c>
      <c r="Z42" s="399" t="s">
        <v>1638</v>
      </c>
      <c r="AA42" s="398" t="s">
        <v>1639</v>
      </c>
      <c r="AB42" s="399" t="s">
        <v>1640</v>
      </c>
      <c r="AC42" s="398" t="s">
        <v>1641</v>
      </c>
      <c r="AD42" s="399" t="s">
        <v>1642</v>
      </c>
      <c r="AE42" s="398" t="s">
        <v>1643</v>
      </c>
      <c r="AF42" s="399" t="s">
        <v>1644</v>
      </c>
      <c r="AG42" s="398" t="s">
        <v>1645</v>
      </c>
      <c r="AH42" s="399" t="s">
        <v>1646</v>
      </c>
      <c r="AI42" s="398" t="s">
        <v>1647</v>
      </c>
      <c r="AJ42" s="399" t="s">
        <v>1648</v>
      </c>
      <c r="AK42" s="398" t="s">
        <v>1649</v>
      </c>
      <c r="AL42" s="399" t="s">
        <v>1650</v>
      </c>
      <c r="AM42" s="398" t="s">
        <v>1651</v>
      </c>
      <c r="AN42" s="407" t="s">
        <v>1652</v>
      </c>
      <c r="AO42" s="421" t="s">
        <v>1653</v>
      </c>
      <c r="AP42" s="445" t="s">
        <v>1654</v>
      </c>
      <c r="AQ42" s="399" t="s">
        <v>1655</v>
      </c>
      <c r="AR42" s="445" t="s">
        <v>1656</v>
      </c>
      <c r="AS42" s="399" t="s">
        <v>1657</v>
      </c>
      <c r="AT42" s="1056" t="str">
        <f>$CC42&amp;$CD42&amp;$CE42&amp;$CF42&amp;$CG42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42" s="172"/>
      <c r="BA42" s="606"/>
      <c r="BP42" s="172"/>
      <c r="BQ42" s="108"/>
      <c r="CC42" s="191" t="str">
        <f t="shared" si="2"/>
        <v xml:space="preserve"> * La variable Pueblos Originarios Hombres no puede ser Mayor al Total Hombres.</v>
      </c>
      <c r="CD42" s="191" t="str">
        <f t="shared" si="3"/>
        <v xml:space="preserve"> * La variable Pueblos Originarios Mujeres no puede ser Mayor al Total Mujeres.</v>
      </c>
      <c r="CE42" s="191" t="str">
        <f t="shared" si="11"/>
        <v xml:space="preserve"> * La variable Migrantes Hombres no puede ser Mayor al Total Hombres.</v>
      </c>
      <c r="CF42" s="191" t="str">
        <f t="shared" si="12"/>
        <v xml:space="preserve"> * La variable Migrantes Mujeres no puede ser Mayor al Total Mujeres.</v>
      </c>
      <c r="CG42" s="191" t="str">
        <f>IF($D42&lt;=$D$38,"","* Atención Domiciliaria por Dependencia Severa / Total Institucionalizada no debe ser mayor al Total Personas. ")</f>
        <v/>
      </c>
      <c r="CO42" s="1047">
        <f t="shared" si="7"/>
        <v>1</v>
      </c>
      <c r="CP42" s="1047">
        <f t="shared" si="8"/>
        <v>1</v>
      </c>
      <c r="CQ42" s="1047">
        <f t="shared" si="9"/>
        <v>1</v>
      </c>
      <c r="CR42" s="1047">
        <f t="shared" si="10"/>
        <v>1</v>
      </c>
      <c r="CS42" s="1047">
        <f>IF($D42&lt;=$D$38,0,1)</f>
        <v>0</v>
      </c>
    </row>
    <row r="43" spans="1:98" ht="15" customHeight="1" x14ac:dyDescent="0.25">
      <c r="A43" s="1585" t="s">
        <v>1195</v>
      </c>
      <c r="B43" s="1907"/>
      <c r="C43" s="92" t="s">
        <v>433</v>
      </c>
      <c r="D43" s="1147" t="s">
        <v>1616</v>
      </c>
      <c r="E43" s="397" t="s">
        <v>1617</v>
      </c>
      <c r="F43" s="385" t="s">
        <v>1618</v>
      </c>
      <c r="G43" s="398" t="s">
        <v>1619</v>
      </c>
      <c r="H43" s="399" t="s">
        <v>1620</v>
      </c>
      <c r="I43" s="398" t="s">
        <v>1621</v>
      </c>
      <c r="J43" s="399" t="s">
        <v>1622</v>
      </c>
      <c r="K43" s="398" t="s">
        <v>1623</v>
      </c>
      <c r="L43" s="399" t="s">
        <v>1624</v>
      </c>
      <c r="M43" s="398" t="s">
        <v>1625</v>
      </c>
      <c r="N43" s="399" t="s">
        <v>1626</v>
      </c>
      <c r="O43" s="398" t="s">
        <v>1627</v>
      </c>
      <c r="P43" s="399" t="s">
        <v>1628</v>
      </c>
      <c r="Q43" s="398" t="s">
        <v>1629</v>
      </c>
      <c r="R43" s="399" t="s">
        <v>1630</v>
      </c>
      <c r="S43" s="398" t="s">
        <v>1631</v>
      </c>
      <c r="T43" s="399" t="s">
        <v>1632</v>
      </c>
      <c r="U43" s="398" t="s">
        <v>1633</v>
      </c>
      <c r="V43" s="399" t="s">
        <v>1634</v>
      </c>
      <c r="W43" s="398" t="s">
        <v>1635</v>
      </c>
      <c r="X43" s="399" t="s">
        <v>1636</v>
      </c>
      <c r="Y43" s="398" t="s">
        <v>1637</v>
      </c>
      <c r="Z43" s="399" t="s">
        <v>1638</v>
      </c>
      <c r="AA43" s="398" t="s">
        <v>1639</v>
      </c>
      <c r="AB43" s="399" t="s">
        <v>1640</v>
      </c>
      <c r="AC43" s="398" t="s">
        <v>1641</v>
      </c>
      <c r="AD43" s="399" t="s">
        <v>1642</v>
      </c>
      <c r="AE43" s="398" t="s">
        <v>1643</v>
      </c>
      <c r="AF43" s="399" t="s">
        <v>1644</v>
      </c>
      <c r="AG43" s="398" t="s">
        <v>1645</v>
      </c>
      <c r="AH43" s="399" t="s">
        <v>1646</v>
      </c>
      <c r="AI43" s="398" t="s">
        <v>1647</v>
      </c>
      <c r="AJ43" s="399" t="s">
        <v>1648</v>
      </c>
      <c r="AK43" s="398" t="s">
        <v>1649</v>
      </c>
      <c r="AL43" s="399" t="s">
        <v>1650</v>
      </c>
      <c r="AM43" s="398" t="s">
        <v>1651</v>
      </c>
      <c r="AN43" s="407" t="s">
        <v>1652</v>
      </c>
      <c r="AO43" s="421" t="s">
        <v>1653</v>
      </c>
      <c r="AP43" s="445" t="s">
        <v>1654</v>
      </c>
      <c r="AQ43" s="399" t="s">
        <v>1655</v>
      </c>
      <c r="AR43" s="445" t="s">
        <v>1656</v>
      </c>
      <c r="AS43" s="399" t="s">
        <v>1657</v>
      </c>
      <c r="AT43" s="1056" t="str">
        <f>$CC43&amp;$CD43&amp;$CE43&amp;$CF43&amp;$CG43&amp;$CH43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43" s="172"/>
      <c r="BA43" s="606"/>
      <c r="BP43" s="172"/>
      <c r="BQ43" s="108"/>
      <c r="CC43" s="191" t="str">
        <f t="shared" si="2"/>
        <v xml:space="preserve"> * La variable Pueblos Originarios Hombres no puede ser Mayor al Total Hombres.</v>
      </c>
      <c r="CD43" s="191" t="str">
        <f t="shared" si="3"/>
        <v xml:space="preserve"> * La variable Pueblos Originarios Mujeres no puede ser Mayor al Total Mujeres.</v>
      </c>
      <c r="CE43" s="191" t="str">
        <f t="shared" si="11"/>
        <v xml:space="preserve"> * La variable Migrantes Hombres no puede ser Mayor al Total Hombres.</v>
      </c>
      <c r="CF43" s="191" t="str">
        <f t="shared" si="12"/>
        <v xml:space="preserve"> * La variable Migrantes Mujeres no puede ser Mayor al Total Mujeres.</v>
      </c>
      <c r="CG43" s="191" t="str">
        <f>IF($D43&lt;=$D38,"","* Atención Domiciliaria por Dependencia Severa / Total Personas con lesión por Presión no debe ser mayor al Total Personas. ")</f>
        <v/>
      </c>
      <c r="CH43" s="191" t="str">
        <f>IF($D43&lt;=$D37,"","* Atención Domiciliaria por Dependencia Severa: Total Personas con Lesión por Presión no debe ser mayor a las personas con Dependencia Severa / Total Personas con Lesión por Presión. ")</f>
        <v/>
      </c>
      <c r="CO43" s="1047">
        <f t="shared" si="7"/>
        <v>1</v>
      </c>
      <c r="CP43" s="1047">
        <f t="shared" si="8"/>
        <v>1</v>
      </c>
      <c r="CQ43" s="1047">
        <f t="shared" si="9"/>
        <v>1</v>
      </c>
      <c r="CR43" s="1047">
        <f t="shared" si="10"/>
        <v>1</v>
      </c>
      <c r="CS43" s="1047">
        <f>IF($D43&lt;=$D38,0,1)</f>
        <v>0</v>
      </c>
      <c r="CT43" s="1047">
        <f>IF($D43&lt;=$D37,0,1)</f>
        <v>0</v>
      </c>
    </row>
    <row r="44" spans="1:98" ht="21" customHeight="1" x14ac:dyDescent="0.25">
      <c r="A44" s="1585" t="s">
        <v>1196</v>
      </c>
      <c r="B44" s="1908"/>
      <c r="C44" s="602" t="s">
        <v>438</v>
      </c>
      <c r="D44" s="1144" t="s">
        <v>1616</v>
      </c>
      <c r="E44" s="540" t="s">
        <v>1617</v>
      </c>
      <c r="F44" s="588" t="s">
        <v>1618</v>
      </c>
      <c r="G44" s="413" t="s">
        <v>1619</v>
      </c>
      <c r="H44" s="414" t="s">
        <v>1620</v>
      </c>
      <c r="I44" s="413" t="s">
        <v>1621</v>
      </c>
      <c r="J44" s="414" t="s">
        <v>1622</v>
      </c>
      <c r="K44" s="413" t="s">
        <v>1623</v>
      </c>
      <c r="L44" s="414" t="s">
        <v>1624</v>
      </c>
      <c r="M44" s="413" t="s">
        <v>1625</v>
      </c>
      <c r="N44" s="414" t="s">
        <v>1626</v>
      </c>
      <c r="O44" s="413" t="s">
        <v>1627</v>
      </c>
      <c r="P44" s="414" t="s">
        <v>1628</v>
      </c>
      <c r="Q44" s="413" t="s">
        <v>1629</v>
      </c>
      <c r="R44" s="414" t="s">
        <v>1630</v>
      </c>
      <c r="S44" s="413" t="s">
        <v>1631</v>
      </c>
      <c r="T44" s="414" t="s">
        <v>1632</v>
      </c>
      <c r="U44" s="413" t="s">
        <v>1633</v>
      </c>
      <c r="V44" s="414" t="s">
        <v>1634</v>
      </c>
      <c r="W44" s="413" t="s">
        <v>1635</v>
      </c>
      <c r="X44" s="414" t="s">
        <v>1636</v>
      </c>
      <c r="Y44" s="413" t="s">
        <v>1637</v>
      </c>
      <c r="Z44" s="414" t="s">
        <v>1638</v>
      </c>
      <c r="AA44" s="413" t="s">
        <v>1639</v>
      </c>
      <c r="AB44" s="414" t="s">
        <v>1640</v>
      </c>
      <c r="AC44" s="413" t="s">
        <v>1641</v>
      </c>
      <c r="AD44" s="414" t="s">
        <v>1642</v>
      </c>
      <c r="AE44" s="413" t="s">
        <v>1643</v>
      </c>
      <c r="AF44" s="414" t="s">
        <v>1644</v>
      </c>
      <c r="AG44" s="413" t="s">
        <v>1645</v>
      </c>
      <c r="AH44" s="414" t="s">
        <v>1646</v>
      </c>
      <c r="AI44" s="413" t="s">
        <v>1647</v>
      </c>
      <c r="AJ44" s="414" t="s">
        <v>1648</v>
      </c>
      <c r="AK44" s="413" t="s">
        <v>1649</v>
      </c>
      <c r="AL44" s="414" t="s">
        <v>1650</v>
      </c>
      <c r="AM44" s="413" t="s">
        <v>1651</v>
      </c>
      <c r="AN44" s="415" t="s">
        <v>1652</v>
      </c>
      <c r="AO44" s="589" t="s">
        <v>1653</v>
      </c>
      <c r="AP44" s="467" t="s">
        <v>1654</v>
      </c>
      <c r="AQ44" s="414" t="s">
        <v>1655</v>
      </c>
      <c r="AR44" s="467" t="s">
        <v>1656</v>
      </c>
      <c r="AS44" s="414" t="s">
        <v>1657</v>
      </c>
      <c r="AT44" s="1056" t="str">
        <f>$CC44&amp;$CD44&amp;$CE44&amp;$CF44&amp;$CG44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44" s="172"/>
      <c r="BA44" s="606"/>
      <c r="BP44" s="172"/>
      <c r="BQ44" s="108"/>
      <c r="CC44" s="191" t="str">
        <f t="shared" si="2"/>
        <v xml:space="preserve"> * La variable Pueblos Originarios Hombres no puede ser Mayor al Total Hombres.</v>
      </c>
      <c r="CD44" s="191" t="str">
        <f t="shared" si="3"/>
        <v xml:space="preserve"> * La variable Pueblos Originarios Mujeres no puede ser Mayor al Total Mujeres.</v>
      </c>
      <c r="CE44" s="191" t="str">
        <f t="shared" si="11"/>
        <v xml:space="preserve"> * La variable Migrantes Hombres no puede ser Mayor al Total Hombres.</v>
      </c>
      <c r="CF44" s="191" t="str">
        <f t="shared" si="12"/>
        <v xml:space="preserve"> * La variable Migrantes Mujeres no puede ser Mayor al Total Mujeres.</v>
      </c>
      <c r="CG44" s="191" t="str">
        <f>IF($D44&lt;=$D$38,"","Atención Domiciliaria por Dependencia Severa/ Con indicación de Nutrición Enteral Domiciliaria no debe ser mayor al Total Personas. ")</f>
        <v/>
      </c>
      <c r="CO44" s="1047">
        <f t="shared" si="7"/>
        <v>1</v>
      </c>
      <c r="CP44" s="1047">
        <f t="shared" si="8"/>
        <v>1</v>
      </c>
      <c r="CQ44" s="1047">
        <f t="shared" si="9"/>
        <v>1</v>
      </c>
      <c r="CR44" s="1047">
        <f t="shared" si="10"/>
        <v>1</v>
      </c>
      <c r="CS44" s="1047">
        <f>IF($D44&lt;=$D$38,0,1)</f>
        <v>0</v>
      </c>
    </row>
    <row r="45" spans="1:98" ht="15" customHeight="1" x14ac:dyDescent="0.25">
      <c r="A45" s="1593" t="s">
        <v>1178</v>
      </c>
      <c r="B45" s="1963" t="s">
        <v>439</v>
      </c>
      <c r="C45" s="1595" t="s">
        <v>440</v>
      </c>
      <c r="D45" s="1145" t="s">
        <v>1616</v>
      </c>
      <c r="E45" s="392" t="s">
        <v>1617</v>
      </c>
      <c r="F45" s="877" t="s">
        <v>1618</v>
      </c>
      <c r="G45" s="394" t="s">
        <v>1619</v>
      </c>
      <c r="H45" s="461" t="s">
        <v>1620</v>
      </c>
      <c r="I45" s="394" t="s">
        <v>1621</v>
      </c>
      <c r="J45" s="461" t="s">
        <v>1622</v>
      </c>
      <c r="K45" s="394" t="s">
        <v>1623</v>
      </c>
      <c r="L45" s="461" t="s">
        <v>1624</v>
      </c>
      <c r="M45" s="394" t="s">
        <v>1625</v>
      </c>
      <c r="N45" s="461" t="s">
        <v>1626</v>
      </c>
      <c r="O45" s="394" t="s">
        <v>1627</v>
      </c>
      <c r="P45" s="461" t="s">
        <v>1628</v>
      </c>
      <c r="Q45" s="394" t="s">
        <v>1629</v>
      </c>
      <c r="R45" s="461" t="s">
        <v>1630</v>
      </c>
      <c r="S45" s="394" t="s">
        <v>1631</v>
      </c>
      <c r="T45" s="461" t="s">
        <v>1632</v>
      </c>
      <c r="U45" s="394" t="s">
        <v>1633</v>
      </c>
      <c r="V45" s="461" t="s">
        <v>1634</v>
      </c>
      <c r="W45" s="394" t="s">
        <v>1635</v>
      </c>
      <c r="X45" s="461" t="s">
        <v>1636</v>
      </c>
      <c r="Y45" s="394" t="s">
        <v>1637</v>
      </c>
      <c r="Z45" s="461" t="s">
        <v>1638</v>
      </c>
      <c r="AA45" s="394" t="s">
        <v>1639</v>
      </c>
      <c r="AB45" s="461" t="s">
        <v>1640</v>
      </c>
      <c r="AC45" s="394" t="s">
        <v>1641</v>
      </c>
      <c r="AD45" s="461" t="s">
        <v>1642</v>
      </c>
      <c r="AE45" s="394" t="s">
        <v>1643</v>
      </c>
      <c r="AF45" s="461" t="s">
        <v>1644</v>
      </c>
      <c r="AG45" s="462" t="s">
        <v>1645</v>
      </c>
      <c r="AH45" s="461" t="s">
        <v>1646</v>
      </c>
      <c r="AI45" s="462" t="s">
        <v>1647</v>
      </c>
      <c r="AJ45" s="461" t="s">
        <v>1648</v>
      </c>
      <c r="AK45" s="462" t="s">
        <v>1649</v>
      </c>
      <c r="AL45" s="461" t="s">
        <v>1650</v>
      </c>
      <c r="AM45" s="462" t="s">
        <v>1651</v>
      </c>
      <c r="AN45" s="1328" t="s">
        <v>1652</v>
      </c>
      <c r="AO45" s="885" t="s">
        <v>1653</v>
      </c>
      <c r="AP45" s="462" t="s">
        <v>1654</v>
      </c>
      <c r="AQ45" s="1328" t="s">
        <v>1655</v>
      </c>
      <c r="AR45" s="412" t="s">
        <v>1656</v>
      </c>
      <c r="AS45" s="461" t="s">
        <v>1657</v>
      </c>
      <c r="AT45" s="1056" t="str">
        <f t="shared" ref="AT45:AT47" si="15">$CC45&amp;$CD45&amp;$CE45&amp;$CF45&amp;$CG45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45" s="172"/>
      <c r="BA45" s="606"/>
      <c r="BP45" s="172"/>
      <c r="BQ45" s="108"/>
      <c r="CC45" s="191" t="str">
        <f t="shared" si="2"/>
        <v xml:space="preserve"> * La variable Pueblos Originarios Hombres no puede ser Mayor al Total Hombres.</v>
      </c>
      <c r="CD45" s="191" t="str">
        <f t="shared" si="3"/>
        <v xml:space="preserve"> * La variable Pueblos Originarios Mujeres no puede ser Mayor al Total Mujeres.</v>
      </c>
      <c r="CE45" s="191" t="str">
        <f t="shared" si="11"/>
        <v xml:space="preserve"> * La variable Migrantes Hombres no puede ser Mayor al Total Hombres.</v>
      </c>
      <c r="CF45" s="191" t="str">
        <f t="shared" si="12"/>
        <v xml:space="preserve"> * La variable Migrantes Mujeres no puede ser Mayor al Total Mujeres.</v>
      </c>
      <c r="CG45" s="191" t="str">
        <f t="shared" ref="CG45:CG47" si="16">IF($D45&lt;=$D$38,"","Atención Domiciliaria por Dependencia Severa/ Con indicación de Nutrición Enteral Domiciliaria no debe ser mayor al Total Personas. ")</f>
        <v/>
      </c>
      <c r="CO45" s="1047">
        <f t="shared" ref="CO45:CO47" si="17">IF(AND(E45&gt;0,OR(AP45="")),1,IF(AP45&gt;E45,1,0))</f>
        <v>1</v>
      </c>
      <c r="CP45" s="1047">
        <f t="shared" ref="CP45:CP47" si="18">IF(AND(F45&gt;0,OR(AQ45="")),1,IF(AQ45&gt;F45,1,0))</f>
        <v>1</v>
      </c>
      <c r="CQ45" s="1047">
        <f t="shared" ref="CQ45:CQ47" si="19">IF(AND(E45&gt;0,OR(AR45="")),1,IF(AR45&gt;E45,1,0))</f>
        <v>1</v>
      </c>
      <c r="CR45" s="1047">
        <f t="shared" ref="CR45:CR47" si="20">IF(AND(F45&gt;0,OR(AS45="")),1,IF(AS45&gt;F45,1,0))</f>
        <v>1</v>
      </c>
      <c r="CS45" s="1047">
        <f t="shared" ref="CS45:CS47" si="21">IF($D45&lt;=$D$38,0,1)</f>
        <v>0</v>
      </c>
    </row>
    <row r="46" spans="1:98" ht="15" customHeight="1" x14ac:dyDescent="0.25">
      <c r="A46" s="1593" t="s">
        <v>1179</v>
      </c>
      <c r="B46" s="1964"/>
      <c r="C46" s="1596" t="s">
        <v>441</v>
      </c>
      <c r="D46" s="1147" t="s">
        <v>1616</v>
      </c>
      <c r="E46" s="397" t="s">
        <v>1617</v>
      </c>
      <c r="F46" s="444" t="s">
        <v>1618</v>
      </c>
      <c r="G46" s="417" t="s">
        <v>1619</v>
      </c>
      <c r="H46" s="432" t="s">
        <v>1620</v>
      </c>
      <c r="I46" s="417" t="s">
        <v>1621</v>
      </c>
      <c r="J46" s="432" t="s">
        <v>1622</v>
      </c>
      <c r="K46" s="417" t="s">
        <v>1623</v>
      </c>
      <c r="L46" s="432" t="s">
        <v>1624</v>
      </c>
      <c r="M46" s="417" t="s">
        <v>1625</v>
      </c>
      <c r="N46" s="432" t="s">
        <v>1626</v>
      </c>
      <c r="O46" s="417" t="s">
        <v>1627</v>
      </c>
      <c r="P46" s="432" t="s">
        <v>1628</v>
      </c>
      <c r="Q46" s="417" t="s">
        <v>1629</v>
      </c>
      <c r="R46" s="432" t="s">
        <v>1630</v>
      </c>
      <c r="S46" s="417" t="s">
        <v>1631</v>
      </c>
      <c r="T46" s="432" t="s">
        <v>1632</v>
      </c>
      <c r="U46" s="417" t="s">
        <v>1633</v>
      </c>
      <c r="V46" s="432" t="s">
        <v>1634</v>
      </c>
      <c r="W46" s="417" t="s">
        <v>1635</v>
      </c>
      <c r="X46" s="432" t="s">
        <v>1636</v>
      </c>
      <c r="Y46" s="417" t="s">
        <v>1637</v>
      </c>
      <c r="Z46" s="432" t="s">
        <v>1638</v>
      </c>
      <c r="AA46" s="417" t="s">
        <v>1639</v>
      </c>
      <c r="AB46" s="432" t="s">
        <v>1640</v>
      </c>
      <c r="AC46" s="417" t="s">
        <v>1641</v>
      </c>
      <c r="AD46" s="432" t="s">
        <v>1642</v>
      </c>
      <c r="AE46" s="417" t="s">
        <v>1643</v>
      </c>
      <c r="AF46" s="432" t="s">
        <v>1644</v>
      </c>
      <c r="AG46" s="468" t="s">
        <v>1645</v>
      </c>
      <c r="AH46" s="432" t="s">
        <v>1646</v>
      </c>
      <c r="AI46" s="468" t="s">
        <v>1647</v>
      </c>
      <c r="AJ46" s="432" t="s">
        <v>1648</v>
      </c>
      <c r="AK46" s="468" t="s">
        <v>1649</v>
      </c>
      <c r="AL46" s="432" t="s">
        <v>1650</v>
      </c>
      <c r="AM46" s="468" t="s">
        <v>1651</v>
      </c>
      <c r="AN46" s="998" t="s">
        <v>1652</v>
      </c>
      <c r="AO46" s="1329" t="s">
        <v>1653</v>
      </c>
      <c r="AP46" s="468" t="s">
        <v>1654</v>
      </c>
      <c r="AQ46" s="998" t="s">
        <v>1655</v>
      </c>
      <c r="AR46" s="455" t="s">
        <v>1656</v>
      </c>
      <c r="AS46" s="432" t="s">
        <v>1657</v>
      </c>
      <c r="AT46" s="1056" t="str">
        <f t="shared" si="1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46" s="172"/>
      <c r="BA46" s="606"/>
      <c r="BP46" s="172"/>
      <c r="BQ46" s="108"/>
      <c r="CC46" s="191" t="str">
        <f t="shared" si="2"/>
        <v xml:space="preserve"> * La variable Pueblos Originarios Hombres no puede ser Mayor al Total Hombres.</v>
      </c>
      <c r="CD46" s="191" t="str">
        <f t="shared" si="3"/>
        <v xml:space="preserve"> * La variable Pueblos Originarios Mujeres no puede ser Mayor al Total Mujeres.</v>
      </c>
      <c r="CE46" s="191" t="str">
        <f t="shared" si="11"/>
        <v xml:space="preserve"> * La variable Migrantes Hombres no puede ser Mayor al Total Hombres.</v>
      </c>
      <c r="CF46" s="191" t="str">
        <f t="shared" si="12"/>
        <v xml:space="preserve"> * La variable Migrantes Mujeres no puede ser Mayor al Total Mujeres.</v>
      </c>
      <c r="CG46" s="191" t="str">
        <f t="shared" si="16"/>
        <v/>
      </c>
      <c r="CO46" s="1047">
        <f t="shared" si="17"/>
        <v>1</v>
      </c>
      <c r="CP46" s="1047">
        <f t="shared" si="18"/>
        <v>1</v>
      </c>
      <c r="CQ46" s="1047">
        <f t="shared" si="19"/>
        <v>1</v>
      </c>
      <c r="CR46" s="1047">
        <f t="shared" si="20"/>
        <v>1</v>
      </c>
      <c r="CS46" s="1047">
        <f t="shared" si="21"/>
        <v>0</v>
      </c>
    </row>
    <row r="47" spans="1:98" ht="15" customHeight="1" x14ac:dyDescent="0.25">
      <c r="A47" s="1593" t="s">
        <v>1197</v>
      </c>
      <c r="B47" s="1965"/>
      <c r="C47" s="1597" t="s">
        <v>442</v>
      </c>
      <c r="D47" s="1144" t="s">
        <v>1616</v>
      </c>
      <c r="E47" s="540" t="s">
        <v>1617</v>
      </c>
      <c r="F47" s="878" t="s">
        <v>1618</v>
      </c>
      <c r="G47" s="413" t="s">
        <v>1619</v>
      </c>
      <c r="H47" s="542" t="s">
        <v>1620</v>
      </c>
      <c r="I47" s="413" t="s">
        <v>1621</v>
      </c>
      <c r="J47" s="542" t="s">
        <v>1622</v>
      </c>
      <c r="K47" s="413" t="s">
        <v>1623</v>
      </c>
      <c r="L47" s="542" t="s">
        <v>1624</v>
      </c>
      <c r="M47" s="413" t="s">
        <v>1625</v>
      </c>
      <c r="N47" s="542" t="s">
        <v>1626</v>
      </c>
      <c r="O47" s="413" t="s">
        <v>1627</v>
      </c>
      <c r="P47" s="542" t="s">
        <v>1628</v>
      </c>
      <c r="Q47" s="413" t="s">
        <v>1629</v>
      </c>
      <c r="R47" s="542" t="s">
        <v>1630</v>
      </c>
      <c r="S47" s="413" t="s">
        <v>1631</v>
      </c>
      <c r="T47" s="542" t="s">
        <v>1632</v>
      </c>
      <c r="U47" s="413" t="s">
        <v>1633</v>
      </c>
      <c r="V47" s="542" t="s">
        <v>1634</v>
      </c>
      <c r="W47" s="413" t="s">
        <v>1635</v>
      </c>
      <c r="X47" s="542" t="s">
        <v>1636</v>
      </c>
      <c r="Y47" s="413" t="s">
        <v>1637</v>
      </c>
      <c r="Z47" s="542" t="s">
        <v>1638</v>
      </c>
      <c r="AA47" s="413" t="s">
        <v>1639</v>
      </c>
      <c r="AB47" s="542" t="s">
        <v>1640</v>
      </c>
      <c r="AC47" s="413" t="s">
        <v>1641</v>
      </c>
      <c r="AD47" s="542" t="s">
        <v>1642</v>
      </c>
      <c r="AE47" s="413" t="s">
        <v>1643</v>
      </c>
      <c r="AF47" s="542" t="s">
        <v>1644</v>
      </c>
      <c r="AG47" s="463" t="s">
        <v>1645</v>
      </c>
      <c r="AH47" s="542" t="s">
        <v>1646</v>
      </c>
      <c r="AI47" s="463" t="s">
        <v>1647</v>
      </c>
      <c r="AJ47" s="542" t="s">
        <v>1648</v>
      </c>
      <c r="AK47" s="463" t="s">
        <v>1649</v>
      </c>
      <c r="AL47" s="542" t="s">
        <v>1650</v>
      </c>
      <c r="AM47" s="463" t="s">
        <v>1651</v>
      </c>
      <c r="AN47" s="881" t="s">
        <v>1652</v>
      </c>
      <c r="AO47" s="1330" t="s">
        <v>1653</v>
      </c>
      <c r="AP47" s="463" t="s">
        <v>1654</v>
      </c>
      <c r="AQ47" s="881" t="s">
        <v>1655</v>
      </c>
      <c r="AR47" s="467" t="s">
        <v>1656</v>
      </c>
      <c r="AS47" s="542" t="s">
        <v>1657</v>
      </c>
      <c r="AT47" s="1056" t="str">
        <f t="shared" si="1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47" s="172"/>
      <c r="BA47" s="606"/>
      <c r="BP47" s="172"/>
      <c r="BQ47" s="108"/>
      <c r="CC47" s="191" t="str">
        <f t="shared" si="2"/>
        <v xml:space="preserve"> * La variable Pueblos Originarios Hombres no puede ser Mayor al Total Hombres.</v>
      </c>
      <c r="CD47" s="191" t="str">
        <f t="shared" si="3"/>
        <v xml:space="preserve"> * La variable Pueblos Originarios Mujeres no puede ser Mayor al Total Mujeres.</v>
      </c>
      <c r="CE47" s="191" t="str">
        <f t="shared" si="11"/>
        <v xml:space="preserve"> * La variable Migrantes Hombres no puede ser Mayor al Total Hombres.</v>
      </c>
      <c r="CF47" s="191" t="str">
        <f t="shared" si="12"/>
        <v xml:space="preserve"> * La variable Migrantes Mujeres no puede ser Mayor al Total Mujeres.</v>
      </c>
      <c r="CG47" s="191" t="str">
        <f t="shared" si="16"/>
        <v/>
      </c>
      <c r="CO47" s="1047">
        <f t="shared" si="17"/>
        <v>1</v>
      </c>
      <c r="CP47" s="1047">
        <f t="shared" si="18"/>
        <v>1</v>
      </c>
      <c r="CQ47" s="1047">
        <f t="shared" si="19"/>
        <v>1</v>
      </c>
      <c r="CR47" s="1047">
        <f t="shared" si="20"/>
        <v>1</v>
      </c>
      <c r="CS47" s="1047">
        <f t="shared" si="21"/>
        <v>0</v>
      </c>
    </row>
    <row r="48" spans="1:98" ht="15.75" customHeight="1" x14ac:dyDescent="0.25">
      <c r="B48" s="93" t="s">
        <v>443</v>
      </c>
      <c r="C48" s="94"/>
      <c r="D48" s="93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34"/>
    </row>
    <row r="49" spans="1:101" ht="17.100000000000001" customHeight="1" x14ac:dyDescent="0.25">
      <c r="B49" s="1915" t="s">
        <v>444</v>
      </c>
      <c r="C49" s="1915"/>
      <c r="D49" s="1915"/>
      <c r="E49" s="1915"/>
      <c r="F49" s="1915"/>
      <c r="G49" s="1915"/>
      <c r="H49" s="1915"/>
      <c r="I49" s="1915"/>
      <c r="J49" s="1915"/>
      <c r="K49" s="1915"/>
      <c r="L49" s="1915"/>
      <c r="M49" s="1915"/>
      <c r="N49" s="1915"/>
      <c r="O49" s="1915"/>
      <c r="P49" s="1915"/>
      <c r="Q49" s="1915"/>
      <c r="R49" s="1915"/>
      <c r="S49" s="1915"/>
      <c r="T49" s="1915"/>
      <c r="U49" s="1915"/>
      <c r="V49" s="1915"/>
      <c r="W49" s="1915"/>
      <c r="X49" s="1915"/>
      <c r="Y49" s="1915"/>
      <c r="Z49" s="1915"/>
      <c r="AA49" s="1915"/>
      <c r="AB49" s="1915"/>
      <c r="AC49" s="1915"/>
      <c r="AD49" s="1915"/>
      <c r="AE49" s="1915"/>
      <c r="AF49" s="1915"/>
      <c r="AG49" s="1915"/>
      <c r="AH49" s="1915"/>
      <c r="AI49" s="1915"/>
      <c r="AJ49" s="1915"/>
      <c r="AK49" s="1915"/>
      <c r="AL49" s="1915"/>
      <c r="AM49" s="1915"/>
      <c r="AN49" s="1915"/>
      <c r="AO49" s="1915"/>
      <c r="AP49" s="1915"/>
      <c r="AQ49" s="1915"/>
    </row>
    <row r="50" spans="1:101" ht="17.25" customHeight="1" x14ac:dyDescent="0.25">
      <c r="A50" s="1593"/>
      <c r="B50" s="1971" t="s">
        <v>445</v>
      </c>
      <c r="C50" s="1970" t="s">
        <v>89</v>
      </c>
      <c r="D50" s="1968" t="s">
        <v>86</v>
      </c>
      <c r="E50" s="1966" t="s">
        <v>227</v>
      </c>
      <c r="F50" s="1945" t="s">
        <v>446</v>
      </c>
      <c r="G50" s="1945"/>
      <c r="H50" s="1945"/>
      <c r="I50" s="1945"/>
      <c r="J50" s="1945"/>
      <c r="K50" s="1945"/>
      <c r="L50" s="1945"/>
      <c r="M50" s="1945"/>
      <c r="N50" s="1945"/>
      <c r="O50" s="1853"/>
      <c r="AP50" s="108"/>
      <c r="AT50" s="34"/>
      <c r="BA50" s="108"/>
      <c r="BB50" s="108"/>
      <c r="BC50" s="108"/>
      <c r="BD50" s="172"/>
      <c r="BQ50" s="606"/>
      <c r="BR50" s="606"/>
      <c r="BS50" s="606"/>
      <c r="BT50" s="172"/>
    </row>
    <row r="51" spans="1:101" ht="69.599999999999994" customHeight="1" x14ac:dyDescent="0.25">
      <c r="B51" s="1972"/>
      <c r="C51" s="1708"/>
      <c r="D51" s="1969"/>
      <c r="E51" s="1967"/>
      <c r="F51" s="1012" t="s">
        <v>447</v>
      </c>
      <c r="G51" s="1096" t="s">
        <v>448</v>
      </c>
      <c r="H51" s="1096" t="s">
        <v>449</v>
      </c>
      <c r="I51" s="1096" t="s">
        <v>450</v>
      </c>
      <c r="J51" s="1096" t="s">
        <v>451</v>
      </c>
      <c r="K51" s="1096" t="s">
        <v>452</v>
      </c>
      <c r="L51" s="1096" t="s">
        <v>453</v>
      </c>
      <c r="M51" s="1096" t="s">
        <v>454</v>
      </c>
      <c r="N51" s="1096" t="s">
        <v>455</v>
      </c>
      <c r="O51" s="1331" t="s">
        <v>456</v>
      </c>
      <c r="AP51" s="108"/>
      <c r="AT51" s="34"/>
      <c r="BA51" s="108"/>
      <c r="BB51" s="108"/>
      <c r="BC51" s="108"/>
      <c r="BD51" s="172"/>
      <c r="BQ51" s="606"/>
      <c r="BR51" s="606"/>
      <c r="BS51" s="606"/>
      <c r="BT51" s="172"/>
    </row>
    <row r="52" spans="1:101" ht="15" customHeight="1" x14ac:dyDescent="0.25">
      <c r="A52" s="1585" t="s">
        <v>1198</v>
      </c>
      <c r="B52" s="1477" t="s">
        <v>457</v>
      </c>
      <c r="C52" s="1478" t="s">
        <v>1616</v>
      </c>
      <c r="D52" s="1261" t="s">
        <v>1617</v>
      </c>
      <c r="E52" s="1013" t="s">
        <v>1618</v>
      </c>
      <c r="F52" s="1479" t="s">
        <v>1619</v>
      </c>
      <c r="G52" s="1014" t="s">
        <v>1620</v>
      </c>
      <c r="H52" s="1014" t="s">
        <v>1621</v>
      </c>
      <c r="I52" s="1014" t="s">
        <v>1622</v>
      </c>
      <c r="J52" s="1014" t="s">
        <v>1623</v>
      </c>
      <c r="K52" s="1014" t="s">
        <v>1624</v>
      </c>
      <c r="L52" s="1014" t="s">
        <v>1625</v>
      </c>
      <c r="M52" s="1014" t="s">
        <v>1626</v>
      </c>
      <c r="N52" s="1014" t="s">
        <v>1627</v>
      </c>
      <c r="O52" s="1015" t="s">
        <v>1628</v>
      </c>
      <c r="P52" s="108" t="str">
        <f>CB52&amp;CC52&amp;CD52&amp;CE52&amp;CF52&amp;CG52&amp;CH52&amp;CI52&amp;CJ52&amp;CK52</f>
        <v xml:space="preserve"> * El Total Cuidadoras/es capacitadas/os No debe ser mayor que el Total Número de cuidadores. * El Total Cuidadoras/es con Examen de Medicina Preventivo Vigente No debe ser mayor que el Total Número de cuidadores. * El Total Cuidadores con condiciones crónicas en control en centro de salud No debe ser mayor que el Total Número de cuidadores. * El Cuidadoras/es con apoyo monetario No debe ser mayor que el Total Número de cuidadores. * El Cuidadoras/es en espera de apoyo monetario No debe ser mayor que el Total Número de cuidadores. * El Total Cuidadoras/es con evaluacion de sobrecarga vigente No debe ser mayor que el Total Número de cuidadores. * El Total Cuidadoras/es mayores de 65 años No debe ser mayor que el Total Número de cuidadores. * El Total Cuidadoras/es atendidas por ECICEP No debe ser mayor que el Total Número de cuidadores. * El Total Cuidadoras/es en Programas de Apoyo Intersectoriales No debe ser mayor que el Total Número de cuidadores. * El Total Cuidadoras/es con Atención Preferente en Centro de Salud No debe ser mayor que el Total Número de cuidadores.</v>
      </c>
      <c r="AO52" s="36"/>
      <c r="AP52" s="108"/>
      <c r="AT52" s="34"/>
      <c r="BA52" s="108"/>
      <c r="BB52" s="108"/>
      <c r="BC52" s="108"/>
      <c r="BD52" s="172"/>
      <c r="BQ52" s="606"/>
      <c r="BR52" s="606"/>
      <c r="BS52" s="606"/>
      <c r="BT52" s="172"/>
      <c r="CB52" s="191" t="str">
        <f>IF(F52&gt;C52," * El "&amp;F$51&amp;""&amp;" No debe ser mayor que el Total Número de cuidadores.","")</f>
        <v xml:space="preserve"> * El Total Cuidadoras/es capacitadas/os No debe ser mayor que el Total Número de cuidadores.</v>
      </c>
      <c r="CC52" s="191" t="str">
        <f>IF(G52&gt;C52," * El "&amp;G$51&amp;""&amp;" No debe ser mayor que el Total Número de cuidadores.","")</f>
        <v xml:space="preserve"> * El Total Cuidadoras/es con Examen de Medicina Preventivo Vigente No debe ser mayor que el Total Número de cuidadores.</v>
      </c>
      <c r="CD52" s="191" t="str">
        <f>IF(H52&gt;C52," * El "&amp;H$51&amp;""&amp;" No debe ser mayor que el Total Número de cuidadores.","")</f>
        <v xml:space="preserve"> * El Total Cuidadores con condiciones crónicas en control en centro de salud No debe ser mayor que el Total Número de cuidadores.</v>
      </c>
      <c r="CE52" s="191" t="str">
        <f>IF(I52&gt;C52," * El "&amp;I$51&amp;""&amp;" No debe ser mayor que el Total Número de cuidadores.","")</f>
        <v xml:space="preserve"> * El Cuidadoras/es con apoyo monetario No debe ser mayor que el Total Número de cuidadores.</v>
      </c>
      <c r="CF52" s="191" t="str">
        <f>IF(J52&gt;C52," * El "&amp;J$51&amp;""&amp;" No debe ser mayor que el Total Número de cuidadores.","")</f>
        <v xml:space="preserve"> * El Cuidadoras/es en espera de apoyo monetario No debe ser mayor que el Total Número de cuidadores.</v>
      </c>
      <c r="CG52" s="191" t="str">
        <f>IF(K52&gt;C52," * El "&amp;K$51&amp;""&amp;" No debe ser mayor que el Total Número de cuidadores.","")</f>
        <v xml:space="preserve"> * El Total Cuidadoras/es con evaluacion de sobrecarga vigente No debe ser mayor que el Total Número de cuidadores.</v>
      </c>
      <c r="CH52" s="191" t="str">
        <f>IF(L52&gt;C52," * El "&amp;L$51&amp;""&amp;" No debe ser mayor que el Total Número de cuidadores.","")</f>
        <v xml:space="preserve"> * El Total Cuidadoras/es mayores de 65 años No debe ser mayor que el Total Número de cuidadores.</v>
      </c>
      <c r="CI52" s="191" t="str">
        <f>IF(M52&gt;D52," * El "&amp;M$51&amp;""&amp;" No debe ser mayor que el Total Número de cuidadores.","")</f>
        <v xml:space="preserve"> * El Total Cuidadoras/es atendidas por ECICEP No debe ser mayor que el Total Número de cuidadores.</v>
      </c>
      <c r="CJ52" s="191" t="str">
        <f t="shared" ref="CJ52" si="22">IF(N52&gt;E52," * El "&amp;N$51&amp;""&amp;" No debe ser mayor que el Total Número de cuidadores.","")</f>
        <v xml:space="preserve"> * El Total Cuidadoras/es en Programas de Apoyo Intersectoriales No debe ser mayor que el Total Número de cuidadores.</v>
      </c>
      <c r="CK52" s="191" t="str">
        <f>IF(O52&gt;F52," * El "&amp;O$51&amp;""&amp;" No debe ser mayor que el Total Número de cuidadores.","")</f>
        <v xml:space="preserve"> * El Total Cuidadoras/es con Atención Preferente en Centro de Salud No debe ser mayor que el Total Número de cuidadores.</v>
      </c>
      <c r="CN52" s="1047">
        <f>IF(F52&gt;C52,1,0)</f>
        <v>1</v>
      </c>
      <c r="CO52" s="1047">
        <f>IF(G52&gt;C52,1,0)</f>
        <v>1</v>
      </c>
      <c r="CP52" s="1047">
        <f>IF(H52&gt;C52,1,0)</f>
        <v>1</v>
      </c>
      <c r="CQ52" s="1047">
        <f>IF(I52&gt;C52,1,0)</f>
        <v>1</v>
      </c>
      <c r="CR52" s="1047">
        <f>IF(J52&gt;C52,1,0)</f>
        <v>1</v>
      </c>
      <c r="CS52" s="1047">
        <f>IF(K52&gt;C52,1,0)</f>
        <v>1</v>
      </c>
      <c r="CT52" s="1047">
        <f>IF(L52&gt;C52,1,0)</f>
        <v>1</v>
      </c>
      <c r="CU52" s="1047">
        <f>IF(M52&gt;C52,1,0)</f>
        <v>1</v>
      </c>
      <c r="CV52" s="1047">
        <f>IF(N52&gt;C52,1,0)</f>
        <v>1</v>
      </c>
      <c r="CW52" s="1047">
        <f>IF(O52&gt;C52,1,0)</f>
        <v>1</v>
      </c>
    </row>
    <row r="53" spans="1:101" ht="17.100000000000001" customHeight="1" x14ac:dyDescent="0.25">
      <c r="B53" s="1949" t="s">
        <v>458</v>
      </c>
      <c r="C53" s="1949"/>
      <c r="D53" s="1949"/>
      <c r="E53" s="1949"/>
      <c r="F53" s="1949"/>
      <c r="G53" s="1949"/>
      <c r="H53" s="1949"/>
      <c r="I53" s="1949"/>
      <c r="J53" s="1949"/>
      <c r="K53" s="1949"/>
      <c r="L53" s="1949"/>
      <c r="M53" s="1949"/>
      <c r="N53" s="1949"/>
      <c r="O53" s="1949"/>
      <c r="P53" s="1949"/>
      <c r="Q53" s="1949"/>
      <c r="R53" s="1949"/>
      <c r="S53" s="1949"/>
      <c r="T53" s="1949"/>
      <c r="U53" s="1949"/>
      <c r="V53" s="1949"/>
      <c r="W53" s="1949"/>
      <c r="X53" s="1949"/>
      <c r="Y53" s="1949"/>
      <c r="Z53" s="1949"/>
      <c r="AA53" s="1949"/>
      <c r="AB53" s="1949"/>
      <c r="AC53" s="1949"/>
      <c r="AD53" s="1949"/>
      <c r="AE53" s="1949"/>
      <c r="AF53" s="1949"/>
      <c r="AG53" s="1949"/>
      <c r="AH53" s="1949"/>
      <c r="AI53" s="1949"/>
      <c r="AJ53" s="1949"/>
      <c r="AK53" s="1949"/>
      <c r="AL53" s="1949"/>
      <c r="AM53" s="1949"/>
      <c r="AN53" s="1949"/>
    </row>
    <row r="54" spans="1:101" ht="21" customHeight="1" x14ac:dyDescent="0.25">
      <c r="B54" s="1976" t="s">
        <v>459</v>
      </c>
      <c r="C54" s="1977"/>
      <c r="D54" s="1944" t="s">
        <v>49</v>
      </c>
      <c r="E54" s="1944"/>
      <c r="F54" s="1944"/>
      <c r="G54" s="1934" t="s">
        <v>376</v>
      </c>
      <c r="H54" s="1935"/>
      <c r="I54" s="1935"/>
      <c r="J54" s="1935"/>
      <c r="K54" s="1935"/>
      <c r="L54" s="1935"/>
      <c r="M54" s="1935"/>
      <c r="N54" s="1935"/>
      <c r="O54" s="1935"/>
      <c r="P54" s="1935"/>
      <c r="Q54" s="1935"/>
      <c r="R54" s="1935"/>
      <c r="S54" s="1935"/>
      <c r="T54" s="1935"/>
      <c r="U54" s="1935"/>
      <c r="V54" s="1935"/>
      <c r="W54" s="1935"/>
      <c r="X54" s="1935"/>
      <c r="Y54" s="1935"/>
      <c r="Z54" s="1935"/>
      <c r="AA54" s="1935"/>
      <c r="AB54" s="1935"/>
      <c r="AC54" s="1935"/>
      <c r="AD54" s="1935"/>
      <c r="AE54" s="1935"/>
      <c r="AF54" s="1935"/>
      <c r="AG54" s="1935"/>
      <c r="AH54" s="1935"/>
      <c r="AI54" s="1935"/>
      <c r="AJ54" s="1935"/>
      <c r="AK54" s="1935"/>
      <c r="AL54" s="1935"/>
      <c r="AM54" s="1935"/>
      <c r="AN54" s="1935"/>
      <c r="AO54" s="1902" t="s">
        <v>51</v>
      </c>
      <c r="AP54" s="1922"/>
      <c r="AQ54" s="1925" t="s">
        <v>108</v>
      </c>
      <c r="AR54" s="1922"/>
    </row>
    <row r="55" spans="1:101" ht="18" customHeight="1" x14ac:dyDescent="0.25">
      <c r="A55" s="1593"/>
      <c r="B55" s="1978"/>
      <c r="C55" s="1907"/>
      <c r="D55" s="1944"/>
      <c r="E55" s="1944"/>
      <c r="F55" s="1944"/>
      <c r="G55" s="1936" t="s">
        <v>404</v>
      </c>
      <c r="H55" s="1939"/>
      <c r="I55" s="1936" t="s">
        <v>405</v>
      </c>
      <c r="J55" s="1939"/>
      <c r="K55" s="1936" t="s">
        <v>317</v>
      </c>
      <c r="L55" s="1939"/>
      <c r="M55" s="1931" t="s">
        <v>57</v>
      </c>
      <c r="N55" s="1931"/>
      <c r="O55" s="1931" t="s">
        <v>58</v>
      </c>
      <c r="P55" s="1931"/>
      <c r="Q55" s="1931" t="s">
        <v>59</v>
      </c>
      <c r="R55" s="1931"/>
      <c r="S55" s="1937" t="s">
        <v>60</v>
      </c>
      <c r="T55" s="1853"/>
      <c r="U55" s="1931" t="s">
        <v>61</v>
      </c>
      <c r="V55" s="1931"/>
      <c r="W55" s="1937" t="s">
        <v>62</v>
      </c>
      <c r="X55" s="1853"/>
      <c r="Y55" s="1931" t="s">
        <v>63</v>
      </c>
      <c r="Z55" s="1931"/>
      <c r="AA55" s="1937" t="s">
        <v>64</v>
      </c>
      <c r="AB55" s="1853"/>
      <c r="AC55" s="1931" t="s">
        <v>65</v>
      </c>
      <c r="AD55" s="1931"/>
      <c r="AE55" s="1937" t="s">
        <v>66</v>
      </c>
      <c r="AF55" s="1853"/>
      <c r="AG55" s="1932" t="s">
        <v>67</v>
      </c>
      <c r="AH55" s="1933"/>
      <c r="AI55" s="1932" t="s">
        <v>406</v>
      </c>
      <c r="AJ55" s="1933"/>
      <c r="AK55" s="1932" t="s">
        <v>407</v>
      </c>
      <c r="AL55" s="1933"/>
      <c r="AM55" s="1932" t="s">
        <v>408</v>
      </c>
      <c r="AN55" s="1940"/>
      <c r="AO55" s="1923"/>
      <c r="AP55" s="1924"/>
      <c r="AQ55" s="1923"/>
      <c r="AR55" s="1924"/>
    </row>
    <row r="56" spans="1:101" ht="32.450000000000003" customHeight="1" x14ac:dyDescent="0.25">
      <c r="B56" s="1979"/>
      <c r="C56" s="1908"/>
      <c r="D56" s="1471" t="s">
        <v>409</v>
      </c>
      <c r="E56" s="1254" t="s">
        <v>86</v>
      </c>
      <c r="F56" s="1255" t="s">
        <v>227</v>
      </c>
      <c r="G56" s="1256" t="s">
        <v>86</v>
      </c>
      <c r="H56" s="1255" t="s">
        <v>227</v>
      </c>
      <c r="I56" s="1256" t="s">
        <v>86</v>
      </c>
      <c r="J56" s="1255" t="s">
        <v>227</v>
      </c>
      <c r="K56" s="1256" t="s">
        <v>86</v>
      </c>
      <c r="L56" s="1255" t="s">
        <v>227</v>
      </c>
      <c r="M56" s="1257" t="s">
        <v>86</v>
      </c>
      <c r="N56" s="1258" t="s">
        <v>227</v>
      </c>
      <c r="O56" s="1257" t="s">
        <v>86</v>
      </c>
      <c r="P56" s="1258" t="s">
        <v>227</v>
      </c>
      <c r="Q56" s="1257" t="s">
        <v>86</v>
      </c>
      <c r="R56" s="1258" t="s">
        <v>227</v>
      </c>
      <c r="S56" s="1259" t="s">
        <v>86</v>
      </c>
      <c r="T56" s="993" t="s">
        <v>227</v>
      </c>
      <c r="U56" s="1257" t="s">
        <v>86</v>
      </c>
      <c r="V56" s="1258" t="s">
        <v>227</v>
      </c>
      <c r="W56" s="1259" t="s">
        <v>86</v>
      </c>
      <c r="X56" s="993" t="s">
        <v>227</v>
      </c>
      <c r="Y56" s="1257" t="s">
        <v>86</v>
      </c>
      <c r="Z56" s="1258" t="s">
        <v>227</v>
      </c>
      <c r="AA56" s="1259" t="s">
        <v>86</v>
      </c>
      <c r="AB56" s="993" t="s">
        <v>227</v>
      </c>
      <c r="AC56" s="1257" t="s">
        <v>86</v>
      </c>
      <c r="AD56" s="1258" t="s">
        <v>227</v>
      </c>
      <c r="AE56" s="1259" t="s">
        <v>86</v>
      </c>
      <c r="AF56" s="993" t="s">
        <v>227</v>
      </c>
      <c r="AG56" s="1260" t="s">
        <v>410</v>
      </c>
      <c r="AH56" s="874" t="s">
        <v>227</v>
      </c>
      <c r="AI56" s="1260" t="s">
        <v>410</v>
      </c>
      <c r="AJ56" s="874" t="s">
        <v>227</v>
      </c>
      <c r="AK56" s="1260" t="s">
        <v>410</v>
      </c>
      <c r="AL56" s="874" t="s">
        <v>227</v>
      </c>
      <c r="AM56" s="1260" t="s">
        <v>410</v>
      </c>
      <c r="AN56" s="758" t="s">
        <v>227</v>
      </c>
      <c r="AO56" s="1476" t="s">
        <v>410</v>
      </c>
      <c r="AP56" s="874" t="s">
        <v>227</v>
      </c>
      <c r="AQ56" s="1476" t="s">
        <v>410</v>
      </c>
      <c r="AR56" s="874" t="s">
        <v>227</v>
      </c>
    </row>
    <row r="57" spans="1:101" ht="15" customHeight="1" x14ac:dyDescent="0.25">
      <c r="A57" s="1585" t="s">
        <v>1199</v>
      </c>
      <c r="B57" s="1980" t="s">
        <v>460</v>
      </c>
      <c r="C57" s="1059" t="s">
        <v>461</v>
      </c>
      <c r="D57" s="1145" t="s">
        <v>1616</v>
      </c>
      <c r="E57" s="392" t="s">
        <v>1617</v>
      </c>
      <c r="F57" s="393" t="s">
        <v>1618</v>
      </c>
      <c r="G57" s="689" t="s">
        <v>1619</v>
      </c>
      <c r="H57" s="690" t="s">
        <v>1620</v>
      </c>
      <c r="I57" s="691" t="s">
        <v>1621</v>
      </c>
      <c r="J57" s="690" t="s">
        <v>1622</v>
      </c>
      <c r="K57" s="691" t="s">
        <v>1623</v>
      </c>
      <c r="L57" s="690" t="s">
        <v>1624</v>
      </c>
      <c r="M57" s="691" t="s">
        <v>1625</v>
      </c>
      <c r="N57" s="690" t="s">
        <v>1626</v>
      </c>
      <c r="O57" s="691" t="s">
        <v>1627</v>
      </c>
      <c r="P57" s="690" t="s">
        <v>1628</v>
      </c>
      <c r="Q57" s="691" t="s">
        <v>1629</v>
      </c>
      <c r="R57" s="690" t="s">
        <v>1630</v>
      </c>
      <c r="S57" s="691" t="s">
        <v>1631</v>
      </c>
      <c r="T57" s="690" t="s">
        <v>1632</v>
      </c>
      <c r="U57" s="691" t="s">
        <v>1633</v>
      </c>
      <c r="V57" s="690" t="s">
        <v>1634</v>
      </c>
      <c r="W57" s="691" t="s">
        <v>1635</v>
      </c>
      <c r="X57" s="690" t="s">
        <v>1636</v>
      </c>
      <c r="Y57" s="691" t="s">
        <v>1637</v>
      </c>
      <c r="Z57" s="690" t="s">
        <v>1638</v>
      </c>
      <c r="AA57" s="691" t="s">
        <v>1639</v>
      </c>
      <c r="AB57" s="690" t="s">
        <v>1640</v>
      </c>
      <c r="AC57" s="691" t="s">
        <v>1641</v>
      </c>
      <c r="AD57" s="690" t="s">
        <v>1642</v>
      </c>
      <c r="AE57" s="691" t="s">
        <v>1643</v>
      </c>
      <c r="AF57" s="690" t="s">
        <v>1644</v>
      </c>
      <c r="AG57" s="691" t="s">
        <v>1645</v>
      </c>
      <c r="AH57" s="690" t="s">
        <v>1646</v>
      </c>
      <c r="AI57" s="691" t="s">
        <v>1647</v>
      </c>
      <c r="AJ57" s="690" t="s">
        <v>1648</v>
      </c>
      <c r="AK57" s="691" t="s">
        <v>1649</v>
      </c>
      <c r="AL57" s="690" t="s">
        <v>1650</v>
      </c>
      <c r="AM57" s="689" t="s">
        <v>1651</v>
      </c>
      <c r="AN57" s="1000" t="s">
        <v>1652</v>
      </c>
      <c r="AO57" s="691" t="s">
        <v>1653</v>
      </c>
      <c r="AP57" s="690" t="s">
        <v>1654</v>
      </c>
      <c r="AQ57" s="691" t="s">
        <v>1655</v>
      </c>
      <c r="AR57" s="690" t="s">
        <v>1656</v>
      </c>
      <c r="AS57" s="108" t="str">
        <f>$CB57&amp;CC57&amp;CD57&amp;CE57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7" s="191" t="str">
        <f>IF(AND($E57&gt;0,OR(AO57=""))," * No olvide digitar la variable Pueblos Originarios Hombres. Digite Cero si no tiene.",IF(AO57&gt;$E57," * La variable Pueblos Originarios Hombres no puede ser Mayor al Total Hombres.",""))</f>
        <v xml:space="preserve"> * La variable Pueblos Originarios Hombres no puede ser Mayor al Total Hombres.</v>
      </c>
      <c r="CC57" s="191" t="str">
        <f>IF(AND($F57&gt;0,OR(AP57=""))," * No olvide digitar la variable Pueblos Originarios Mujeres. Digite Cero si no tiene.",IF(AP57&gt;$F57," * La variable Pueblos Originarios Mujeres no puede ser Mayor al Total Mujeres.",""))</f>
        <v xml:space="preserve"> * La variable Pueblos Originarios Mujeres no puede ser Mayor al Total Mujeres.</v>
      </c>
      <c r="CD57" s="191" t="str">
        <f>IF(AND($E57&gt;0,OR(AQ57=""))," * No olvide digitar la variable Migrantes Hombres. Digite Cero si no tiene.",IF(AQ57&gt;$E57," * La variable Migrantes Hombres no puede ser Mayor al Total Hombres.",""))</f>
        <v xml:space="preserve"> * La variable Migrantes Hombres no puede ser Mayor al Total Hombres.</v>
      </c>
      <c r="CE57" s="191" t="str">
        <f>IF(AND($F57&gt;0,OR(AR57=""))," * No olvide digitar la variable Migrantes Mujeres. Digite Cero si no tiene.",IF(AR57&gt;$F57," * La variable Migrantes Mujeres no puede ser Mayor al Total Mujeres.",""))</f>
        <v xml:space="preserve"> * La variable Migrantes Mujeres no puede ser Mayor al Total Mujeres.</v>
      </c>
      <c r="CN57" s="1047">
        <f>IF(AND($E57&gt;0,OR(AO57="")),1,IF(AO57&gt;$E57,1,0))</f>
        <v>1</v>
      </c>
      <c r="CO57" s="1047">
        <f>IF(AND($F57&gt;0,OR(AP57="")),1,IF(AP57&gt;$F57,1,0))</f>
        <v>1</v>
      </c>
      <c r="CP57" s="1047">
        <f>IF(AND($E57&gt;0,OR(AQ57="")),1,IF(AQ57&gt;$E57,1,0))</f>
        <v>1</v>
      </c>
      <c r="CQ57" s="1047">
        <f>IF(AND($F57&gt;0,OR(AR57="")),1,IF(AR57&gt;$F57,1,0))</f>
        <v>1</v>
      </c>
    </row>
    <row r="58" spans="1:101" ht="15" customHeight="1" x14ac:dyDescent="0.25">
      <c r="A58" s="1585" t="s">
        <v>1200</v>
      </c>
      <c r="B58" s="1981"/>
      <c r="C58" s="1060" t="s">
        <v>462</v>
      </c>
      <c r="D58" s="1147" t="s">
        <v>1616</v>
      </c>
      <c r="E58" s="397" t="s">
        <v>1617</v>
      </c>
      <c r="F58" s="385" t="s">
        <v>1618</v>
      </c>
      <c r="G58" s="692" t="s">
        <v>1619</v>
      </c>
      <c r="H58" s="695" t="s">
        <v>1620</v>
      </c>
      <c r="I58" s="694" t="s">
        <v>1621</v>
      </c>
      <c r="J58" s="695" t="s">
        <v>1622</v>
      </c>
      <c r="K58" s="694" t="s">
        <v>1623</v>
      </c>
      <c r="L58" s="695" t="s">
        <v>1624</v>
      </c>
      <c r="M58" s="694" t="s">
        <v>1625</v>
      </c>
      <c r="N58" s="695" t="s">
        <v>1626</v>
      </c>
      <c r="O58" s="694" t="s">
        <v>1627</v>
      </c>
      <c r="P58" s="695" t="s">
        <v>1628</v>
      </c>
      <c r="Q58" s="694" t="s">
        <v>1629</v>
      </c>
      <c r="R58" s="695" t="s">
        <v>1630</v>
      </c>
      <c r="S58" s="694" t="s">
        <v>1631</v>
      </c>
      <c r="T58" s="695" t="s">
        <v>1632</v>
      </c>
      <c r="U58" s="694" t="s">
        <v>1633</v>
      </c>
      <c r="V58" s="695" t="s">
        <v>1634</v>
      </c>
      <c r="W58" s="694" t="s">
        <v>1635</v>
      </c>
      <c r="X58" s="695" t="s">
        <v>1636</v>
      </c>
      <c r="Y58" s="694" t="s">
        <v>1637</v>
      </c>
      <c r="Z58" s="695" t="s">
        <v>1638</v>
      </c>
      <c r="AA58" s="694" t="s">
        <v>1639</v>
      </c>
      <c r="AB58" s="695" t="s">
        <v>1640</v>
      </c>
      <c r="AC58" s="694" t="s">
        <v>1641</v>
      </c>
      <c r="AD58" s="695" t="s">
        <v>1642</v>
      </c>
      <c r="AE58" s="694" t="s">
        <v>1643</v>
      </c>
      <c r="AF58" s="695" t="s">
        <v>1644</v>
      </c>
      <c r="AG58" s="694" t="s">
        <v>1645</v>
      </c>
      <c r="AH58" s="695" t="s">
        <v>1646</v>
      </c>
      <c r="AI58" s="694" t="s">
        <v>1647</v>
      </c>
      <c r="AJ58" s="695" t="s">
        <v>1648</v>
      </c>
      <c r="AK58" s="694" t="s">
        <v>1649</v>
      </c>
      <c r="AL58" s="695" t="s">
        <v>1650</v>
      </c>
      <c r="AM58" s="692" t="s">
        <v>1651</v>
      </c>
      <c r="AN58" s="1001" t="s">
        <v>1652</v>
      </c>
      <c r="AO58" s="694" t="s">
        <v>1653</v>
      </c>
      <c r="AP58" s="695" t="s">
        <v>1654</v>
      </c>
      <c r="AQ58" s="694" t="s">
        <v>1655</v>
      </c>
      <c r="AR58" s="695" t="s">
        <v>1656</v>
      </c>
      <c r="AS58" s="108" t="str">
        <f t="shared" ref="AS58:AS60" si="23">$CB58&amp;CC58&amp;CD58&amp;CE58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8" s="191" t="str">
        <f t="shared" ref="CB58:CB60" si="24">IF(AND($E58&gt;0,OR(AO58=""))," * No olvide digitar la variable Pueblos Originarios Hombres. Digite Cero si no tiene.",IF(AO58&gt;$E58," * La variable Pueblos Originarios Hombres no puede ser Mayor al Total Hombres.",""))</f>
        <v xml:space="preserve"> * La variable Pueblos Originarios Hombres no puede ser Mayor al Total Hombres.</v>
      </c>
      <c r="CC58" s="191" t="str">
        <f t="shared" ref="CC58:CC60" si="25">IF(AND($F58&gt;0,OR(AP58=""))," * No olvide digitar la variable Pueblos Originarios Mujeres. Digite Cero si no tiene.",IF(AP58&gt;$F58," * La variable Pueblos Originarios Mujeres no puede ser Mayor al Total Mujeres.",""))</f>
        <v xml:space="preserve"> * La variable Pueblos Originarios Mujeres no puede ser Mayor al Total Mujeres.</v>
      </c>
      <c r="CD58" s="191" t="str">
        <f t="shared" ref="CD58:CD60" si="26">IF(AND($E58&gt;0,OR(AQ58=""))," * No olvide digitar la variable Migrantes Hombres. Digite Cero si no tiene.",IF(AQ58&gt;$E58," * La variable Migrantes Hombres no puede ser Mayor al Total Hombres.",""))</f>
        <v xml:space="preserve"> * La variable Migrantes Hombres no puede ser Mayor al Total Hombres.</v>
      </c>
      <c r="CE58" s="191" t="str">
        <f t="shared" ref="CE58:CE60" si="27">IF(AND($F58&gt;0,OR(AR58=""))," * No olvide digitar la variable Migrantes Mujeres. Digite Cero si no tiene.",IF(AR58&gt;$F58," * La variable Migrantes Mujeres no puede ser Mayor al Total Mujeres.",""))</f>
        <v xml:space="preserve"> * La variable Migrantes Mujeres no puede ser Mayor al Total Mujeres.</v>
      </c>
      <c r="CN58" s="1047">
        <f t="shared" ref="CN58:CN60" si="28">IF(AND($E58&gt;0,OR(AO58="")),1,IF(AO58&gt;$E58,1,0))</f>
        <v>1</v>
      </c>
      <c r="CO58" s="1047">
        <f t="shared" ref="CO58:CO60" si="29">IF(AND($F58&gt;0,OR(AP58="")),1,IF(AP58&gt;$F58,1,0))</f>
        <v>1</v>
      </c>
      <c r="CP58" s="1047">
        <f>IF(AND($E58&gt;0,OR(AQ58="")),1,IF(AQ58&gt;$E58,1,0))</f>
        <v>1</v>
      </c>
      <c r="CQ58" s="1047">
        <f t="shared" ref="CQ58:CQ60" si="30">IF(AND($F58&gt;0,OR(AR58="")),1,IF(AR58&gt;$F58,1,0))</f>
        <v>1</v>
      </c>
    </row>
    <row r="59" spans="1:101" ht="15" customHeight="1" x14ac:dyDescent="0.25">
      <c r="A59" s="1585" t="s">
        <v>1201</v>
      </c>
      <c r="B59" s="1981"/>
      <c r="C59" s="1060" t="s">
        <v>463</v>
      </c>
      <c r="D59" s="1147" t="s">
        <v>1616</v>
      </c>
      <c r="E59" s="397" t="s">
        <v>1617</v>
      </c>
      <c r="F59" s="385" t="s">
        <v>1618</v>
      </c>
      <c r="G59" s="692" t="s">
        <v>1619</v>
      </c>
      <c r="H59" s="695" t="s">
        <v>1620</v>
      </c>
      <c r="I59" s="694" t="s">
        <v>1621</v>
      </c>
      <c r="J59" s="695" t="s">
        <v>1622</v>
      </c>
      <c r="K59" s="694" t="s">
        <v>1623</v>
      </c>
      <c r="L59" s="695" t="s">
        <v>1624</v>
      </c>
      <c r="M59" s="694" t="s">
        <v>1625</v>
      </c>
      <c r="N59" s="695" t="s">
        <v>1626</v>
      </c>
      <c r="O59" s="694" t="s">
        <v>1627</v>
      </c>
      <c r="P59" s="695" t="s">
        <v>1628</v>
      </c>
      <c r="Q59" s="694" t="s">
        <v>1629</v>
      </c>
      <c r="R59" s="695" t="s">
        <v>1630</v>
      </c>
      <c r="S59" s="694" t="s">
        <v>1631</v>
      </c>
      <c r="T59" s="695" t="s">
        <v>1632</v>
      </c>
      <c r="U59" s="694" t="s">
        <v>1633</v>
      </c>
      <c r="V59" s="695" t="s">
        <v>1634</v>
      </c>
      <c r="W59" s="694" t="s">
        <v>1635</v>
      </c>
      <c r="X59" s="695" t="s">
        <v>1636</v>
      </c>
      <c r="Y59" s="694" t="s">
        <v>1637</v>
      </c>
      <c r="Z59" s="695" t="s">
        <v>1638</v>
      </c>
      <c r="AA59" s="694" t="s">
        <v>1639</v>
      </c>
      <c r="AB59" s="695" t="s">
        <v>1640</v>
      </c>
      <c r="AC59" s="694" t="s">
        <v>1641</v>
      </c>
      <c r="AD59" s="695" t="s">
        <v>1642</v>
      </c>
      <c r="AE59" s="694" t="s">
        <v>1643</v>
      </c>
      <c r="AF59" s="695" t="s">
        <v>1644</v>
      </c>
      <c r="AG59" s="694" t="s">
        <v>1645</v>
      </c>
      <c r="AH59" s="695" t="s">
        <v>1646</v>
      </c>
      <c r="AI59" s="694" t="s">
        <v>1647</v>
      </c>
      <c r="AJ59" s="695" t="s">
        <v>1648</v>
      </c>
      <c r="AK59" s="694" t="s">
        <v>1649</v>
      </c>
      <c r="AL59" s="695" t="s">
        <v>1650</v>
      </c>
      <c r="AM59" s="692" t="s">
        <v>1651</v>
      </c>
      <c r="AN59" s="1001" t="s">
        <v>1652</v>
      </c>
      <c r="AO59" s="694" t="s">
        <v>1653</v>
      </c>
      <c r="AP59" s="695" t="s">
        <v>1654</v>
      </c>
      <c r="AQ59" s="694" t="s">
        <v>1655</v>
      </c>
      <c r="AR59" s="695" t="s">
        <v>1656</v>
      </c>
      <c r="AS59" s="108" t="str">
        <f t="shared" si="2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9" s="191" t="str">
        <f t="shared" si="24"/>
        <v xml:space="preserve"> * La variable Pueblos Originarios Hombres no puede ser Mayor al Total Hombres.</v>
      </c>
      <c r="CC59" s="191" t="str">
        <f t="shared" si="25"/>
        <v xml:space="preserve"> * La variable Pueblos Originarios Mujeres no puede ser Mayor al Total Mujeres.</v>
      </c>
      <c r="CD59" s="191" t="str">
        <f t="shared" si="26"/>
        <v xml:space="preserve"> * La variable Migrantes Hombres no puede ser Mayor al Total Hombres.</v>
      </c>
      <c r="CE59" s="191" t="str">
        <f t="shared" si="27"/>
        <v xml:space="preserve"> * La variable Migrantes Mujeres no puede ser Mayor al Total Mujeres.</v>
      </c>
      <c r="CN59" s="1047">
        <f t="shared" si="28"/>
        <v>1</v>
      </c>
      <c r="CO59" s="1047">
        <f t="shared" si="29"/>
        <v>1</v>
      </c>
      <c r="CP59" s="1047">
        <f t="shared" ref="CP59:CP60" si="31">IF(AND($E59&gt;0,OR(AQ59="")),1,IF(AQ59&gt;$E59,1,0))</f>
        <v>1</v>
      </c>
      <c r="CQ59" s="1047">
        <f t="shared" si="30"/>
        <v>1</v>
      </c>
    </row>
    <row r="60" spans="1:101" ht="15" customHeight="1" x14ac:dyDescent="0.25">
      <c r="A60" s="1585" t="s">
        <v>1202</v>
      </c>
      <c r="B60" s="1982"/>
      <c r="C60" s="1061" t="s">
        <v>464</v>
      </c>
      <c r="D60" s="1144" t="s">
        <v>1616</v>
      </c>
      <c r="E60" s="540" t="s">
        <v>1617</v>
      </c>
      <c r="F60" s="588" t="s">
        <v>1618</v>
      </c>
      <c r="G60" s="693" t="s">
        <v>1619</v>
      </c>
      <c r="H60" s="696" t="s">
        <v>1620</v>
      </c>
      <c r="I60" s="693" t="s">
        <v>1621</v>
      </c>
      <c r="J60" s="696" t="s">
        <v>1622</v>
      </c>
      <c r="K60" s="693" t="s">
        <v>1623</v>
      </c>
      <c r="L60" s="696" t="s">
        <v>1624</v>
      </c>
      <c r="M60" s="693" t="s">
        <v>1625</v>
      </c>
      <c r="N60" s="696" t="s">
        <v>1626</v>
      </c>
      <c r="O60" s="693" t="s">
        <v>1627</v>
      </c>
      <c r="P60" s="696" t="s">
        <v>1628</v>
      </c>
      <c r="Q60" s="693" t="s">
        <v>1629</v>
      </c>
      <c r="R60" s="696" t="s">
        <v>1630</v>
      </c>
      <c r="S60" s="693" t="s">
        <v>1631</v>
      </c>
      <c r="T60" s="696" t="s">
        <v>1632</v>
      </c>
      <c r="U60" s="693" t="s">
        <v>1633</v>
      </c>
      <c r="V60" s="696" t="s">
        <v>1634</v>
      </c>
      <c r="W60" s="693" t="s">
        <v>1635</v>
      </c>
      <c r="X60" s="696" t="s">
        <v>1636</v>
      </c>
      <c r="Y60" s="693" t="s">
        <v>1637</v>
      </c>
      <c r="Z60" s="696" t="s">
        <v>1638</v>
      </c>
      <c r="AA60" s="693" t="s">
        <v>1639</v>
      </c>
      <c r="AB60" s="696" t="s">
        <v>1640</v>
      </c>
      <c r="AC60" s="693" t="s">
        <v>1641</v>
      </c>
      <c r="AD60" s="696" t="s">
        <v>1642</v>
      </c>
      <c r="AE60" s="693" t="s">
        <v>1643</v>
      </c>
      <c r="AF60" s="696" t="s">
        <v>1644</v>
      </c>
      <c r="AG60" s="693" t="s">
        <v>1645</v>
      </c>
      <c r="AH60" s="696" t="s">
        <v>1646</v>
      </c>
      <c r="AI60" s="693" t="s">
        <v>1647</v>
      </c>
      <c r="AJ60" s="696" t="s">
        <v>1648</v>
      </c>
      <c r="AK60" s="693" t="s">
        <v>1649</v>
      </c>
      <c r="AL60" s="696" t="s">
        <v>1650</v>
      </c>
      <c r="AM60" s="1002" t="s">
        <v>1651</v>
      </c>
      <c r="AN60" s="1003" t="s">
        <v>1652</v>
      </c>
      <c r="AO60" s="693" t="s">
        <v>1653</v>
      </c>
      <c r="AP60" s="696" t="s">
        <v>1654</v>
      </c>
      <c r="AQ60" s="693" t="s">
        <v>1655</v>
      </c>
      <c r="AR60" s="696" t="s">
        <v>1656</v>
      </c>
      <c r="AS60" s="108" t="str">
        <f t="shared" si="2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0" s="191" t="str">
        <f t="shared" si="24"/>
        <v xml:space="preserve"> * La variable Pueblos Originarios Hombres no puede ser Mayor al Total Hombres.</v>
      </c>
      <c r="CC60" s="191" t="str">
        <f t="shared" si="25"/>
        <v xml:space="preserve"> * La variable Pueblos Originarios Mujeres no puede ser Mayor al Total Mujeres.</v>
      </c>
      <c r="CD60" s="191" t="str">
        <f t="shared" si="26"/>
        <v xml:space="preserve"> * La variable Migrantes Hombres no puede ser Mayor al Total Hombres.</v>
      </c>
      <c r="CE60" s="191" t="str">
        <f t="shared" si="27"/>
        <v xml:space="preserve"> * La variable Migrantes Mujeres no puede ser Mayor al Total Mujeres.</v>
      </c>
      <c r="CN60" s="1047">
        <f t="shared" si="28"/>
        <v>1</v>
      </c>
      <c r="CO60" s="1047">
        <f t="shared" si="29"/>
        <v>1</v>
      </c>
      <c r="CP60" s="1047">
        <f t="shared" si="31"/>
        <v>1</v>
      </c>
      <c r="CQ60" s="1047">
        <f t="shared" si="30"/>
        <v>1</v>
      </c>
    </row>
    <row r="61" spans="1:101" ht="17.100000000000001" customHeight="1" x14ac:dyDescent="0.25">
      <c r="B61" s="1946" t="s">
        <v>465</v>
      </c>
      <c r="C61" s="1946"/>
      <c r="D61" s="1946"/>
      <c r="E61" s="1946"/>
      <c r="F61" s="1946"/>
      <c r="G61" s="1946"/>
      <c r="H61" s="1946"/>
      <c r="I61" s="1946"/>
      <c r="J61" s="1946"/>
      <c r="K61" s="1946"/>
      <c r="L61" s="1946"/>
      <c r="M61" s="1946"/>
      <c r="N61" s="1946"/>
      <c r="O61" s="1946"/>
      <c r="P61" s="1946"/>
      <c r="Q61" s="1946"/>
      <c r="R61" s="1946"/>
      <c r="S61" s="1946"/>
      <c r="T61" s="1946"/>
      <c r="U61" s="1946"/>
      <c r="V61" s="1946"/>
      <c r="W61" s="1946"/>
      <c r="X61" s="1946"/>
      <c r="Y61" s="1946"/>
      <c r="Z61" s="1946"/>
      <c r="AA61" s="1946"/>
      <c r="AB61" s="1946"/>
      <c r="AC61" s="1946"/>
      <c r="AD61" s="1946"/>
      <c r="AE61" s="1946"/>
      <c r="AF61" s="1946"/>
      <c r="AG61" s="1946"/>
      <c r="AH61" s="1946"/>
      <c r="AI61" s="1946"/>
      <c r="AJ61" s="1946"/>
      <c r="AK61" s="1946"/>
      <c r="AL61" s="1946"/>
      <c r="AM61" s="1946"/>
      <c r="AN61" s="1946"/>
    </row>
    <row r="62" spans="1:101" ht="25.5" customHeight="1" x14ac:dyDescent="0.25">
      <c r="B62" s="1997" t="s">
        <v>402</v>
      </c>
      <c r="C62" s="1997"/>
      <c r="D62" s="1767" t="s">
        <v>49</v>
      </c>
      <c r="E62" s="1768"/>
      <c r="F62" s="1769"/>
      <c r="G62" s="1941" t="s">
        <v>466</v>
      </c>
      <c r="H62" s="1942"/>
      <c r="I62" s="1942"/>
      <c r="J62" s="1942"/>
      <c r="K62" s="1942"/>
      <c r="L62" s="1942"/>
      <c r="M62" s="1942"/>
      <c r="N62" s="1942"/>
      <c r="O62" s="1942"/>
      <c r="P62" s="1942"/>
      <c r="Q62" s="1942"/>
      <c r="R62" s="1942"/>
      <c r="S62" s="1942"/>
      <c r="T62" s="1942"/>
      <c r="U62" s="1942"/>
      <c r="V62" s="1942"/>
      <c r="W62" s="1942"/>
      <c r="X62" s="1942"/>
      <c r="Y62" s="1942"/>
      <c r="Z62" s="1942"/>
      <c r="AA62" s="1942"/>
      <c r="AB62" s="1942"/>
      <c r="AC62" s="1942"/>
      <c r="AD62" s="1942"/>
      <c r="AE62" s="1942"/>
      <c r="AF62" s="1942"/>
      <c r="AG62" s="1942"/>
      <c r="AH62" s="1942"/>
      <c r="AI62" s="1942"/>
      <c r="AJ62" s="1942"/>
      <c r="AK62" s="1942"/>
      <c r="AL62" s="1942"/>
      <c r="AM62" s="1942"/>
      <c r="AN62" s="1943"/>
      <c r="AO62" s="1925" t="s">
        <v>51</v>
      </c>
      <c r="AP62" s="1922"/>
      <c r="AQ62" s="1925" t="s">
        <v>108</v>
      </c>
      <c r="AR62" s="1922"/>
    </row>
    <row r="63" spans="1:101" x14ac:dyDescent="0.25">
      <c r="B63" s="1997"/>
      <c r="C63" s="1997"/>
      <c r="D63" s="1770"/>
      <c r="E63" s="1771"/>
      <c r="F63" s="1772"/>
      <c r="G63" s="1936" t="s">
        <v>404</v>
      </c>
      <c r="H63" s="1939"/>
      <c r="I63" s="1936" t="s">
        <v>405</v>
      </c>
      <c r="J63" s="1939"/>
      <c r="K63" s="1936" t="s">
        <v>317</v>
      </c>
      <c r="L63" s="1939"/>
      <c r="M63" s="1931" t="s">
        <v>57</v>
      </c>
      <c r="N63" s="1931"/>
      <c r="O63" s="1931" t="s">
        <v>58</v>
      </c>
      <c r="P63" s="1931"/>
      <c r="Q63" s="1931" t="s">
        <v>59</v>
      </c>
      <c r="R63" s="1931"/>
      <c r="S63" s="1937" t="s">
        <v>60</v>
      </c>
      <c r="T63" s="1853"/>
      <c r="U63" s="1931" t="s">
        <v>61</v>
      </c>
      <c r="V63" s="1931"/>
      <c r="W63" s="1937" t="s">
        <v>62</v>
      </c>
      <c r="X63" s="1853"/>
      <c r="Y63" s="1931" t="s">
        <v>63</v>
      </c>
      <c r="Z63" s="1931"/>
      <c r="AA63" s="1937" t="s">
        <v>64</v>
      </c>
      <c r="AB63" s="1853"/>
      <c r="AC63" s="1931" t="s">
        <v>65</v>
      </c>
      <c r="AD63" s="1931"/>
      <c r="AE63" s="1937" t="s">
        <v>66</v>
      </c>
      <c r="AF63" s="1853"/>
      <c r="AG63" s="1932" t="s">
        <v>67</v>
      </c>
      <c r="AH63" s="1933"/>
      <c r="AI63" s="1932" t="s">
        <v>406</v>
      </c>
      <c r="AJ63" s="1933"/>
      <c r="AK63" s="1932" t="s">
        <v>407</v>
      </c>
      <c r="AL63" s="1933"/>
      <c r="AM63" s="1932" t="s">
        <v>408</v>
      </c>
      <c r="AN63" s="1940"/>
      <c r="AO63" s="1923"/>
      <c r="AP63" s="1924"/>
      <c r="AQ63" s="1923"/>
      <c r="AR63" s="1924"/>
    </row>
    <row r="64" spans="1:101" ht="21" x14ac:dyDescent="0.25">
      <c r="B64" s="1997"/>
      <c r="C64" s="1997"/>
      <c r="D64" s="1262" t="s">
        <v>409</v>
      </c>
      <c r="E64" s="1254" t="s">
        <v>86</v>
      </c>
      <c r="F64" s="1255" t="s">
        <v>227</v>
      </c>
      <c r="G64" s="1263" t="s">
        <v>86</v>
      </c>
      <c r="H64" s="997" t="s">
        <v>227</v>
      </c>
      <c r="I64" s="1263" t="s">
        <v>86</v>
      </c>
      <c r="J64" s="997" t="s">
        <v>227</v>
      </c>
      <c r="K64" s="1263" t="s">
        <v>86</v>
      </c>
      <c r="L64" s="997" t="s">
        <v>227</v>
      </c>
      <c r="M64" s="1264" t="s">
        <v>86</v>
      </c>
      <c r="N64" s="875" t="s">
        <v>227</v>
      </c>
      <c r="O64" s="1264" t="s">
        <v>86</v>
      </c>
      <c r="P64" s="875" t="s">
        <v>227</v>
      </c>
      <c r="Q64" s="1264" t="s">
        <v>86</v>
      </c>
      <c r="R64" s="875" t="s">
        <v>227</v>
      </c>
      <c r="S64" s="1259" t="s">
        <v>86</v>
      </c>
      <c r="T64" s="993" t="s">
        <v>227</v>
      </c>
      <c r="U64" s="1264" t="s">
        <v>86</v>
      </c>
      <c r="V64" s="875" t="s">
        <v>227</v>
      </c>
      <c r="W64" s="1259" t="s">
        <v>86</v>
      </c>
      <c r="X64" s="993" t="s">
        <v>227</v>
      </c>
      <c r="Y64" s="1264" t="s">
        <v>86</v>
      </c>
      <c r="Z64" s="875" t="s">
        <v>227</v>
      </c>
      <c r="AA64" s="1259" t="s">
        <v>86</v>
      </c>
      <c r="AB64" s="993" t="s">
        <v>227</v>
      </c>
      <c r="AC64" s="1264" t="s">
        <v>86</v>
      </c>
      <c r="AD64" s="875" t="s">
        <v>227</v>
      </c>
      <c r="AE64" s="1259" t="s">
        <v>86</v>
      </c>
      <c r="AF64" s="993" t="s">
        <v>227</v>
      </c>
      <c r="AG64" s="1260" t="s">
        <v>410</v>
      </c>
      <c r="AH64" s="874" t="s">
        <v>227</v>
      </c>
      <c r="AI64" s="1260" t="s">
        <v>410</v>
      </c>
      <c r="AJ64" s="874" t="s">
        <v>227</v>
      </c>
      <c r="AK64" s="1260" t="s">
        <v>410</v>
      </c>
      <c r="AL64" s="874" t="s">
        <v>227</v>
      </c>
      <c r="AM64" s="1260" t="s">
        <v>410</v>
      </c>
      <c r="AN64" s="758" t="s">
        <v>227</v>
      </c>
      <c r="AO64" s="1476" t="s">
        <v>410</v>
      </c>
      <c r="AP64" s="874" t="s">
        <v>227</v>
      </c>
      <c r="AQ64" s="1476" t="s">
        <v>410</v>
      </c>
      <c r="AR64" s="874" t="s">
        <v>227</v>
      </c>
    </row>
    <row r="65" spans="1:96" ht="15" customHeight="1" x14ac:dyDescent="0.25">
      <c r="A65" s="1585" t="s">
        <v>1203</v>
      </c>
      <c r="B65" s="1992" t="s">
        <v>413</v>
      </c>
      <c r="C65" s="96" t="s">
        <v>467</v>
      </c>
      <c r="D65" s="1145" t="s">
        <v>1616</v>
      </c>
      <c r="E65" s="392" t="s">
        <v>1617</v>
      </c>
      <c r="F65" s="384" t="s">
        <v>1618</v>
      </c>
      <c r="G65" s="394" t="s">
        <v>1619</v>
      </c>
      <c r="H65" s="418" t="s">
        <v>1620</v>
      </c>
      <c r="I65" s="394" t="s">
        <v>1621</v>
      </c>
      <c r="J65" s="418" t="s">
        <v>1622</v>
      </c>
      <c r="K65" s="394" t="s">
        <v>1623</v>
      </c>
      <c r="L65" s="418" t="s">
        <v>1624</v>
      </c>
      <c r="M65" s="417" t="s">
        <v>1625</v>
      </c>
      <c r="N65" s="418" t="s">
        <v>1626</v>
      </c>
      <c r="O65" s="394" t="s">
        <v>1627</v>
      </c>
      <c r="P65" s="432" t="s">
        <v>1628</v>
      </c>
      <c r="Q65" s="394" t="s">
        <v>1629</v>
      </c>
      <c r="R65" s="432" t="s">
        <v>1630</v>
      </c>
      <c r="S65" s="394" t="s">
        <v>1631</v>
      </c>
      <c r="T65" s="432" t="s">
        <v>1632</v>
      </c>
      <c r="U65" s="394" t="s">
        <v>1633</v>
      </c>
      <c r="V65" s="432" t="s">
        <v>1634</v>
      </c>
      <c r="W65" s="394" t="s">
        <v>1635</v>
      </c>
      <c r="X65" s="432" t="s">
        <v>1636</v>
      </c>
      <c r="Y65" s="394" t="s">
        <v>1637</v>
      </c>
      <c r="Z65" s="432" t="s">
        <v>1638</v>
      </c>
      <c r="AA65" s="394" t="s">
        <v>1639</v>
      </c>
      <c r="AB65" s="432" t="s">
        <v>1640</v>
      </c>
      <c r="AC65" s="394" t="s">
        <v>1641</v>
      </c>
      <c r="AD65" s="432" t="s">
        <v>1642</v>
      </c>
      <c r="AE65" s="394" t="s">
        <v>1643</v>
      </c>
      <c r="AF65" s="432" t="s">
        <v>1644</v>
      </c>
      <c r="AG65" s="394" t="s">
        <v>1645</v>
      </c>
      <c r="AH65" s="432" t="s">
        <v>1646</v>
      </c>
      <c r="AI65" s="394" t="s">
        <v>1647</v>
      </c>
      <c r="AJ65" s="432" t="s">
        <v>1648</v>
      </c>
      <c r="AK65" s="394" t="s">
        <v>1649</v>
      </c>
      <c r="AL65" s="432" t="s">
        <v>1650</v>
      </c>
      <c r="AM65" s="394" t="s">
        <v>1651</v>
      </c>
      <c r="AN65" s="998" t="s">
        <v>1652</v>
      </c>
      <c r="AO65" s="462" t="s">
        <v>1653</v>
      </c>
      <c r="AP65" s="432" t="s">
        <v>1654</v>
      </c>
      <c r="AQ65" s="462" t="s">
        <v>1655</v>
      </c>
      <c r="AR65" s="432" t="s">
        <v>1656</v>
      </c>
      <c r="AS65" s="108" t="str">
        <f>$CB65&amp;CC65&amp;CD65&amp;CE65&amp;CF65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5" s="191" t="str">
        <f>IF(SUM(D15:D17)&gt;=SUM(D65:D68),"","* El total de Asma Bronquial en ambos sexo no puede ser mayor al total de Asma Bronquial de ambos sexo de la Sección A. ")</f>
        <v/>
      </c>
      <c r="CC65" s="191" t="str">
        <f t="shared" ref="CC65:CC71" si="32">IF(AND($E65&gt;0,OR(AO65=""))," * No olvide digitar la variable Pueblos Originarios Hombres. Digite Cero si no tiene.",IF(AO65&gt;$E65," * La variable Pueblos Originarios Hombres no puede ser Mayor al Total Hombres.",""))</f>
        <v xml:space="preserve"> * La variable Pueblos Originarios Hombres no puede ser Mayor al Total Hombres.</v>
      </c>
      <c r="CD65" s="191" t="str">
        <f t="shared" ref="CD65:CD71" si="33">IF(AND($F65&gt;0,OR(AP65=""))," * No olvide digitar la variable Pueblos Originarios Mujeres. Digite Cero si no tiene.",IF(AP65&gt;$F65," * La variable Pueblos Originarios Mujeres no puede ser Mayor al Total Mujeres.",""))</f>
        <v xml:space="preserve"> * La variable Pueblos Originarios Mujeres no puede ser Mayor al Total Mujeres.</v>
      </c>
      <c r="CE65" s="191" t="str">
        <f t="shared" ref="CE65:CE71" si="34">IF(AND($E65&gt;0,OR(AQ65=""))," * No olvide digitar la variable Migrantes Hombres. Digite Cero si no tiene.",IF(AQ65&gt;$E65," * La variable Migrantes Hombres no puede ser Mayor al Total Hombres.",""))</f>
        <v xml:space="preserve"> * La variable Migrantes Hombres no puede ser Mayor al Total Hombres.</v>
      </c>
      <c r="CF65" s="191" t="str">
        <f>IF(AND($F65&gt;0,OR(AR65=""))," * No olvide digitar la variable Migrantes Mujeres. Digite Cero si no tiene.",IF(AR65&gt;$F65," * La variable Migrantes Mujeres no puede ser Mayor al Total Mujeres.",""))</f>
        <v xml:space="preserve"> * La variable Migrantes Mujeres no puede ser Mayor al Total Mujeres.</v>
      </c>
      <c r="CN65" s="1047">
        <f>IF(SUM(D15:D17)&gt;=SUM(D65:D68),0,1)</f>
        <v>0</v>
      </c>
      <c r="CO65" s="1047">
        <f>IF(AND($E65&gt;0,OR(AO65="")),1,IF(AO65&gt;$E65,1,0))</f>
        <v>1</v>
      </c>
      <c r="CP65" s="1047">
        <f t="shared" ref="CP65:CP71" si="35">IF(AND($F65&gt;0,OR(AP65="")),1,IF(AP65&gt;$F65,1,0))</f>
        <v>1</v>
      </c>
      <c r="CQ65" s="1047">
        <f t="shared" ref="CQ65:CQ71" si="36">IF(AND($E65&gt;0,OR(AQ65="")),1,IF(AQ65&gt;$E65,1,0))</f>
        <v>1</v>
      </c>
      <c r="CR65" s="1047">
        <f t="shared" ref="CR65:CR71" si="37">IF(AND($F65&gt;0,OR(AR65="")),1,IF(AR65&gt;$F65,1,0))</f>
        <v>1</v>
      </c>
    </row>
    <row r="66" spans="1:96" ht="15" customHeight="1" x14ac:dyDescent="0.25">
      <c r="A66" s="1585" t="s">
        <v>1204</v>
      </c>
      <c r="B66" s="1991"/>
      <c r="C66" s="97" t="s">
        <v>468</v>
      </c>
      <c r="D66" s="1147" t="s">
        <v>1616</v>
      </c>
      <c r="E66" s="397" t="s">
        <v>1617</v>
      </c>
      <c r="F66" s="385" t="s">
        <v>1618</v>
      </c>
      <c r="G66" s="417" t="s">
        <v>1619</v>
      </c>
      <c r="H66" s="418" t="s">
        <v>1620</v>
      </c>
      <c r="I66" s="417" t="s">
        <v>1621</v>
      </c>
      <c r="J66" s="418" t="s">
        <v>1622</v>
      </c>
      <c r="K66" s="417" t="s">
        <v>1623</v>
      </c>
      <c r="L66" s="418" t="s">
        <v>1624</v>
      </c>
      <c r="M66" s="417" t="s">
        <v>1625</v>
      </c>
      <c r="N66" s="418" t="s">
        <v>1626</v>
      </c>
      <c r="O66" s="417" t="s">
        <v>1627</v>
      </c>
      <c r="P66" s="432" t="s">
        <v>1628</v>
      </c>
      <c r="Q66" s="417" t="s">
        <v>1629</v>
      </c>
      <c r="R66" s="432" t="s">
        <v>1630</v>
      </c>
      <c r="S66" s="417" t="s">
        <v>1631</v>
      </c>
      <c r="T66" s="432" t="s">
        <v>1632</v>
      </c>
      <c r="U66" s="417" t="s">
        <v>1633</v>
      </c>
      <c r="V66" s="432" t="s">
        <v>1634</v>
      </c>
      <c r="W66" s="417" t="s">
        <v>1635</v>
      </c>
      <c r="X66" s="432" t="s">
        <v>1636</v>
      </c>
      <c r="Y66" s="417" t="s">
        <v>1637</v>
      </c>
      <c r="Z66" s="432" t="s">
        <v>1638</v>
      </c>
      <c r="AA66" s="417" t="s">
        <v>1639</v>
      </c>
      <c r="AB66" s="432" t="s">
        <v>1640</v>
      </c>
      <c r="AC66" s="417" t="s">
        <v>1641</v>
      </c>
      <c r="AD66" s="432" t="s">
        <v>1642</v>
      </c>
      <c r="AE66" s="417" t="s">
        <v>1643</v>
      </c>
      <c r="AF66" s="432" t="s">
        <v>1644</v>
      </c>
      <c r="AG66" s="417" t="s">
        <v>1645</v>
      </c>
      <c r="AH66" s="432" t="s">
        <v>1646</v>
      </c>
      <c r="AI66" s="417" t="s">
        <v>1647</v>
      </c>
      <c r="AJ66" s="432" t="s">
        <v>1648</v>
      </c>
      <c r="AK66" s="417" t="s">
        <v>1649</v>
      </c>
      <c r="AL66" s="432" t="s">
        <v>1650</v>
      </c>
      <c r="AM66" s="417" t="s">
        <v>1651</v>
      </c>
      <c r="AN66" s="998" t="s">
        <v>1652</v>
      </c>
      <c r="AO66" s="468" t="s">
        <v>1653</v>
      </c>
      <c r="AP66" s="432" t="s">
        <v>1654</v>
      </c>
      <c r="AQ66" s="468" t="s">
        <v>1655</v>
      </c>
      <c r="AR66" s="432" t="s">
        <v>1656</v>
      </c>
      <c r="AS66" s="108" t="str">
        <f>$CC66&amp;CD66&amp;CE66&amp;CF66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C66" s="191" t="str">
        <f t="shared" si="32"/>
        <v xml:space="preserve"> * La variable Pueblos Originarios Hombres no puede ser Mayor al Total Hombres.</v>
      </c>
      <c r="CD66" s="191" t="str">
        <f t="shared" si="33"/>
        <v xml:space="preserve"> * La variable Pueblos Originarios Mujeres no puede ser Mayor al Total Mujeres.</v>
      </c>
      <c r="CE66" s="191" t="str">
        <f t="shared" si="34"/>
        <v xml:space="preserve"> * La variable Migrantes Hombres no puede ser Mayor al Total Hombres.</v>
      </c>
      <c r="CF66" s="191" t="str">
        <f t="shared" ref="CF66:CF71" si="38">IF(AND($F66&gt;0,OR(AR66=""))," * No olvide digitar la variable Migrantes Mujeres. Digite Cero si no tiene.",IF(AR66&gt;$F66," * La variable Migrantes Mujeres no puede ser Mayor al Total Mujeres.",""))</f>
        <v xml:space="preserve"> * La variable Migrantes Mujeres no puede ser Mayor al Total Mujeres.</v>
      </c>
      <c r="CO66" s="1047">
        <f t="shared" ref="CO66:CO71" si="39">IF(AND($E66&gt;0,OR(AO66="")),1,IF(AO66&gt;$E66,1,0))</f>
        <v>1</v>
      </c>
      <c r="CP66" s="1047">
        <f t="shared" si="35"/>
        <v>1</v>
      </c>
      <c r="CQ66" s="1047">
        <f t="shared" si="36"/>
        <v>1</v>
      </c>
      <c r="CR66" s="1047">
        <f t="shared" si="37"/>
        <v>1</v>
      </c>
    </row>
    <row r="67" spans="1:96" ht="15" customHeight="1" x14ac:dyDescent="0.25">
      <c r="A67" s="1585" t="s">
        <v>1205</v>
      </c>
      <c r="B67" s="1991"/>
      <c r="C67" s="97" t="s">
        <v>469</v>
      </c>
      <c r="D67" s="1147" t="s">
        <v>1616</v>
      </c>
      <c r="E67" s="397" t="s">
        <v>1617</v>
      </c>
      <c r="F67" s="385" t="s">
        <v>1618</v>
      </c>
      <c r="G67" s="417" t="s">
        <v>1619</v>
      </c>
      <c r="H67" s="418" t="s">
        <v>1620</v>
      </c>
      <c r="I67" s="417" t="s">
        <v>1621</v>
      </c>
      <c r="J67" s="418" t="s">
        <v>1622</v>
      </c>
      <c r="K67" s="417" t="s">
        <v>1623</v>
      </c>
      <c r="L67" s="418" t="s">
        <v>1624</v>
      </c>
      <c r="M67" s="417" t="s">
        <v>1625</v>
      </c>
      <c r="N67" s="418" t="s">
        <v>1626</v>
      </c>
      <c r="O67" s="417" t="s">
        <v>1627</v>
      </c>
      <c r="P67" s="432" t="s">
        <v>1628</v>
      </c>
      <c r="Q67" s="417" t="s">
        <v>1629</v>
      </c>
      <c r="R67" s="432" t="s">
        <v>1630</v>
      </c>
      <c r="S67" s="417" t="s">
        <v>1631</v>
      </c>
      <c r="T67" s="432" t="s">
        <v>1632</v>
      </c>
      <c r="U67" s="417" t="s">
        <v>1633</v>
      </c>
      <c r="V67" s="432" t="s">
        <v>1634</v>
      </c>
      <c r="W67" s="417" t="s">
        <v>1635</v>
      </c>
      <c r="X67" s="432" t="s">
        <v>1636</v>
      </c>
      <c r="Y67" s="417" t="s">
        <v>1637</v>
      </c>
      <c r="Z67" s="432" t="s">
        <v>1638</v>
      </c>
      <c r="AA67" s="417" t="s">
        <v>1639</v>
      </c>
      <c r="AB67" s="432" t="s">
        <v>1640</v>
      </c>
      <c r="AC67" s="417" t="s">
        <v>1641</v>
      </c>
      <c r="AD67" s="432" t="s">
        <v>1642</v>
      </c>
      <c r="AE67" s="417" t="s">
        <v>1643</v>
      </c>
      <c r="AF67" s="432" t="s">
        <v>1644</v>
      </c>
      <c r="AG67" s="417" t="s">
        <v>1645</v>
      </c>
      <c r="AH67" s="432" t="s">
        <v>1646</v>
      </c>
      <c r="AI67" s="417" t="s">
        <v>1647</v>
      </c>
      <c r="AJ67" s="432" t="s">
        <v>1648</v>
      </c>
      <c r="AK67" s="417" t="s">
        <v>1649</v>
      </c>
      <c r="AL67" s="432" t="s">
        <v>1650</v>
      </c>
      <c r="AM67" s="417" t="s">
        <v>1651</v>
      </c>
      <c r="AN67" s="998" t="s">
        <v>1652</v>
      </c>
      <c r="AO67" s="468" t="s">
        <v>1653</v>
      </c>
      <c r="AP67" s="432" t="s">
        <v>1654</v>
      </c>
      <c r="AQ67" s="468" t="s">
        <v>1655</v>
      </c>
      <c r="AR67" s="432" t="s">
        <v>1656</v>
      </c>
      <c r="AS67" s="108" t="str">
        <f t="shared" ref="AS67:AS70" si="40">$CC67&amp;CD67&amp;CE67&amp;CF67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C67" s="191" t="str">
        <f t="shared" si="32"/>
        <v xml:space="preserve"> * La variable Pueblos Originarios Hombres no puede ser Mayor al Total Hombres.</v>
      </c>
      <c r="CD67" s="191" t="str">
        <f t="shared" si="33"/>
        <v xml:space="preserve"> * La variable Pueblos Originarios Mujeres no puede ser Mayor al Total Mujeres.</v>
      </c>
      <c r="CE67" s="191" t="str">
        <f t="shared" si="34"/>
        <v xml:space="preserve"> * La variable Migrantes Hombres no puede ser Mayor al Total Hombres.</v>
      </c>
      <c r="CF67" s="191" t="str">
        <f t="shared" si="38"/>
        <v xml:space="preserve"> * La variable Migrantes Mujeres no puede ser Mayor al Total Mujeres.</v>
      </c>
      <c r="CO67" s="1047">
        <f t="shared" si="39"/>
        <v>1</v>
      </c>
      <c r="CP67" s="1047">
        <f t="shared" si="35"/>
        <v>1</v>
      </c>
      <c r="CQ67" s="1047">
        <f t="shared" si="36"/>
        <v>1</v>
      </c>
      <c r="CR67" s="1047">
        <f t="shared" si="37"/>
        <v>1</v>
      </c>
    </row>
    <row r="68" spans="1:96" ht="15" customHeight="1" x14ac:dyDescent="0.25">
      <c r="A68" s="1585" t="s">
        <v>1206</v>
      </c>
      <c r="B68" s="1708"/>
      <c r="C68" s="97" t="s">
        <v>470</v>
      </c>
      <c r="D68" s="1143" t="s">
        <v>1616</v>
      </c>
      <c r="E68" s="391" t="s">
        <v>1617</v>
      </c>
      <c r="F68" s="386" t="s">
        <v>1618</v>
      </c>
      <c r="G68" s="417" t="s">
        <v>1619</v>
      </c>
      <c r="H68" s="418" t="s">
        <v>1620</v>
      </c>
      <c r="I68" s="417" t="s">
        <v>1621</v>
      </c>
      <c r="J68" s="418" t="s">
        <v>1622</v>
      </c>
      <c r="K68" s="417" t="s">
        <v>1623</v>
      </c>
      <c r="L68" s="418" t="s">
        <v>1624</v>
      </c>
      <c r="M68" s="417" t="s">
        <v>1625</v>
      </c>
      <c r="N68" s="418" t="s">
        <v>1626</v>
      </c>
      <c r="O68" s="413" t="s">
        <v>1627</v>
      </c>
      <c r="P68" s="432" t="s">
        <v>1628</v>
      </c>
      <c r="Q68" s="417" t="s">
        <v>1629</v>
      </c>
      <c r="R68" s="432" t="s">
        <v>1630</v>
      </c>
      <c r="S68" s="417" t="s">
        <v>1631</v>
      </c>
      <c r="T68" s="432" t="s">
        <v>1632</v>
      </c>
      <c r="U68" s="417" t="s">
        <v>1633</v>
      </c>
      <c r="V68" s="432" t="s">
        <v>1634</v>
      </c>
      <c r="W68" s="417" t="s">
        <v>1635</v>
      </c>
      <c r="X68" s="432" t="s">
        <v>1636</v>
      </c>
      <c r="Y68" s="417" t="s">
        <v>1637</v>
      </c>
      <c r="Z68" s="432" t="s">
        <v>1638</v>
      </c>
      <c r="AA68" s="417" t="s">
        <v>1639</v>
      </c>
      <c r="AB68" s="432" t="s">
        <v>1640</v>
      </c>
      <c r="AC68" s="417" t="s">
        <v>1641</v>
      </c>
      <c r="AD68" s="432" t="s">
        <v>1642</v>
      </c>
      <c r="AE68" s="417" t="s">
        <v>1643</v>
      </c>
      <c r="AF68" s="432" t="s">
        <v>1644</v>
      </c>
      <c r="AG68" s="417" t="s">
        <v>1645</v>
      </c>
      <c r="AH68" s="432" t="s">
        <v>1646</v>
      </c>
      <c r="AI68" s="417" t="s">
        <v>1647</v>
      </c>
      <c r="AJ68" s="432" t="s">
        <v>1648</v>
      </c>
      <c r="AK68" s="417" t="s">
        <v>1649</v>
      </c>
      <c r="AL68" s="432" t="s">
        <v>1650</v>
      </c>
      <c r="AM68" s="417" t="s">
        <v>1651</v>
      </c>
      <c r="AN68" s="998" t="s">
        <v>1652</v>
      </c>
      <c r="AO68" s="468" t="s">
        <v>1653</v>
      </c>
      <c r="AP68" s="432" t="s">
        <v>1654</v>
      </c>
      <c r="AQ68" s="468" t="s">
        <v>1655</v>
      </c>
      <c r="AR68" s="432" t="s">
        <v>1656</v>
      </c>
      <c r="AS68" s="108" t="str">
        <f t="shared" si="4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C68" s="191" t="str">
        <f t="shared" si="32"/>
        <v xml:space="preserve"> * La variable Pueblos Originarios Hombres no puede ser Mayor al Total Hombres.</v>
      </c>
      <c r="CD68" s="191" t="str">
        <f t="shared" si="33"/>
        <v xml:space="preserve"> * La variable Pueblos Originarios Mujeres no puede ser Mayor al Total Mujeres.</v>
      </c>
      <c r="CE68" s="191" t="str">
        <f t="shared" si="34"/>
        <v xml:space="preserve"> * La variable Migrantes Hombres no puede ser Mayor al Total Hombres.</v>
      </c>
      <c r="CF68" s="191" t="str">
        <f t="shared" si="38"/>
        <v xml:space="preserve"> * La variable Migrantes Mujeres no puede ser Mayor al Total Mujeres.</v>
      </c>
      <c r="CO68" s="1047">
        <f t="shared" si="39"/>
        <v>1</v>
      </c>
      <c r="CP68" s="1047">
        <f t="shared" si="35"/>
        <v>1</v>
      </c>
      <c r="CQ68" s="1047">
        <f t="shared" si="36"/>
        <v>1</v>
      </c>
      <c r="CR68" s="1047">
        <f t="shared" si="37"/>
        <v>1</v>
      </c>
    </row>
    <row r="69" spans="1:96" ht="15" customHeight="1" x14ac:dyDescent="0.25">
      <c r="A69" s="1585" t="s">
        <v>1207</v>
      </c>
      <c r="B69" s="1992" t="s">
        <v>414</v>
      </c>
      <c r="C69" s="98" t="s">
        <v>471</v>
      </c>
      <c r="D69" s="1142" t="s">
        <v>1616</v>
      </c>
      <c r="E69" s="387" t="s">
        <v>1617</v>
      </c>
      <c r="F69" s="388" t="s">
        <v>1618</v>
      </c>
      <c r="G69" s="433" t="s">
        <v>1619</v>
      </c>
      <c r="H69" s="434" t="s">
        <v>1620</v>
      </c>
      <c r="I69" s="433" t="s">
        <v>1621</v>
      </c>
      <c r="J69" s="434" t="s">
        <v>1622</v>
      </c>
      <c r="K69" s="433" t="s">
        <v>1623</v>
      </c>
      <c r="L69" s="434" t="s">
        <v>1624</v>
      </c>
      <c r="M69" s="433" t="s">
        <v>1625</v>
      </c>
      <c r="N69" s="434" t="s">
        <v>1626</v>
      </c>
      <c r="O69" s="433" t="s">
        <v>1627</v>
      </c>
      <c r="P69" s="435" t="s">
        <v>1628</v>
      </c>
      <c r="Q69" s="433" t="s">
        <v>1629</v>
      </c>
      <c r="R69" s="435" t="s">
        <v>1630</v>
      </c>
      <c r="S69" s="433" t="s">
        <v>1631</v>
      </c>
      <c r="T69" s="435" t="s">
        <v>1632</v>
      </c>
      <c r="U69" s="433" t="s">
        <v>1633</v>
      </c>
      <c r="V69" s="435" t="s">
        <v>1634</v>
      </c>
      <c r="W69" s="417" t="s">
        <v>1635</v>
      </c>
      <c r="X69" s="432" t="s">
        <v>1636</v>
      </c>
      <c r="Y69" s="417" t="s">
        <v>1637</v>
      </c>
      <c r="Z69" s="432" t="s">
        <v>1638</v>
      </c>
      <c r="AA69" s="417" t="s">
        <v>1639</v>
      </c>
      <c r="AB69" s="432" t="s">
        <v>1640</v>
      </c>
      <c r="AC69" s="417" t="s">
        <v>1641</v>
      </c>
      <c r="AD69" s="432" t="s">
        <v>1642</v>
      </c>
      <c r="AE69" s="417" t="s">
        <v>1643</v>
      </c>
      <c r="AF69" s="432" t="s">
        <v>1644</v>
      </c>
      <c r="AG69" s="417" t="s">
        <v>1645</v>
      </c>
      <c r="AH69" s="432" t="s">
        <v>1646</v>
      </c>
      <c r="AI69" s="417" t="s">
        <v>1647</v>
      </c>
      <c r="AJ69" s="432" t="s">
        <v>1648</v>
      </c>
      <c r="AK69" s="417" t="s">
        <v>1649</v>
      </c>
      <c r="AL69" s="432" t="s">
        <v>1650</v>
      </c>
      <c r="AM69" s="417" t="s">
        <v>1651</v>
      </c>
      <c r="AN69" s="998" t="s">
        <v>1652</v>
      </c>
      <c r="AO69" s="468" t="s">
        <v>1653</v>
      </c>
      <c r="AP69" s="432" t="s">
        <v>1654</v>
      </c>
      <c r="AQ69" s="468" t="s">
        <v>1655</v>
      </c>
      <c r="AR69" s="432" t="s">
        <v>1656</v>
      </c>
      <c r="AS69" s="108" t="str">
        <f t="shared" si="4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C69" s="191" t="str">
        <f t="shared" si="32"/>
        <v xml:space="preserve"> * La variable Pueblos Originarios Hombres no puede ser Mayor al Total Hombres.</v>
      </c>
      <c r="CD69" s="191" t="str">
        <f t="shared" si="33"/>
        <v xml:space="preserve"> * La variable Pueblos Originarios Mujeres no puede ser Mayor al Total Mujeres.</v>
      </c>
      <c r="CE69" s="191" t="str">
        <f t="shared" si="34"/>
        <v xml:space="preserve"> * La variable Migrantes Hombres no puede ser Mayor al Total Hombres.</v>
      </c>
      <c r="CF69" s="191" t="str">
        <f t="shared" si="38"/>
        <v xml:space="preserve"> * La variable Migrantes Mujeres no puede ser Mayor al Total Mujeres.</v>
      </c>
      <c r="CO69" s="1047">
        <f t="shared" si="39"/>
        <v>1</v>
      </c>
      <c r="CP69" s="1047">
        <f t="shared" si="35"/>
        <v>1</v>
      </c>
      <c r="CQ69" s="1047">
        <f t="shared" si="36"/>
        <v>1</v>
      </c>
      <c r="CR69" s="1047">
        <f t="shared" si="37"/>
        <v>1</v>
      </c>
    </row>
    <row r="70" spans="1:96" ht="15" customHeight="1" x14ac:dyDescent="0.25">
      <c r="A70" s="1585" t="s">
        <v>1208</v>
      </c>
      <c r="B70" s="1993"/>
      <c r="C70" s="88" t="s">
        <v>472</v>
      </c>
      <c r="D70" s="1376" t="s">
        <v>1616</v>
      </c>
      <c r="E70" s="389" t="s">
        <v>1617</v>
      </c>
      <c r="F70" s="390" t="s">
        <v>1618</v>
      </c>
      <c r="G70" s="436" t="s">
        <v>1619</v>
      </c>
      <c r="H70" s="437" t="s">
        <v>1620</v>
      </c>
      <c r="I70" s="436" t="s">
        <v>1621</v>
      </c>
      <c r="J70" s="437" t="s">
        <v>1622</v>
      </c>
      <c r="K70" s="436" t="s">
        <v>1623</v>
      </c>
      <c r="L70" s="437" t="s">
        <v>1624</v>
      </c>
      <c r="M70" s="436" t="s">
        <v>1625</v>
      </c>
      <c r="N70" s="437" t="s">
        <v>1626</v>
      </c>
      <c r="O70" s="436" t="s">
        <v>1627</v>
      </c>
      <c r="P70" s="438" t="s">
        <v>1628</v>
      </c>
      <c r="Q70" s="436" t="s">
        <v>1629</v>
      </c>
      <c r="R70" s="438" t="s">
        <v>1630</v>
      </c>
      <c r="S70" s="436" t="s">
        <v>1631</v>
      </c>
      <c r="T70" s="438" t="s">
        <v>1632</v>
      </c>
      <c r="U70" s="436" t="s">
        <v>1633</v>
      </c>
      <c r="V70" s="438" t="s">
        <v>1634</v>
      </c>
      <c r="W70" s="417" t="s">
        <v>1635</v>
      </c>
      <c r="X70" s="432" t="s">
        <v>1636</v>
      </c>
      <c r="Y70" s="417" t="s">
        <v>1637</v>
      </c>
      <c r="Z70" s="432" t="s">
        <v>1638</v>
      </c>
      <c r="AA70" s="417" t="s">
        <v>1639</v>
      </c>
      <c r="AB70" s="432" t="s">
        <v>1640</v>
      </c>
      <c r="AC70" s="417" t="s">
        <v>1641</v>
      </c>
      <c r="AD70" s="432" t="s">
        <v>1642</v>
      </c>
      <c r="AE70" s="417" t="s">
        <v>1643</v>
      </c>
      <c r="AF70" s="432" t="s">
        <v>1644</v>
      </c>
      <c r="AG70" s="417" t="s">
        <v>1645</v>
      </c>
      <c r="AH70" s="432" t="s">
        <v>1646</v>
      </c>
      <c r="AI70" s="417" t="s">
        <v>1647</v>
      </c>
      <c r="AJ70" s="432" t="s">
        <v>1648</v>
      </c>
      <c r="AK70" s="417" t="s">
        <v>1649</v>
      </c>
      <c r="AL70" s="432" t="s">
        <v>1650</v>
      </c>
      <c r="AM70" s="417" t="s">
        <v>1651</v>
      </c>
      <c r="AN70" s="998" t="s">
        <v>1652</v>
      </c>
      <c r="AO70" s="468" t="s">
        <v>1653</v>
      </c>
      <c r="AP70" s="432" t="s">
        <v>1654</v>
      </c>
      <c r="AQ70" s="468" t="s">
        <v>1655</v>
      </c>
      <c r="AR70" s="432" t="s">
        <v>1656</v>
      </c>
      <c r="AS70" s="108" t="str">
        <f t="shared" si="4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C70" s="191" t="str">
        <f t="shared" si="32"/>
        <v xml:space="preserve"> * La variable Pueblos Originarios Hombres no puede ser Mayor al Total Hombres.</v>
      </c>
      <c r="CD70" s="191" t="str">
        <f t="shared" si="33"/>
        <v xml:space="preserve"> * La variable Pueblos Originarios Mujeres no puede ser Mayor al Total Mujeres.</v>
      </c>
      <c r="CE70" s="191" t="str">
        <f t="shared" si="34"/>
        <v xml:space="preserve"> * La variable Migrantes Hombres no puede ser Mayor al Total Hombres.</v>
      </c>
      <c r="CF70" s="191" t="str">
        <f t="shared" si="38"/>
        <v xml:space="preserve"> * La variable Migrantes Mujeres no puede ser Mayor al Total Mujeres.</v>
      </c>
      <c r="CO70" s="1047">
        <f t="shared" si="39"/>
        <v>1</v>
      </c>
      <c r="CP70" s="1047">
        <f t="shared" si="35"/>
        <v>1</v>
      </c>
      <c r="CQ70" s="1047">
        <f t="shared" si="36"/>
        <v>1</v>
      </c>
      <c r="CR70" s="1047">
        <f t="shared" si="37"/>
        <v>1</v>
      </c>
    </row>
    <row r="71" spans="1:96" ht="15" customHeight="1" x14ac:dyDescent="0.25">
      <c r="A71" s="1585" t="s">
        <v>1209</v>
      </c>
      <c r="B71" s="1708"/>
      <c r="C71" s="99" t="s">
        <v>470</v>
      </c>
      <c r="D71" s="1143" t="s">
        <v>1616</v>
      </c>
      <c r="E71" s="391" t="s">
        <v>1617</v>
      </c>
      <c r="F71" s="386" t="s">
        <v>1618</v>
      </c>
      <c r="G71" s="439" t="s">
        <v>1619</v>
      </c>
      <c r="H71" s="440" t="s">
        <v>1620</v>
      </c>
      <c r="I71" s="439" t="s">
        <v>1621</v>
      </c>
      <c r="J71" s="440" t="s">
        <v>1622</v>
      </c>
      <c r="K71" s="439" t="s">
        <v>1623</v>
      </c>
      <c r="L71" s="440" t="s">
        <v>1624</v>
      </c>
      <c r="M71" s="439" t="s">
        <v>1625</v>
      </c>
      <c r="N71" s="440" t="s">
        <v>1626</v>
      </c>
      <c r="O71" s="439" t="s">
        <v>1627</v>
      </c>
      <c r="P71" s="441" t="s">
        <v>1628</v>
      </c>
      <c r="Q71" s="439" t="s">
        <v>1629</v>
      </c>
      <c r="R71" s="441" t="s">
        <v>1630</v>
      </c>
      <c r="S71" s="439" t="s">
        <v>1631</v>
      </c>
      <c r="T71" s="441" t="s">
        <v>1632</v>
      </c>
      <c r="U71" s="439" t="s">
        <v>1633</v>
      </c>
      <c r="V71" s="441" t="s">
        <v>1634</v>
      </c>
      <c r="W71" s="403" t="s">
        <v>1635</v>
      </c>
      <c r="X71" s="442" t="s">
        <v>1636</v>
      </c>
      <c r="Y71" s="403" t="s">
        <v>1637</v>
      </c>
      <c r="Z71" s="442" t="s">
        <v>1638</v>
      </c>
      <c r="AA71" s="403" t="s">
        <v>1639</v>
      </c>
      <c r="AB71" s="442" t="s">
        <v>1640</v>
      </c>
      <c r="AC71" s="403" t="s">
        <v>1641</v>
      </c>
      <c r="AD71" s="442" t="s">
        <v>1642</v>
      </c>
      <c r="AE71" s="403" t="s">
        <v>1643</v>
      </c>
      <c r="AF71" s="442" t="s">
        <v>1644</v>
      </c>
      <c r="AG71" s="403" t="s">
        <v>1645</v>
      </c>
      <c r="AH71" s="442" t="s">
        <v>1646</v>
      </c>
      <c r="AI71" s="403" t="s">
        <v>1647</v>
      </c>
      <c r="AJ71" s="442" t="s">
        <v>1648</v>
      </c>
      <c r="AK71" s="403" t="s">
        <v>1649</v>
      </c>
      <c r="AL71" s="442" t="s">
        <v>1650</v>
      </c>
      <c r="AM71" s="403" t="s">
        <v>1651</v>
      </c>
      <c r="AN71" s="999" t="s">
        <v>1652</v>
      </c>
      <c r="AO71" s="464" t="s">
        <v>1653</v>
      </c>
      <c r="AP71" s="442" t="s">
        <v>1654</v>
      </c>
      <c r="AQ71" s="464" t="s">
        <v>1655</v>
      </c>
      <c r="AR71" s="442" t="s">
        <v>1656</v>
      </c>
      <c r="AS71" s="108" t="str">
        <f>$CB71&amp;CC71&amp;CD71&amp;CE71&amp;CF71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1" s="191" t="str">
        <f>IF(SUM(D18:D19)&gt;=SUM(D69:D71),"","* El total de Enfermedad Pulmonar Obstructiva Crónica (EPOC) en ambos sexo no puede ser mayor al total de Enfermedad Pulmonar Obstructiva Crónica (EPOC) de ambos sexo de la Sección A. ")</f>
        <v/>
      </c>
      <c r="CC71" s="191" t="str">
        <f t="shared" si="32"/>
        <v xml:space="preserve"> * La variable Pueblos Originarios Hombres no puede ser Mayor al Total Hombres.</v>
      </c>
      <c r="CD71" s="191" t="str">
        <f t="shared" si="33"/>
        <v xml:space="preserve"> * La variable Pueblos Originarios Mujeres no puede ser Mayor al Total Mujeres.</v>
      </c>
      <c r="CE71" s="191" t="str">
        <f t="shared" si="34"/>
        <v xml:space="preserve"> * La variable Migrantes Hombres no puede ser Mayor al Total Hombres.</v>
      </c>
      <c r="CF71" s="191" t="str">
        <f t="shared" si="38"/>
        <v xml:space="preserve"> * La variable Migrantes Mujeres no puede ser Mayor al Total Mujeres.</v>
      </c>
      <c r="CN71" s="1047">
        <f>IF(SUM(D18:D19)&gt;=SUM(D69:D71),0,1)</f>
        <v>0</v>
      </c>
      <c r="CO71" s="1047">
        <f t="shared" si="39"/>
        <v>1</v>
      </c>
      <c r="CP71" s="1047">
        <f t="shared" si="35"/>
        <v>1</v>
      </c>
      <c r="CQ71" s="1047">
        <f t="shared" si="36"/>
        <v>1</v>
      </c>
      <c r="CR71" s="1047">
        <f t="shared" si="37"/>
        <v>1</v>
      </c>
    </row>
    <row r="72" spans="1:96" ht="17.100000000000001" customHeight="1" x14ac:dyDescent="0.25">
      <c r="B72" s="1332" t="s">
        <v>473</v>
      </c>
      <c r="C72" s="7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</row>
    <row r="73" spans="1:96" ht="16.5" customHeight="1" x14ac:dyDescent="0.25">
      <c r="B73" s="1994" t="s">
        <v>474</v>
      </c>
      <c r="C73" s="1998" t="s">
        <v>475</v>
      </c>
      <c r="D73" s="1999" t="s">
        <v>49</v>
      </c>
      <c r="E73" s="1999"/>
      <c r="F73" s="1999"/>
      <c r="G73" s="1983" t="s">
        <v>466</v>
      </c>
      <c r="H73" s="1984"/>
      <c r="I73" s="1984"/>
      <c r="J73" s="1984"/>
      <c r="K73" s="1984"/>
      <c r="L73" s="1984"/>
      <c r="M73" s="1984"/>
      <c r="N73" s="1984"/>
      <c r="O73" s="1984"/>
      <c r="P73" s="1984"/>
      <c r="Q73" s="1984"/>
      <c r="R73" s="1984"/>
      <c r="S73" s="1984"/>
      <c r="T73" s="1984"/>
      <c r="U73" s="1984"/>
      <c r="V73" s="1984"/>
      <c r="W73" s="1984"/>
      <c r="X73" s="1984"/>
      <c r="Y73" s="1984"/>
      <c r="Z73" s="1984"/>
      <c r="AA73" s="1984"/>
      <c r="AB73" s="1984"/>
      <c r="AC73" s="1984"/>
      <c r="AD73" s="1984"/>
      <c r="AE73" s="1984"/>
      <c r="AF73" s="1984"/>
      <c r="AG73" s="1984"/>
      <c r="AH73" s="1984"/>
      <c r="AI73" s="1984"/>
      <c r="AJ73" s="1984"/>
      <c r="AK73" s="1984"/>
      <c r="AL73" s="1984"/>
      <c r="AM73" s="1984"/>
      <c r="AN73" s="1985"/>
      <c r="AO73" s="1925" t="s">
        <v>51</v>
      </c>
      <c r="AP73" s="1922"/>
      <c r="AQ73" s="1925" t="s">
        <v>108</v>
      </c>
      <c r="AR73" s="1922"/>
      <c r="BA73" s="108"/>
      <c r="BB73" s="172"/>
      <c r="BQ73" s="606"/>
      <c r="BR73" s="172"/>
    </row>
    <row r="74" spans="1:96" ht="19.5" customHeight="1" x14ac:dyDescent="0.25">
      <c r="B74" s="1995"/>
      <c r="C74" s="1998"/>
      <c r="D74" s="1999"/>
      <c r="E74" s="1999"/>
      <c r="F74" s="1999"/>
      <c r="G74" s="1929" t="s">
        <v>404</v>
      </c>
      <c r="H74" s="1930"/>
      <c r="I74" s="1929" t="s">
        <v>476</v>
      </c>
      <c r="J74" s="1930"/>
      <c r="K74" s="1989" t="s">
        <v>477</v>
      </c>
      <c r="L74" s="1989"/>
      <c r="M74" s="1929" t="s">
        <v>478</v>
      </c>
      <c r="N74" s="1930"/>
      <c r="O74" s="1988" t="s">
        <v>479</v>
      </c>
      <c r="P74" s="1988"/>
      <c r="Q74" s="1988" t="s">
        <v>59</v>
      </c>
      <c r="R74" s="1988"/>
      <c r="S74" s="1988" t="s">
        <v>60</v>
      </c>
      <c r="T74" s="1988"/>
      <c r="U74" s="1988" t="s">
        <v>61</v>
      </c>
      <c r="V74" s="1988"/>
      <c r="W74" s="1986" t="s">
        <v>480</v>
      </c>
      <c r="X74" s="1990"/>
      <c r="Y74" s="1988" t="s">
        <v>481</v>
      </c>
      <c r="Z74" s="1988"/>
      <c r="AA74" s="1986" t="s">
        <v>482</v>
      </c>
      <c r="AB74" s="1990"/>
      <c r="AC74" s="1988" t="s">
        <v>483</v>
      </c>
      <c r="AD74" s="1988"/>
      <c r="AE74" s="1986" t="s">
        <v>484</v>
      </c>
      <c r="AF74" s="1990"/>
      <c r="AG74" s="1988" t="s">
        <v>485</v>
      </c>
      <c r="AH74" s="1988"/>
      <c r="AI74" s="1986" t="s">
        <v>486</v>
      </c>
      <c r="AJ74" s="1990"/>
      <c r="AK74" s="1988" t="s">
        <v>487</v>
      </c>
      <c r="AL74" s="1988"/>
      <c r="AM74" s="1986" t="s">
        <v>488</v>
      </c>
      <c r="AN74" s="1987"/>
      <c r="AO74" s="1923"/>
      <c r="AP74" s="1924"/>
      <c r="AQ74" s="1923"/>
      <c r="AR74" s="1924"/>
      <c r="BA74" s="108"/>
      <c r="BB74" s="172"/>
      <c r="BQ74" s="606"/>
      <c r="BR74" s="172"/>
    </row>
    <row r="75" spans="1:96" ht="18" customHeight="1" x14ac:dyDescent="0.25">
      <c r="B75" s="1996"/>
      <c r="C75" s="1998"/>
      <c r="D75" s="1481" t="s">
        <v>489</v>
      </c>
      <c r="E75" s="1482" t="s">
        <v>86</v>
      </c>
      <c r="F75" s="1213" t="s">
        <v>227</v>
      </c>
      <c r="G75" s="1259" t="s">
        <v>86</v>
      </c>
      <c r="H75" s="993" t="s">
        <v>227</v>
      </c>
      <c r="I75" s="1404" t="s">
        <v>86</v>
      </c>
      <c r="J75" s="993" t="s">
        <v>227</v>
      </c>
      <c r="K75" s="1404" t="s">
        <v>86</v>
      </c>
      <c r="L75" s="993" t="s">
        <v>227</v>
      </c>
      <c r="M75" s="1404" t="s">
        <v>86</v>
      </c>
      <c r="N75" s="993" t="s">
        <v>227</v>
      </c>
      <c r="O75" s="1404" t="s">
        <v>86</v>
      </c>
      <c r="P75" s="993" t="s">
        <v>227</v>
      </c>
      <c r="Q75" s="1404" t="s">
        <v>86</v>
      </c>
      <c r="R75" s="993" t="s">
        <v>227</v>
      </c>
      <c r="S75" s="1404" t="s">
        <v>86</v>
      </c>
      <c r="T75" s="993" t="s">
        <v>227</v>
      </c>
      <c r="U75" s="1404" t="s">
        <v>86</v>
      </c>
      <c r="V75" s="993" t="s">
        <v>227</v>
      </c>
      <c r="W75" s="1404" t="s">
        <v>86</v>
      </c>
      <c r="X75" s="993" t="s">
        <v>227</v>
      </c>
      <c r="Y75" s="1404" t="s">
        <v>86</v>
      </c>
      <c r="Z75" s="993" t="s">
        <v>227</v>
      </c>
      <c r="AA75" s="1404" t="s">
        <v>86</v>
      </c>
      <c r="AB75" s="993" t="s">
        <v>227</v>
      </c>
      <c r="AC75" s="1404" t="s">
        <v>86</v>
      </c>
      <c r="AD75" s="993" t="s">
        <v>227</v>
      </c>
      <c r="AE75" s="1404" t="s">
        <v>86</v>
      </c>
      <c r="AF75" s="993" t="s">
        <v>227</v>
      </c>
      <c r="AG75" s="1404" t="s">
        <v>86</v>
      </c>
      <c r="AH75" s="993" t="s">
        <v>227</v>
      </c>
      <c r="AI75" s="1404" t="s">
        <v>86</v>
      </c>
      <c r="AJ75" s="993" t="s">
        <v>227</v>
      </c>
      <c r="AK75" s="1404" t="s">
        <v>86</v>
      </c>
      <c r="AL75" s="993" t="s">
        <v>227</v>
      </c>
      <c r="AM75" s="1404" t="s">
        <v>86</v>
      </c>
      <c r="AN75" s="1483" t="s">
        <v>227</v>
      </c>
      <c r="AO75" s="1476" t="s">
        <v>410</v>
      </c>
      <c r="AP75" s="874" t="s">
        <v>227</v>
      </c>
      <c r="AQ75" s="1476" t="s">
        <v>410</v>
      </c>
      <c r="AR75" s="874" t="s">
        <v>227</v>
      </c>
      <c r="BA75" s="108"/>
      <c r="BB75" s="172"/>
      <c r="BQ75" s="606"/>
      <c r="BR75" s="172"/>
    </row>
    <row r="76" spans="1:96" ht="15" customHeight="1" x14ac:dyDescent="0.25">
      <c r="A76" s="1585" t="s">
        <v>1210</v>
      </c>
      <c r="B76" s="1970" t="s">
        <v>414</v>
      </c>
      <c r="C76" s="724" t="s">
        <v>490</v>
      </c>
      <c r="D76" s="1172" t="s">
        <v>1616</v>
      </c>
      <c r="E76" s="1168" t="s">
        <v>1617</v>
      </c>
      <c r="F76" s="897" t="s">
        <v>1618</v>
      </c>
      <c r="G76" s="994" t="s">
        <v>1619</v>
      </c>
      <c r="H76" s="931" t="s">
        <v>1620</v>
      </c>
      <c r="I76" s="930" t="s">
        <v>1621</v>
      </c>
      <c r="J76" s="931" t="s">
        <v>1622</v>
      </c>
      <c r="K76" s="930" t="s">
        <v>1623</v>
      </c>
      <c r="L76" s="931" t="s">
        <v>1624</v>
      </c>
      <c r="M76" s="930" t="s">
        <v>1625</v>
      </c>
      <c r="N76" s="931" t="s">
        <v>1626</v>
      </c>
      <c r="O76" s="930" t="s">
        <v>1627</v>
      </c>
      <c r="P76" s="931" t="s">
        <v>1628</v>
      </c>
      <c r="Q76" s="930" t="s">
        <v>1629</v>
      </c>
      <c r="R76" s="931" t="s">
        <v>1630</v>
      </c>
      <c r="S76" s="930" t="s">
        <v>1631</v>
      </c>
      <c r="T76" s="931" t="s">
        <v>1632</v>
      </c>
      <c r="U76" s="930" t="s">
        <v>1633</v>
      </c>
      <c r="V76" s="931" t="s">
        <v>1634</v>
      </c>
      <c r="W76" s="262" t="s">
        <v>1635</v>
      </c>
      <c r="X76" s="687" t="s">
        <v>1636</v>
      </c>
      <c r="Y76" s="262" t="s">
        <v>1637</v>
      </c>
      <c r="Z76" s="687" t="s">
        <v>1638</v>
      </c>
      <c r="AA76" s="262" t="s">
        <v>1639</v>
      </c>
      <c r="AB76" s="687" t="s">
        <v>1640</v>
      </c>
      <c r="AC76" s="262" t="s">
        <v>1641</v>
      </c>
      <c r="AD76" s="687" t="s">
        <v>1642</v>
      </c>
      <c r="AE76" s="262" t="s">
        <v>1643</v>
      </c>
      <c r="AF76" s="687" t="s">
        <v>1644</v>
      </c>
      <c r="AG76" s="262" t="s">
        <v>1645</v>
      </c>
      <c r="AH76" s="687" t="s">
        <v>1646</v>
      </c>
      <c r="AI76" s="262" t="s">
        <v>1647</v>
      </c>
      <c r="AJ76" s="687" t="s">
        <v>1648</v>
      </c>
      <c r="AK76" s="262" t="s">
        <v>1649</v>
      </c>
      <c r="AL76" s="687" t="s">
        <v>1650</v>
      </c>
      <c r="AM76" s="274" t="s">
        <v>1651</v>
      </c>
      <c r="AN76" s="746" t="s">
        <v>1652</v>
      </c>
      <c r="AO76" s="274" t="s">
        <v>1653</v>
      </c>
      <c r="AP76" s="687" t="s">
        <v>1654</v>
      </c>
      <c r="AQ76" s="274" t="s">
        <v>1655</v>
      </c>
      <c r="AR76" s="687" t="s">
        <v>1656</v>
      </c>
      <c r="AS76" s="108" t="str">
        <f>$CB76&amp;CC76&amp;CD76&amp;CE76&amp;CF76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76" s="108"/>
      <c r="BB76" s="172"/>
      <c r="BQ76" s="606"/>
      <c r="BR76" s="172"/>
      <c r="CB76" s="191" t="str">
        <f>IF(SUM(D15:D17)&gt;=SUM(D79:D81),"","* El total de Asma Bronquial en ambos sexo no puede ser mayor al total de Asma Bronquial de ambos sexo de la Sección A. ")</f>
        <v/>
      </c>
      <c r="CC76" s="191" t="str">
        <f t="shared" ref="CC76:CC82" si="41">IF(AND($E76&gt;0,OR(AO76=""))," * No olvide digitar la variable Pueblos Originarios Hombres. Digite Cero si no tiene.",IF(AO76&gt;$E76," * La variable Pueblos Originarios Hombres no puede ser Mayor al Total Hombres.",""))</f>
        <v xml:space="preserve"> * La variable Pueblos Originarios Hombres no puede ser Mayor al Total Hombres.</v>
      </c>
      <c r="CD76" s="191" t="str">
        <f t="shared" ref="CD76:CD82" si="42">IF(AND($F76&gt;0,OR(AP76=""))," * No olvide digitar la variable Pueblos Originarios Mujeres. Digite Cero si no tiene.",IF(AP76&gt;$F76," * La variable Pueblos Originarios Mujeres no puede ser Mayor al Total Mujeres.",""))</f>
        <v xml:space="preserve"> * La variable Pueblos Originarios Mujeres no puede ser Mayor al Total Mujeres.</v>
      </c>
      <c r="CE76" s="191" t="str">
        <f t="shared" ref="CE76:CE82" si="43">IF(AND($E76&gt;0,OR(AQ76=""))," * No olvide digitar la variable Migrantes Hombres. Digite Cero si no tiene.",IF(AQ76&gt;$E76," * La variable Migrantes Hombres no puede ser Mayor al Total Hombres.",""))</f>
        <v xml:space="preserve"> * La variable Migrantes Hombres no puede ser Mayor al Total Hombres.</v>
      </c>
      <c r="CF76" s="191" t="str">
        <f>IF(AND($F76&gt;0,OR(AR76=""))," * No olvide digitar la variable Migrantes Mujeres. Digite Cero si no tiene.",IF(AR76&gt;$F76," * La variable Migrantes Mujeres no puede ser Mayor al Total Mujeres.",""))</f>
        <v xml:space="preserve"> * La variable Migrantes Mujeres no puede ser Mayor al Total Mujeres.</v>
      </c>
      <c r="CN76" s="1047">
        <f>IF(SUM(D15:D17)&gt;=SUM(D79:D81),0,1)</f>
        <v>0</v>
      </c>
      <c r="CO76" s="1047">
        <f t="shared" ref="CO76:CO82" si="44">IF(AND($E76&gt;0,OR(AO76="")),1,IF(AO76&gt;$E76,1,0))</f>
        <v>1</v>
      </c>
      <c r="CP76" s="1047">
        <f>IF(AND($F76&gt;0,OR(AP76="")),1,IF(AP76&gt;$F76,1,0))</f>
        <v>1</v>
      </c>
      <c r="CQ76" s="1047">
        <f t="shared" ref="CQ76:CQ82" si="45">IF(AND($E76&gt;0,OR(AQ76="")),1,IF(AQ76&gt;$E76,1,0))</f>
        <v>1</v>
      </c>
      <c r="CR76" s="1047">
        <f>IF(AND($F76&gt;0,OR(AR76="")),1,IF(AR76&gt;$F76,1,0))</f>
        <v>1</v>
      </c>
    </row>
    <row r="77" spans="1:96" ht="15" customHeight="1" x14ac:dyDescent="0.25">
      <c r="A77" s="1585" t="s">
        <v>1211</v>
      </c>
      <c r="B77" s="1991"/>
      <c r="C77" s="1057" t="s">
        <v>491</v>
      </c>
      <c r="D77" s="1173" t="s">
        <v>1616</v>
      </c>
      <c r="E77" s="1169" t="s">
        <v>1617</v>
      </c>
      <c r="F77" s="898" t="s">
        <v>1618</v>
      </c>
      <c r="G77" s="995" t="s">
        <v>1619</v>
      </c>
      <c r="H77" s="933" t="s">
        <v>1620</v>
      </c>
      <c r="I77" s="932" t="s">
        <v>1621</v>
      </c>
      <c r="J77" s="933" t="s">
        <v>1622</v>
      </c>
      <c r="K77" s="932" t="s">
        <v>1623</v>
      </c>
      <c r="L77" s="933" t="s">
        <v>1624</v>
      </c>
      <c r="M77" s="932" t="s">
        <v>1625</v>
      </c>
      <c r="N77" s="933" t="s">
        <v>1626</v>
      </c>
      <c r="O77" s="932" t="s">
        <v>1627</v>
      </c>
      <c r="P77" s="933" t="s">
        <v>1628</v>
      </c>
      <c r="Q77" s="932" t="s">
        <v>1629</v>
      </c>
      <c r="R77" s="933" t="s">
        <v>1630</v>
      </c>
      <c r="S77" s="932" t="s">
        <v>1631</v>
      </c>
      <c r="T77" s="933" t="s">
        <v>1632</v>
      </c>
      <c r="U77" s="932" t="s">
        <v>1633</v>
      </c>
      <c r="V77" s="933" t="s">
        <v>1634</v>
      </c>
      <c r="W77" s="277" t="s">
        <v>1635</v>
      </c>
      <c r="X77" s="311" t="s">
        <v>1636</v>
      </c>
      <c r="Y77" s="277" t="s">
        <v>1637</v>
      </c>
      <c r="Z77" s="311" t="s">
        <v>1638</v>
      </c>
      <c r="AA77" s="277" t="s">
        <v>1639</v>
      </c>
      <c r="AB77" s="311" t="s">
        <v>1640</v>
      </c>
      <c r="AC77" s="277" t="s">
        <v>1641</v>
      </c>
      <c r="AD77" s="311" t="s">
        <v>1642</v>
      </c>
      <c r="AE77" s="277" t="s">
        <v>1643</v>
      </c>
      <c r="AF77" s="311" t="s">
        <v>1644</v>
      </c>
      <c r="AG77" s="277" t="s">
        <v>1645</v>
      </c>
      <c r="AH77" s="311" t="s">
        <v>1646</v>
      </c>
      <c r="AI77" s="277" t="s">
        <v>1647</v>
      </c>
      <c r="AJ77" s="311" t="s">
        <v>1648</v>
      </c>
      <c r="AK77" s="277" t="s">
        <v>1649</v>
      </c>
      <c r="AL77" s="311" t="s">
        <v>1650</v>
      </c>
      <c r="AM77" s="277" t="s">
        <v>1651</v>
      </c>
      <c r="AN77" s="732" t="s">
        <v>1652</v>
      </c>
      <c r="AO77" s="277" t="s">
        <v>1653</v>
      </c>
      <c r="AP77" s="311" t="s">
        <v>1654</v>
      </c>
      <c r="AQ77" s="277" t="s">
        <v>1655</v>
      </c>
      <c r="AR77" s="311" t="s">
        <v>1656</v>
      </c>
      <c r="AS77" s="108" t="str">
        <f>$CC77&amp;CD77&amp;CE77&amp;CF77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77" s="108"/>
      <c r="BB77" s="172"/>
      <c r="BQ77" s="606"/>
      <c r="BR77" s="172"/>
      <c r="CC77" s="191" t="str">
        <f t="shared" si="41"/>
        <v xml:space="preserve"> * La variable Pueblos Originarios Hombres no puede ser Mayor al Total Hombres.</v>
      </c>
      <c r="CD77" s="191" t="str">
        <f t="shared" si="42"/>
        <v xml:space="preserve"> * La variable Pueblos Originarios Mujeres no puede ser Mayor al Total Mujeres.</v>
      </c>
      <c r="CE77" s="191" t="str">
        <f t="shared" si="43"/>
        <v xml:space="preserve"> * La variable Migrantes Hombres no puede ser Mayor al Total Hombres.</v>
      </c>
      <c r="CF77" s="191" t="str">
        <f t="shared" ref="CF77:CF82" si="46">IF(AND($F77&gt;0,OR(AR77=""))," * No olvide digitar la variable Migrantes Mujeres. Digite Cero si no tiene.",IF(AR77&gt;$F77," * La variable Migrantes Mujeres no puede ser Mayor al Total Mujeres.",""))</f>
        <v xml:space="preserve"> * La variable Migrantes Mujeres no puede ser Mayor al Total Mujeres.</v>
      </c>
      <c r="CO77" s="1047">
        <f t="shared" si="44"/>
        <v>1</v>
      </c>
      <c r="CP77" s="1047">
        <f t="shared" ref="CP77:CP82" si="47">IF(AND($F77&gt;0,OR(AP77="")),1,IF(AP77&gt;$F77,1,0))</f>
        <v>1</v>
      </c>
      <c r="CQ77" s="1047">
        <f t="shared" si="45"/>
        <v>1</v>
      </c>
      <c r="CR77" s="1047">
        <f t="shared" ref="CR77:CR82" si="48">IF(AND($F77&gt;0,OR(AR77="")),1,IF(AR77&gt;$F77,1,0))</f>
        <v>1</v>
      </c>
    </row>
    <row r="78" spans="1:96" ht="15" customHeight="1" x14ac:dyDescent="0.25">
      <c r="A78" s="1585" t="s">
        <v>1212</v>
      </c>
      <c r="B78" s="1708"/>
      <c r="C78" s="1058" t="s">
        <v>492</v>
      </c>
      <c r="D78" s="1174" t="s">
        <v>1616</v>
      </c>
      <c r="E78" s="1170" t="s">
        <v>1617</v>
      </c>
      <c r="F78" s="893" t="s">
        <v>1618</v>
      </c>
      <c r="G78" s="996" t="s">
        <v>1619</v>
      </c>
      <c r="H78" s="935" t="s">
        <v>1620</v>
      </c>
      <c r="I78" s="934" t="s">
        <v>1621</v>
      </c>
      <c r="J78" s="935" t="s">
        <v>1622</v>
      </c>
      <c r="K78" s="934" t="s">
        <v>1623</v>
      </c>
      <c r="L78" s="935" t="s">
        <v>1624</v>
      </c>
      <c r="M78" s="934" t="s">
        <v>1625</v>
      </c>
      <c r="N78" s="935" t="s">
        <v>1626</v>
      </c>
      <c r="O78" s="934" t="s">
        <v>1627</v>
      </c>
      <c r="P78" s="935" t="s">
        <v>1628</v>
      </c>
      <c r="Q78" s="934" t="s">
        <v>1629</v>
      </c>
      <c r="R78" s="935" t="s">
        <v>1630</v>
      </c>
      <c r="S78" s="934" t="s">
        <v>1631</v>
      </c>
      <c r="T78" s="935" t="s">
        <v>1632</v>
      </c>
      <c r="U78" s="934" t="s">
        <v>1633</v>
      </c>
      <c r="V78" s="935" t="s">
        <v>1634</v>
      </c>
      <c r="W78" s="267" t="s">
        <v>1635</v>
      </c>
      <c r="X78" s="686" t="s">
        <v>1636</v>
      </c>
      <c r="Y78" s="267" t="s">
        <v>1637</v>
      </c>
      <c r="Z78" s="686" t="s">
        <v>1638</v>
      </c>
      <c r="AA78" s="267" t="s">
        <v>1639</v>
      </c>
      <c r="AB78" s="686" t="s">
        <v>1640</v>
      </c>
      <c r="AC78" s="267" t="s">
        <v>1641</v>
      </c>
      <c r="AD78" s="686" t="s">
        <v>1642</v>
      </c>
      <c r="AE78" s="267" t="s">
        <v>1643</v>
      </c>
      <c r="AF78" s="686" t="s">
        <v>1644</v>
      </c>
      <c r="AG78" s="267" t="s">
        <v>1645</v>
      </c>
      <c r="AH78" s="686" t="s">
        <v>1646</v>
      </c>
      <c r="AI78" s="267" t="s">
        <v>1647</v>
      </c>
      <c r="AJ78" s="686" t="s">
        <v>1648</v>
      </c>
      <c r="AK78" s="267" t="s">
        <v>1649</v>
      </c>
      <c r="AL78" s="686" t="s">
        <v>1650</v>
      </c>
      <c r="AM78" s="267" t="s">
        <v>1651</v>
      </c>
      <c r="AN78" s="580" t="s">
        <v>1652</v>
      </c>
      <c r="AO78" s="267" t="s">
        <v>1653</v>
      </c>
      <c r="AP78" s="686" t="s">
        <v>1654</v>
      </c>
      <c r="AQ78" s="267" t="s">
        <v>1655</v>
      </c>
      <c r="AR78" s="686" t="s">
        <v>1656</v>
      </c>
      <c r="AS78" s="108" t="str">
        <f t="shared" ref="AS78:AS83" si="49">$CC78&amp;CD78&amp;CE78&amp;CF78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78" s="108"/>
      <c r="BB78" s="172"/>
      <c r="BQ78" s="606"/>
      <c r="BR78" s="172"/>
      <c r="CC78" s="191" t="str">
        <f t="shared" si="41"/>
        <v xml:space="preserve"> * La variable Pueblos Originarios Hombres no puede ser Mayor al Total Hombres.</v>
      </c>
      <c r="CD78" s="191" t="str">
        <f t="shared" si="42"/>
        <v xml:space="preserve"> * La variable Pueblos Originarios Mujeres no puede ser Mayor al Total Mujeres.</v>
      </c>
      <c r="CE78" s="191" t="str">
        <f t="shared" si="43"/>
        <v xml:space="preserve"> * La variable Migrantes Hombres no puede ser Mayor al Total Hombres.</v>
      </c>
      <c r="CF78" s="191" t="str">
        <f t="shared" si="46"/>
        <v xml:space="preserve"> * La variable Migrantes Mujeres no puede ser Mayor al Total Mujeres.</v>
      </c>
      <c r="CO78" s="1047">
        <f t="shared" si="44"/>
        <v>1</v>
      </c>
      <c r="CP78" s="1047">
        <f t="shared" si="47"/>
        <v>1</v>
      </c>
      <c r="CQ78" s="1047">
        <f t="shared" si="45"/>
        <v>1</v>
      </c>
      <c r="CR78" s="1047">
        <f t="shared" si="48"/>
        <v>1</v>
      </c>
    </row>
    <row r="79" spans="1:96" ht="15" customHeight="1" x14ac:dyDescent="0.25">
      <c r="A79" s="1585" t="s">
        <v>1213</v>
      </c>
      <c r="B79" s="1970" t="s">
        <v>413</v>
      </c>
      <c r="C79" s="724" t="s">
        <v>490</v>
      </c>
      <c r="D79" s="1172" t="s">
        <v>1616</v>
      </c>
      <c r="E79" s="1168" t="s">
        <v>1617</v>
      </c>
      <c r="F79" s="897" t="s">
        <v>1618</v>
      </c>
      <c r="G79" s="261" t="s">
        <v>1619</v>
      </c>
      <c r="H79" s="309" t="s">
        <v>1620</v>
      </c>
      <c r="I79" s="262" t="s">
        <v>1621</v>
      </c>
      <c r="J79" s="309" t="s">
        <v>1622</v>
      </c>
      <c r="K79" s="262" t="s">
        <v>1623</v>
      </c>
      <c r="L79" s="309" t="s">
        <v>1624</v>
      </c>
      <c r="M79" s="262" t="s">
        <v>1625</v>
      </c>
      <c r="N79" s="309" t="s">
        <v>1626</v>
      </c>
      <c r="O79" s="262" t="s">
        <v>1627</v>
      </c>
      <c r="P79" s="309" t="s">
        <v>1628</v>
      </c>
      <c r="Q79" s="262" t="s">
        <v>1629</v>
      </c>
      <c r="R79" s="309" t="s">
        <v>1630</v>
      </c>
      <c r="S79" s="262" t="s">
        <v>1631</v>
      </c>
      <c r="T79" s="309" t="s">
        <v>1632</v>
      </c>
      <c r="U79" s="262" t="s">
        <v>1633</v>
      </c>
      <c r="V79" s="309" t="s">
        <v>1634</v>
      </c>
      <c r="W79" s="262" t="s">
        <v>1635</v>
      </c>
      <c r="X79" s="309" t="s">
        <v>1636</v>
      </c>
      <c r="Y79" s="262" t="s">
        <v>1637</v>
      </c>
      <c r="Z79" s="309" t="s">
        <v>1638</v>
      </c>
      <c r="AA79" s="262" t="s">
        <v>1639</v>
      </c>
      <c r="AB79" s="309" t="s">
        <v>1640</v>
      </c>
      <c r="AC79" s="262" t="s">
        <v>1641</v>
      </c>
      <c r="AD79" s="309" t="s">
        <v>1642</v>
      </c>
      <c r="AE79" s="262" t="s">
        <v>1643</v>
      </c>
      <c r="AF79" s="309" t="s">
        <v>1644</v>
      </c>
      <c r="AG79" s="262" t="s">
        <v>1645</v>
      </c>
      <c r="AH79" s="309" t="s">
        <v>1646</v>
      </c>
      <c r="AI79" s="262" t="s">
        <v>1647</v>
      </c>
      <c r="AJ79" s="309" t="s">
        <v>1648</v>
      </c>
      <c r="AK79" s="262" t="s">
        <v>1649</v>
      </c>
      <c r="AL79" s="309" t="s">
        <v>1650</v>
      </c>
      <c r="AM79" s="262" t="s">
        <v>1651</v>
      </c>
      <c r="AN79" s="578" t="s">
        <v>1652</v>
      </c>
      <c r="AO79" s="262" t="s">
        <v>1653</v>
      </c>
      <c r="AP79" s="309" t="s">
        <v>1654</v>
      </c>
      <c r="AQ79" s="262" t="s">
        <v>1655</v>
      </c>
      <c r="AR79" s="309" t="s">
        <v>1656</v>
      </c>
      <c r="AS79" s="108" t="str">
        <f t="shared" si="4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79" s="108"/>
      <c r="BB79" s="172"/>
      <c r="BQ79" s="606"/>
      <c r="BR79" s="172"/>
      <c r="CC79" s="191" t="str">
        <f t="shared" si="41"/>
        <v xml:space="preserve"> * La variable Pueblos Originarios Hombres no puede ser Mayor al Total Hombres.</v>
      </c>
      <c r="CD79" s="191" t="str">
        <f t="shared" si="42"/>
        <v xml:space="preserve"> * La variable Pueblos Originarios Mujeres no puede ser Mayor al Total Mujeres.</v>
      </c>
      <c r="CE79" s="191" t="str">
        <f t="shared" si="43"/>
        <v xml:space="preserve"> * La variable Migrantes Hombres no puede ser Mayor al Total Hombres.</v>
      </c>
      <c r="CF79" s="191" t="str">
        <f t="shared" si="46"/>
        <v xml:space="preserve"> * La variable Migrantes Mujeres no puede ser Mayor al Total Mujeres.</v>
      </c>
      <c r="CO79" s="1047">
        <f t="shared" si="44"/>
        <v>1</v>
      </c>
      <c r="CP79" s="1047">
        <f t="shared" si="47"/>
        <v>1</v>
      </c>
      <c r="CQ79" s="1047">
        <f t="shared" si="45"/>
        <v>1</v>
      </c>
      <c r="CR79" s="1047">
        <f t="shared" si="48"/>
        <v>1</v>
      </c>
    </row>
    <row r="80" spans="1:96" ht="15" customHeight="1" x14ac:dyDescent="0.25">
      <c r="A80" s="1585" t="s">
        <v>1214</v>
      </c>
      <c r="B80" s="1991"/>
      <c r="C80" s="1057" t="s">
        <v>491</v>
      </c>
      <c r="D80" s="1175" t="s">
        <v>1616</v>
      </c>
      <c r="E80" s="1171" t="s">
        <v>1617</v>
      </c>
      <c r="F80" s="899" t="s">
        <v>1618</v>
      </c>
      <c r="G80" s="310" t="s">
        <v>1619</v>
      </c>
      <c r="H80" s="311" t="s">
        <v>1620</v>
      </c>
      <c r="I80" s="277" t="s">
        <v>1621</v>
      </c>
      <c r="J80" s="311" t="s">
        <v>1622</v>
      </c>
      <c r="K80" s="277" t="s">
        <v>1623</v>
      </c>
      <c r="L80" s="311" t="s">
        <v>1624</v>
      </c>
      <c r="M80" s="277" t="s">
        <v>1625</v>
      </c>
      <c r="N80" s="311" t="s">
        <v>1626</v>
      </c>
      <c r="O80" s="277" t="s">
        <v>1627</v>
      </c>
      <c r="P80" s="311" t="s">
        <v>1628</v>
      </c>
      <c r="Q80" s="277" t="s">
        <v>1629</v>
      </c>
      <c r="R80" s="311" t="s">
        <v>1630</v>
      </c>
      <c r="S80" s="277" t="s">
        <v>1631</v>
      </c>
      <c r="T80" s="311" t="s">
        <v>1632</v>
      </c>
      <c r="U80" s="277" t="s">
        <v>1633</v>
      </c>
      <c r="V80" s="311" t="s">
        <v>1634</v>
      </c>
      <c r="W80" s="277" t="s">
        <v>1635</v>
      </c>
      <c r="X80" s="311" t="s">
        <v>1636</v>
      </c>
      <c r="Y80" s="277" t="s">
        <v>1637</v>
      </c>
      <c r="Z80" s="311" t="s">
        <v>1638</v>
      </c>
      <c r="AA80" s="277" t="s">
        <v>1639</v>
      </c>
      <c r="AB80" s="311" t="s">
        <v>1640</v>
      </c>
      <c r="AC80" s="277" t="s">
        <v>1641</v>
      </c>
      <c r="AD80" s="311" t="s">
        <v>1642</v>
      </c>
      <c r="AE80" s="277" t="s">
        <v>1643</v>
      </c>
      <c r="AF80" s="311" t="s">
        <v>1644</v>
      </c>
      <c r="AG80" s="277" t="s">
        <v>1645</v>
      </c>
      <c r="AH80" s="311" t="s">
        <v>1646</v>
      </c>
      <c r="AI80" s="277" t="s">
        <v>1647</v>
      </c>
      <c r="AJ80" s="311" t="s">
        <v>1648</v>
      </c>
      <c r="AK80" s="277" t="s">
        <v>1649</v>
      </c>
      <c r="AL80" s="311" t="s">
        <v>1650</v>
      </c>
      <c r="AM80" s="277" t="s">
        <v>1651</v>
      </c>
      <c r="AN80" s="732" t="s">
        <v>1652</v>
      </c>
      <c r="AO80" s="277" t="s">
        <v>1653</v>
      </c>
      <c r="AP80" s="311" t="s">
        <v>1654</v>
      </c>
      <c r="AQ80" s="277" t="s">
        <v>1655</v>
      </c>
      <c r="AR80" s="311" t="s">
        <v>1656</v>
      </c>
      <c r="AS80" s="108" t="str">
        <f t="shared" si="4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80" s="108"/>
      <c r="BB80" s="172"/>
      <c r="BQ80" s="606"/>
      <c r="BR80" s="172"/>
      <c r="CC80" s="191" t="str">
        <f t="shared" si="41"/>
        <v xml:space="preserve"> * La variable Pueblos Originarios Hombres no puede ser Mayor al Total Hombres.</v>
      </c>
      <c r="CD80" s="191" t="str">
        <f t="shared" si="42"/>
        <v xml:space="preserve"> * La variable Pueblos Originarios Mujeres no puede ser Mayor al Total Mujeres.</v>
      </c>
      <c r="CE80" s="191" t="str">
        <f t="shared" si="43"/>
        <v xml:space="preserve"> * La variable Migrantes Hombres no puede ser Mayor al Total Hombres.</v>
      </c>
      <c r="CF80" s="191" t="str">
        <f t="shared" si="46"/>
        <v xml:space="preserve"> * La variable Migrantes Mujeres no puede ser Mayor al Total Mujeres.</v>
      </c>
      <c r="CO80" s="1047">
        <f t="shared" si="44"/>
        <v>1</v>
      </c>
      <c r="CP80" s="1047">
        <f t="shared" si="47"/>
        <v>1</v>
      </c>
      <c r="CQ80" s="1047">
        <f t="shared" si="45"/>
        <v>1</v>
      </c>
      <c r="CR80" s="1047">
        <f t="shared" si="48"/>
        <v>1</v>
      </c>
    </row>
    <row r="81" spans="1:96" ht="15" customHeight="1" x14ac:dyDescent="0.25">
      <c r="A81" s="1585" t="s">
        <v>1215</v>
      </c>
      <c r="B81" s="1708"/>
      <c r="C81" s="1058" t="s">
        <v>492</v>
      </c>
      <c r="D81" s="1174" t="s">
        <v>1616</v>
      </c>
      <c r="E81" s="1170" t="s">
        <v>1617</v>
      </c>
      <c r="F81" s="893" t="s">
        <v>1618</v>
      </c>
      <c r="G81" s="748" t="s">
        <v>1619</v>
      </c>
      <c r="H81" s="686" t="s">
        <v>1620</v>
      </c>
      <c r="I81" s="267" t="s">
        <v>1621</v>
      </c>
      <c r="J81" s="686" t="s">
        <v>1622</v>
      </c>
      <c r="K81" s="267" t="s">
        <v>1623</v>
      </c>
      <c r="L81" s="686" t="s">
        <v>1624</v>
      </c>
      <c r="M81" s="267" t="s">
        <v>1625</v>
      </c>
      <c r="N81" s="686" t="s">
        <v>1626</v>
      </c>
      <c r="O81" s="267" t="s">
        <v>1627</v>
      </c>
      <c r="P81" s="686" t="s">
        <v>1628</v>
      </c>
      <c r="Q81" s="267" t="s">
        <v>1629</v>
      </c>
      <c r="R81" s="686" t="s">
        <v>1630</v>
      </c>
      <c r="S81" s="267" t="s">
        <v>1631</v>
      </c>
      <c r="T81" s="686" t="s">
        <v>1632</v>
      </c>
      <c r="U81" s="267" t="s">
        <v>1633</v>
      </c>
      <c r="V81" s="686" t="s">
        <v>1634</v>
      </c>
      <c r="W81" s="267" t="s">
        <v>1635</v>
      </c>
      <c r="X81" s="686" t="s">
        <v>1636</v>
      </c>
      <c r="Y81" s="267" t="s">
        <v>1637</v>
      </c>
      <c r="Z81" s="686" t="s">
        <v>1638</v>
      </c>
      <c r="AA81" s="267" t="s">
        <v>1639</v>
      </c>
      <c r="AB81" s="686" t="s">
        <v>1640</v>
      </c>
      <c r="AC81" s="267" t="s">
        <v>1641</v>
      </c>
      <c r="AD81" s="686" t="s">
        <v>1642</v>
      </c>
      <c r="AE81" s="267" t="s">
        <v>1643</v>
      </c>
      <c r="AF81" s="686" t="s">
        <v>1644</v>
      </c>
      <c r="AG81" s="267" t="s">
        <v>1645</v>
      </c>
      <c r="AH81" s="686" t="s">
        <v>1646</v>
      </c>
      <c r="AI81" s="267" t="s">
        <v>1647</v>
      </c>
      <c r="AJ81" s="686" t="s">
        <v>1648</v>
      </c>
      <c r="AK81" s="267" t="s">
        <v>1649</v>
      </c>
      <c r="AL81" s="686" t="s">
        <v>1650</v>
      </c>
      <c r="AM81" s="267" t="s">
        <v>1651</v>
      </c>
      <c r="AN81" s="580" t="s">
        <v>1652</v>
      </c>
      <c r="AO81" s="267" t="s">
        <v>1653</v>
      </c>
      <c r="AP81" s="686" t="s">
        <v>1654</v>
      </c>
      <c r="AQ81" s="267" t="s">
        <v>1655</v>
      </c>
      <c r="AR81" s="686" t="s">
        <v>1656</v>
      </c>
      <c r="AS81" s="108" t="str">
        <f t="shared" si="4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81" s="108"/>
      <c r="BB81" s="172"/>
      <c r="BQ81" s="606"/>
      <c r="BR81" s="172"/>
      <c r="CC81" s="191" t="str">
        <f t="shared" si="41"/>
        <v xml:space="preserve"> * La variable Pueblos Originarios Hombres no puede ser Mayor al Total Hombres.</v>
      </c>
      <c r="CD81" s="191" t="str">
        <f t="shared" si="42"/>
        <v xml:space="preserve"> * La variable Pueblos Originarios Mujeres no puede ser Mayor al Total Mujeres.</v>
      </c>
      <c r="CE81" s="191" t="str">
        <f t="shared" si="43"/>
        <v xml:space="preserve"> * La variable Migrantes Hombres no puede ser Mayor al Total Hombres.</v>
      </c>
      <c r="CF81" s="191" t="str">
        <f t="shared" si="46"/>
        <v xml:space="preserve"> * La variable Migrantes Mujeres no puede ser Mayor al Total Mujeres.</v>
      </c>
      <c r="CO81" s="1047">
        <f t="shared" si="44"/>
        <v>1</v>
      </c>
      <c r="CP81" s="1047">
        <f t="shared" si="47"/>
        <v>1</v>
      </c>
      <c r="CQ81" s="1047">
        <f t="shared" si="45"/>
        <v>1</v>
      </c>
      <c r="CR81" s="1047">
        <f t="shared" si="48"/>
        <v>1</v>
      </c>
    </row>
    <row r="82" spans="1:96" ht="15" customHeight="1" x14ac:dyDescent="0.25">
      <c r="A82" s="1585" t="s">
        <v>1216</v>
      </c>
      <c r="B82" s="1973" t="s">
        <v>493</v>
      </c>
      <c r="C82" s="724" t="s">
        <v>490</v>
      </c>
      <c r="D82" s="1172" t="s">
        <v>1616</v>
      </c>
      <c r="E82" s="1168" t="s">
        <v>1617</v>
      </c>
      <c r="F82" s="897" t="s">
        <v>1618</v>
      </c>
      <c r="G82" s="261" t="s">
        <v>1619</v>
      </c>
      <c r="H82" s="687" t="s">
        <v>1620</v>
      </c>
      <c r="I82" s="262" t="s">
        <v>1621</v>
      </c>
      <c r="J82" s="687" t="s">
        <v>1622</v>
      </c>
      <c r="K82" s="262" t="s">
        <v>1623</v>
      </c>
      <c r="L82" s="687" t="s">
        <v>1624</v>
      </c>
      <c r="M82" s="262" t="s">
        <v>1625</v>
      </c>
      <c r="N82" s="687" t="s">
        <v>1626</v>
      </c>
      <c r="O82" s="262" t="s">
        <v>1627</v>
      </c>
      <c r="P82" s="687" t="s">
        <v>1628</v>
      </c>
      <c r="Q82" s="262" t="s">
        <v>1629</v>
      </c>
      <c r="R82" s="687" t="s">
        <v>1630</v>
      </c>
      <c r="S82" s="262" t="s">
        <v>1631</v>
      </c>
      <c r="T82" s="687" t="s">
        <v>1632</v>
      </c>
      <c r="U82" s="262" t="s">
        <v>1633</v>
      </c>
      <c r="V82" s="687" t="s">
        <v>1634</v>
      </c>
      <c r="W82" s="262" t="s">
        <v>1635</v>
      </c>
      <c r="X82" s="687" t="s">
        <v>1636</v>
      </c>
      <c r="Y82" s="262" t="s">
        <v>1637</v>
      </c>
      <c r="Z82" s="687" t="s">
        <v>1638</v>
      </c>
      <c r="AA82" s="262" t="s">
        <v>1639</v>
      </c>
      <c r="AB82" s="687" t="s">
        <v>1640</v>
      </c>
      <c r="AC82" s="262" t="s">
        <v>1641</v>
      </c>
      <c r="AD82" s="687" t="s">
        <v>1642</v>
      </c>
      <c r="AE82" s="262" t="s">
        <v>1643</v>
      </c>
      <c r="AF82" s="687" t="s">
        <v>1644</v>
      </c>
      <c r="AG82" s="262" t="s">
        <v>1645</v>
      </c>
      <c r="AH82" s="687" t="s">
        <v>1646</v>
      </c>
      <c r="AI82" s="262" t="s">
        <v>1647</v>
      </c>
      <c r="AJ82" s="687" t="s">
        <v>1648</v>
      </c>
      <c r="AK82" s="262" t="s">
        <v>1649</v>
      </c>
      <c r="AL82" s="687" t="s">
        <v>1650</v>
      </c>
      <c r="AM82" s="274" t="s">
        <v>1651</v>
      </c>
      <c r="AN82" s="746" t="s">
        <v>1652</v>
      </c>
      <c r="AO82" s="274" t="s">
        <v>1653</v>
      </c>
      <c r="AP82" s="687" t="s">
        <v>1654</v>
      </c>
      <c r="AQ82" s="274" t="s">
        <v>1655</v>
      </c>
      <c r="AR82" s="687" t="s">
        <v>1656</v>
      </c>
      <c r="AS82" s="108" t="str">
        <f t="shared" si="4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82" s="108"/>
      <c r="BB82" s="172"/>
      <c r="BQ82" s="606"/>
      <c r="BR82" s="172"/>
      <c r="CB82" s="191" t="str">
        <f>IF(SUM(D18:D19)&gt;=SUM(D76:D78),"","* El total de Enfermedad Pulmonar Obstructiva Crónica (EPOC) en ambos sexo no puede ser mayor al total de Enfermedad Pulmonar Obstructiva Crónica (EPOC) de ambos sexo de la Sección A. ")</f>
        <v/>
      </c>
      <c r="CC82" s="191" t="str">
        <f t="shared" si="41"/>
        <v xml:space="preserve"> * La variable Pueblos Originarios Hombres no puede ser Mayor al Total Hombres.</v>
      </c>
      <c r="CD82" s="191" t="str">
        <f t="shared" si="42"/>
        <v xml:space="preserve"> * La variable Pueblos Originarios Mujeres no puede ser Mayor al Total Mujeres.</v>
      </c>
      <c r="CE82" s="191" t="str">
        <f t="shared" si="43"/>
        <v xml:space="preserve"> * La variable Migrantes Hombres no puede ser Mayor al Total Hombres.</v>
      </c>
      <c r="CF82" s="191" t="str">
        <f t="shared" si="46"/>
        <v xml:space="preserve"> * La variable Migrantes Mujeres no puede ser Mayor al Total Mujeres.</v>
      </c>
      <c r="CN82" s="1047">
        <f>IF(SUM(D18:D19)&gt;=SUM(D76:D78),0,1)</f>
        <v>0</v>
      </c>
      <c r="CO82" s="1047">
        <f t="shared" si="44"/>
        <v>1</v>
      </c>
      <c r="CP82" s="1047">
        <f t="shared" si="47"/>
        <v>1</v>
      </c>
      <c r="CQ82" s="1047">
        <f t="shared" si="45"/>
        <v>1</v>
      </c>
      <c r="CR82" s="1047">
        <f t="shared" si="48"/>
        <v>1</v>
      </c>
    </row>
    <row r="83" spans="1:96" ht="15" customHeight="1" x14ac:dyDescent="0.25">
      <c r="A83" s="1585" t="s">
        <v>1217</v>
      </c>
      <c r="B83" s="1974"/>
      <c r="C83" s="1057" t="s">
        <v>494</v>
      </c>
      <c r="D83" s="1173" t="s">
        <v>1616</v>
      </c>
      <c r="E83" s="1169" t="s">
        <v>1617</v>
      </c>
      <c r="F83" s="898" t="s">
        <v>1618</v>
      </c>
      <c r="G83" s="373" t="s">
        <v>1619</v>
      </c>
      <c r="H83" s="374" t="s">
        <v>1620</v>
      </c>
      <c r="I83" s="281" t="s">
        <v>1621</v>
      </c>
      <c r="J83" s="374" t="s">
        <v>1622</v>
      </c>
      <c r="K83" s="281" t="s">
        <v>1623</v>
      </c>
      <c r="L83" s="374" t="s">
        <v>1624</v>
      </c>
      <c r="M83" s="281" t="s">
        <v>1625</v>
      </c>
      <c r="N83" s="374" t="s">
        <v>1626</v>
      </c>
      <c r="O83" s="281" t="s">
        <v>1627</v>
      </c>
      <c r="P83" s="374" t="s">
        <v>1628</v>
      </c>
      <c r="Q83" s="281" t="s">
        <v>1629</v>
      </c>
      <c r="R83" s="374" t="s">
        <v>1630</v>
      </c>
      <c r="S83" s="281" t="s">
        <v>1631</v>
      </c>
      <c r="T83" s="374" t="s">
        <v>1632</v>
      </c>
      <c r="U83" s="281" t="s">
        <v>1633</v>
      </c>
      <c r="V83" s="374" t="s">
        <v>1634</v>
      </c>
      <c r="W83" s="281" t="s">
        <v>1635</v>
      </c>
      <c r="X83" s="374" t="s">
        <v>1636</v>
      </c>
      <c r="Y83" s="281" t="s">
        <v>1637</v>
      </c>
      <c r="Z83" s="374" t="s">
        <v>1638</v>
      </c>
      <c r="AA83" s="281" t="s">
        <v>1639</v>
      </c>
      <c r="AB83" s="374" t="s">
        <v>1640</v>
      </c>
      <c r="AC83" s="281" t="s">
        <v>1641</v>
      </c>
      <c r="AD83" s="374" t="s">
        <v>1642</v>
      </c>
      <c r="AE83" s="281" t="s">
        <v>1643</v>
      </c>
      <c r="AF83" s="374" t="s">
        <v>1644</v>
      </c>
      <c r="AG83" s="281" t="s">
        <v>1645</v>
      </c>
      <c r="AH83" s="374" t="s">
        <v>1646</v>
      </c>
      <c r="AI83" s="281" t="s">
        <v>1647</v>
      </c>
      <c r="AJ83" s="374" t="s">
        <v>1648</v>
      </c>
      <c r="AK83" s="281" t="s">
        <v>1649</v>
      </c>
      <c r="AL83" s="374" t="s">
        <v>1650</v>
      </c>
      <c r="AM83" s="281" t="s">
        <v>1651</v>
      </c>
      <c r="AN83" s="733" t="s">
        <v>1652</v>
      </c>
      <c r="AO83" s="281" t="s">
        <v>1653</v>
      </c>
      <c r="AP83" s="374" t="s">
        <v>1654</v>
      </c>
      <c r="AQ83" s="281" t="s">
        <v>1655</v>
      </c>
      <c r="AR83" s="374" t="s">
        <v>1656</v>
      </c>
      <c r="AS83" s="108" t="str">
        <f t="shared" si="4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83" s="108"/>
      <c r="BB83" s="172"/>
      <c r="BQ83" s="606"/>
      <c r="BR83" s="172"/>
      <c r="CC83" s="191" t="str">
        <f t="shared" ref="CC83:CC84" si="50">IF(AND($E83&gt;0,OR(AO83=""))," * No olvide digitar la variable Pueblos Originarios Hombres. Digite Cero si no tiene.",IF(AO83&gt;$E83," * La variable Pueblos Originarios Hombres no puede ser Mayor al Total Hombres.",""))</f>
        <v xml:space="preserve"> * La variable Pueblos Originarios Hombres no puede ser Mayor al Total Hombres.</v>
      </c>
      <c r="CD83" s="191" t="str">
        <f t="shared" ref="CD83:CD84" si="51">IF(AND($F83&gt;0,OR(AP83=""))," * No olvide digitar la variable Pueblos Originarios Mujeres. Digite Cero si no tiene.",IF(AP83&gt;$F83," * La variable Pueblos Originarios Mujeres no puede ser Mayor al Total Mujeres.",""))</f>
        <v xml:space="preserve"> * La variable Pueblos Originarios Mujeres no puede ser Mayor al Total Mujeres.</v>
      </c>
      <c r="CE83" s="191" t="str">
        <f t="shared" ref="CE83:CE84" si="52">IF(AND($E83&gt;0,OR(AQ83=""))," * No olvide digitar la variable Migrantes Hombres. Digite Cero si no tiene.",IF(AQ83&gt;$E83," * La variable Migrantes Hombres no puede ser Mayor al Total Hombres.",""))</f>
        <v xml:space="preserve"> * La variable Migrantes Hombres no puede ser Mayor al Total Hombres.</v>
      </c>
      <c r="CF83" s="191" t="str">
        <f t="shared" ref="CF83:CF84" si="53">IF(AND($F83&gt;0,OR(AR83=""))," * No olvide digitar la variable Migrantes Mujeres. Digite Cero si no tiene.",IF(AR83&gt;$F83," * La variable Migrantes Mujeres no puede ser Mayor al Total Mujeres.",""))</f>
        <v xml:space="preserve"> * La variable Migrantes Mujeres no puede ser Mayor al Total Mujeres.</v>
      </c>
      <c r="CO83" s="1047">
        <f t="shared" ref="CO83:CO84" si="54">IF(AND($E83&gt;0,OR(AO83="")),1,IF(AO83&gt;$E83,1,0))</f>
        <v>1</v>
      </c>
      <c r="CP83" s="1047">
        <f t="shared" ref="CP83:CP84" si="55">IF(AND($F83&gt;0,OR(AP83="")),1,IF(AP83&gt;$F83,1,0))</f>
        <v>1</v>
      </c>
      <c r="CQ83" s="1047">
        <f t="shared" ref="CQ83:CQ84" si="56">IF(AND($E83&gt;0,OR(AQ83="")),1,IF(AQ83&gt;$E83,1,0))</f>
        <v>1</v>
      </c>
      <c r="CR83" s="1047">
        <f t="shared" ref="CR83:CR84" si="57">IF(AND($F83&gt;0,OR(AR83="")),1,IF(AR83&gt;$F83,1,0))</f>
        <v>1</v>
      </c>
    </row>
    <row r="84" spans="1:96" ht="15" customHeight="1" x14ac:dyDescent="0.25">
      <c r="A84" s="1585" t="s">
        <v>1218</v>
      </c>
      <c r="B84" s="1975"/>
      <c r="C84" s="1058" t="s">
        <v>492</v>
      </c>
      <c r="D84" s="1174" t="s">
        <v>1616</v>
      </c>
      <c r="E84" s="1170" t="s">
        <v>1617</v>
      </c>
      <c r="F84" s="893" t="s">
        <v>1618</v>
      </c>
      <c r="G84" s="290" t="s">
        <v>1619</v>
      </c>
      <c r="H84" s="312" t="s">
        <v>1620</v>
      </c>
      <c r="I84" s="268" t="s">
        <v>1621</v>
      </c>
      <c r="J84" s="312" t="s">
        <v>1622</v>
      </c>
      <c r="K84" s="268" t="s">
        <v>1623</v>
      </c>
      <c r="L84" s="312" t="s">
        <v>1624</v>
      </c>
      <c r="M84" s="268" t="s">
        <v>1625</v>
      </c>
      <c r="N84" s="312" t="s">
        <v>1626</v>
      </c>
      <c r="O84" s="268" t="s">
        <v>1627</v>
      </c>
      <c r="P84" s="312" t="s">
        <v>1628</v>
      </c>
      <c r="Q84" s="268" t="s">
        <v>1629</v>
      </c>
      <c r="R84" s="312" t="s">
        <v>1630</v>
      </c>
      <c r="S84" s="268" t="s">
        <v>1631</v>
      </c>
      <c r="T84" s="312" t="s">
        <v>1632</v>
      </c>
      <c r="U84" s="268" t="s">
        <v>1633</v>
      </c>
      <c r="V84" s="312" t="s">
        <v>1634</v>
      </c>
      <c r="W84" s="268" t="s">
        <v>1635</v>
      </c>
      <c r="X84" s="312" t="s">
        <v>1636</v>
      </c>
      <c r="Y84" s="268" t="s">
        <v>1637</v>
      </c>
      <c r="Z84" s="312" t="s">
        <v>1638</v>
      </c>
      <c r="AA84" s="268" t="s">
        <v>1639</v>
      </c>
      <c r="AB84" s="312" t="s">
        <v>1640</v>
      </c>
      <c r="AC84" s="268" t="s">
        <v>1641</v>
      </c>
      <c r="AD84" s="312" t="s">
        <v>1642</v>
      </c>
      <c r="AE84" s="268" t="s">
        <v>1643</v>
      </c>
      <c r="AF84" s="312" t="s">
        <v>1644</v>
      </c>
      <c r="AG84" s="268" t="s">
        <v>1645</v>
      </c>
      <c r="AH84" s="312" t="s">
        <v>1646</v>
      </c>
      <c r="AI84" s="268" t="s">
        <v>1647</v>
      </c>
      <c r="AJ84" s="312" t="s">
        <v>1648</v>
      </c>
      <c r="AK84" s="268" t="s">
        <v>1649</v>
      </c>
      <c r="AL84" s="312" t="s">
        <v>1650</v>
      </c>
      <c r="AM84" s="268" t="s">
        <v>1651</v>
      </c>
      <c r="AN84" s="734" t="s">
        <v>1652</v>
      </c>
      <c r="AO84" s="268" t="s">
        <v>1653</v>
      </c>
      <c r="AP84" s="312" t="s">
        <v>1654</v>
      </c>
      <c r="AQ84" s="268" t="s">
        <v>1655</v>
      </c>
      <c r="AR84" s="312" t="s">
        <v>1656</v>
      </c>
      <c r="AS84" s="108" t="str">
        <f t="shared" ref="AS84" si="58">$CB84&amp;CC84&amp;CD84&amp;CE84&amp;CF84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84" s="108"/>
      <c r="BB84" s="172"/>
      <c r="BQ84" s="606"/>
      <c r="BR84" s="172"/>
      <c r="CC84" s="191" t="str">
        <f t="shared" si="50"/>
        <v xml:space="preserve"> * La variable Pueblos Originarios Hombres no puede ser Mayor al Total Hombres.</v>
      </c>
      <c r="CD84" s="191" t="str">
        <f t="shared" si="51"/>
        <v xml:space="preserve"> * La variable Pueblos Originarios Mujeres no puede ser Mayor al Total Mujeres.</v>
      </c>
      <c r="CE84" s="191" t="str">
        <f t="shared" si="52"/>
        <v xml:space="preserve"> * La variable Migrantes Hombres no puede ser Mayor al Total Hombres.</v>
      </c>
      <c r="CF84" s="191" t="str">
        <f t="shared" si="53"/>
        <v xml:space="preserve"> * La variable Migrantes Mujeres no puede ser Mayor al Total Mujeres.</v>
      </c>
      <c r="CO84" s="1047">
        <f t="shared" si="54"/>
        <v>1</v>
      </c>
      <c r="CP84" s="1047">
        <f t="shared" si="55"/>
        <v>1</v>
      </c>
      <c r="CQ84" s="1047">
        <f t="shared" si="56"/>
        <v>1</v>
      </c>
      <c r="CR84" s="1047">
        <f t="shared" si="57"/>
        <v>1</v>
      </c>
    </row>
    <row r="86" spans="1:96" x14ac:dyDescent="0.25">
      <c r="A86" s="108" t="s">
        <v>1017</v>
      </c>
    </row>
    <row r="87" spans="1:96" x14ac:dyDescent="0.25">
      <c r="A87" s="1594" t="s">
        <v>1177</v>
      </c>
    </row>
    <row r="88" spans="1:96" x14ac:dyDescent="0.25">
      <c r="A88" s="1594" t="s">
        <v>1178</v>
      </c>
    </row>
    <row r="89" spans="1:96" x14ac:dyDescent="0.25">
      <c r="A89" s="1594" t="s">
        <v>1179</v>
      </c>
    </row>
    <row r="90" spans="1:96" x14ac:dyDescent="0.25">
      <c r="A90" s="1593" t="s">
        <v>1197</v>
      </c>
    </row>
    <row r="91" spans="1:96" x14ac:dyDescent="0.25">
      <c r="A91" s="1593"/>
    </row>
    <row r="92" spans="1:96" x14ac:dyDescent="0.25">
      <c r="A92" s="1593"/>
    </row>
    <row r="93" spans="1:96" ht="10.5" hidden="1" x14ac:dyDescent="0.15">
      <c r="B93" s="1484">
        <f>SUM(D12:D47,C52,D57:D60,D65:D71,D76:D84)</f>
        <v>0</v>
      </c>
      <c r="C93" s="189" t="s">
        <v>206</v>
      </c>
      <c r="BA93" s="108"/>
      <c r="BB93" s="108"/>
      <c r="BC93" s="108"/>
      <c r="BD93" s="108"/>
      <c r="BE93" s="108"/>
      <c r="BF93" s="108"/>
      <c r="BG93" s="108"/>
      <c r="BH93" s="108"/>
      <c r="BI93" s="108"/>
      <c r="BJ93" s="108"/>
      <c r="BK93" s="108"/>
      <c r="BL93" s="108"/>
      <c r="BM93" s="108"/>
      <c r="BN93" s="108"/>
      <c r="BO93" s="108"/>
      <c r="BP93" s="108"/>
      <c r="BQ93" s="108"/>
    </row>
    <row r="94" spans="1:96" ht="10.5" hidden="1" x14ac:dyDescent="0.15">
      <c r="B94" s="1484" t="e">
        <f>SUM(CN12:CW82)</f>
        <v>#VALUE!</v>
      </c>
      <c r="C94" s="189" t="s">
        <v>207</v>
      </c>
      <c r="BA94" s="108"/>
      <c r="BB94" s="108"/>
      <c r="BC94" s="108"/>
      <c r="BD94" s="108"/>
      <c r="BE94" s="108"/>
      <c r="BF94" s="108"/>
      <c r="BG94" s="108"/>
      <c r="BH94" s="108"/>
      <c r="BI94" s="108"/>
      <c r="BJ94" s="108"/>
      <c r="BK94" s="108"/>
      <c r="BL94" s="108"/>
      <c r="BM94" s="108"/>
      <c r="BN94" s="108"/>
      <c r="BO94" s="108"/>
      <c r="BP94" s="108"/>
      <c r="BQ94" s="108"/>
    </row>
    <row r="95" spans="1:96" ht="14.45" customHeight="1" x14ac:dyDescent="0.25"/>
  </sheetData>
  <mergeCells count="126">
    <mergeCell ref="B76:B78"/>
    <mergeCell ref="B79:B81"/>
    <mergeCell ref="K55:L55"/>
    <mergeCell ref="B69:B71"/>
    <mergeCell ref="AC63:AD63"/>
    <mergeCell ref="AE63:AF63"/>
    <mergeCell ref="I63:J63"/>
    <mergeCell ref="K63:L63"/>
    <mergeCell ref="M63:N63"/>
    <mergeCell ref="O63:P63"/>
    <mergeCell ref="Q63:R63"/>
    <mergeCell ref="S63:T63"/>
    <mergeCell ref="U63:V63"/>
    <mergeCell ref="B65:B68"/>
    <mergeCell ref="G63:H63"/>
    <mergeCell ref="I55:J55"/>
    <mergeCell ref="B73:B75"/>
    <mergeCell ref="B62:C64"/>
    <mergeCell ref="Y63:Z63"/>
    <mergeCell ref="AA63:AB63"/>
    <mergeCell ref="C73:C75"/>
    <mergeCell ref="D73:F74"/>
    <mergeCell ref="S55:T55"/>
    <mergeCell ref="W63:X63"/>
    <mergeCell ref="B82:B84"/>
    <mergeCell ref="B54:C56"/>
    <mergeCell ref="B57:B60"/>
    <mergeCell ref="G73:AN73"/>
    <mergeCell ref="AM74:AN74"/>
    <mergeCell ref="S74:T74"/>
    <mergeCell ref="U74:V74"/>
    <mergeCell ref="G74:H74"/>
    <mergeCell ref="I74:J74"/>
    <mergeCell ref="K74:L74"/>
    <mergeCell ref="M74:N74"/>
    <mergeCell ref="O74:P74"/>
    <mergeCell ref="Q74:R74"/>
    <mergeCell ref="W74:X74"/>
    <mergeCell ref="Y74:Z74"/>
    <mergeCell ref="AA74:AB74"/>
    <mergeCell ref="AC74:AD74"/>
    <mergeCell ref="AE74:AF74"/>
    <mergeCell ref="AG74:AH74"/>
    <mergeCell ref="AI74:AJ74"/>
    <mergeCell ref="AK74:AL74"/>
    <mergeCell ref="M55:N55"/>
    <mergeCell ref="AM55:AN55"/>
    <mergeCell ref="G54:AN54"/>
    <mergeCell ref="AC55:AD55"/>
    <mergeCell ref="AC10:AD10"/>
    <mergeCell ref="B20:C20"/>
    <mergeCell ref="B12:B14"/>
    <mergeCell ref="B35:B37"/>
    <mergeCell ref="B30:C30"/>
    <mergeCell ref="B31:C31"/>
    <mergeCell ref="AG55:AH55"/>
    <mergeCell ref="AA10:AB10"/>
    <mergeCell ref="B29:C29"/>
    <mergeCell ref="B34:C34"/>
    <mergeCell ref="B21:C21"/>
    <mergeCell ref="B45:B47"/>
    <mergeCell ref="E50:E51"/>
    <mergeCell ref="D50:D51"/>
    <mergeCell ref="C50:C51"/>
    <mergeCell ref="B50:B51"/>
    <mergeCell ref="AI63:AJ63"/>
    <mergeCell ref="D62:F63"/>
    <mergeCell ref="G62:AN62"/>
    <mergeCell ref="AE55:AF55"/>
    <mergeCell ref="D54:F55"/>
    <mergeCell ref="AI55:AJ55"/>
    <mergeCell ref="F50:O50"/>
    <mergeCell ref="B61:AN61"/>
    <mergeCell ref="B9:C11"/>
    <mergeCell ref="D9:F10"/>
    <mergeCell ref="U10:V10"/>
    <mergeCell ref="G10:H10"/>
    <mergeCell ref="Y10:Z10"/>
    <mergeCell ref="W10:X10"/>
    <mergeCell ref="B53:AN53"/>
    <mergeCell ref="O55:P55"/>
    <mergeCell ref="AK55:AL55"/>
    <mergeCell ref="Y55:Z55"/>
    <mergeCell ref="U55:V55"/>
    <mergeCell ref="W55:X55"/>
    <mergeCell ref="AA55:AB55"/>
    <mergeCell ref="Q55:R55"/>
    <mergeCell ref="B15:B17"/>
    <mergeCell ref="B18:B19"/>
    <mergeCell ref="AO54:AP55"/>
    <mergeCell ref="AQ54:AR55"/>
    <mergeCell ref="AO62:AP63"/>
    <mergeCell ref="AQ62:AR63"/>
    <mergeCell ref="AO73:AP74"/>
    <mergeCell ref="AQ73:AR74"/>
    <mergeCell ref="AO9:AO11"/>
    <mergeCell ref="I10:J10"/>
    <mergeCell ref="K10:L10"/>
    <mergeCell ref="M10:N10"/>
    <mergeCell ref="O10:P10"/>
    <mergeCell ref="AG10:AH10"/>
    <mergeCell ref="AI10:AJ10"/>
    <mergeCell ref="G9:AN9"/>
    <mergeCell ref="AK10:AL10"/>
    <mergeCell ref="S10:T10"/>
    <mergeCell ref="AM10:AN10"/>
    <mergeCell ref="Q10:R10"/>
    <mergeCell ref="AE10:AF10"/>
    <mergeCell ref="AG63:AH63"/>
    <mergeCell ref="AR9:AS10"/>
    <mergeCell ref="G55:H55"/>
    <mergeCell ref="AK63:AL63"/>
    <mergeCell ref="AM63:AN63"/>
    <mergeCell ref="B7:U7"/>
    <mergeCell ref="AP9:AQ10"/>
    <mergeCell ref="B38:B44"/>
    <mergeCell ref="B32:C32"/>
    <mergeCell ref="B33:C33"/>
    <mergeCell ref="B22:C22"/>
    <mergeCell ref="B23:C23"/>
    <mergeCell ref="B24:C24"/>
    <mergeCell ref="B49:AQ49"/>
    <mergeCell ref="B25:C25"/>
    <mergeCell ref="B26:C26"/>
    <mergeCell ref="B27:C27"/>
    <mergeCell ref="B28:C28"/>
  </mergeCells>
  <phoneticPr fontId="25" type="noConversion"/>
  <dataValidations count="2">
    <dataValidation allowBlank="1" showInputMessage="1" showErrorMessage="1" errorTitle=" Error de ingreso" error="Debe ingresar sólo números enteros positivos." sqref="C57:C1048576 B76 B79 B82 B85:B1048576 B57 B61:B73 U52:CK52 G61:AR64 D53:F1048576 CS50:XFD52 G85:AR1048576 G53:AR56 AR11:AS11 AR1:AR9 G48:CI48 P50:CO51 AS1:XFD8 B52:B54 M51:O52 G51:L51 P52 AT9:XFD11 CN12:CN47 G8:U11 G49:XFD49 CV38:XFD43 CN76 CU12:XFD37 CN52:CS52 CT44:XFD47 CB53:CE56 CL48:XFD48 CN53:CQ56 CB61:CE64 CN61:CQ64 CN71 CN65 AT12:BZ47 AS76:AS1048576 CN72:CQ75 CC85:CE1048576 CB12:CB47 B48:B50 C8:C19 D6:E6 C35:C53 CS12:CT47 CG12:CI47 D1:L5 D8:F51 V1:AQ11 M1:U6 C1:C6 B6:B45 CB65:CB71 AS53:CA64 AS65:BZ71 CB76:CB82 G72:CE75 AT76:BZ82 CF53:CM1048576 AT83:CB1048576 CR53:XFD1048576 CN82:CN1048576 CO85:CQ1048576" xr:uid="{00000000-0002-0000-0300-000000000000}"/>
    <dataValidation type="whole" operator="greaterThanOrEqual" allowBlank="1" showInputMessage="1" showErrorMessage="1" errorTitle=" Error de ingreso" error="Debe ingresar sólo números enteros positivos." sqref="D52:L52 G57:AR60 G65:AR71 G76:AR84 G12:AS47" xr:uid="{00000000-0002-0000-03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colBreaks count="1" manualBreakCount="1">
    <brk id="20" max="1048575" man="1"/>
  </colBreaks>
  <ignoredErrors>
    <ignoredError sqref="CO58:CO60 CP65:CP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T131"/>
  <sheetViews>
    <sheetView showGridLines="0" zoomScaleNormal="100" workbookViewId="0"/>
  </sheetViews>
  <sheetFormatPr baseColWidth="10" defaultColWidth="11.42578125" defaultRowHeight="10.5" x14ac:dyDescent="0.15"/>
  <cols>
    <col min="1" max="1" width="17" style="108" customWidth="1"/>
    <col min="2" max="2" width="32.28515625" style="108" customWidth="1"/>
    <col min="3" max="3" width="55.140625" style="108" customWidth="1"/>
    <col min="4" max="4" width="12.5703125" style="108" customWidth="1"/>
    <col min="5" max="5" width="10.140625" style="108" customWidth="1"/>
    <col min="6" max="6" width="9.7109375" style="108" customWidth="1"/>
    <col min="7" max="37" width="8.85546875" style="108" customWidth="1"/>
    <col min="38" max="38" width="9.5703125" style="108" customWidth="1"/>
    <col min="39" max="39" width="16.42578125" style="108" customWidth="1"/>
    <col min="40" max="40" width="22" style="108" customWidth="1"/>
    <col min="41" max="50" width="11.42578125" style="108" customWidth="1"/>
    <col min="51" max="51" width="10.85546875" style="108" customWidth="1"/>
    <col min="52" max="53" width="11.42578125" style="108" customWidth="1"/>
    <col min="54" max="78" width="16.42578125" style="108" customWidth="1"/>
    <col min="79" max="125" width="16.42578125" style="108" hidden="1" customWidth="1"/>
    <col min="126" max="150" width="11.42578125" style="108" hidden="1" customWidth="1"/>
    <col min="151" max="16384" width="11.42578125" style="108"/>
  </cols>
  <sheetData>
    <row r="1" spans="1:119" s="34" customFormat="1" ht="13.5" customHeight="1" x14ac:dyDescent="0.15">
      <c r="B1" s="33" t="s">
        <v>0</v>
      </c>
    </row>
    <row r="2" spans="1:119" s="34" customFormat="1" ht="13.5" customHeight="1" x14ac:dyDescent="0.15">
      <c r="B2" s="33" t="str">
        <f>CONCATENATE("COMUNA: ",NOMBRE!$B$2,"   ","( ",NOMBRE!$C$2,NOMBRE!$D$2,NOMBRE!$E$2,NOMBRE!$F$2,NOMBRE!$G$2," )")</f>
        <v>COMUNA:    (  )</v>
      </c>
    </row>
    <row r="3" spans="1:119" s="34" customFormat="1" ht="13.5" customHeight="1" x14ac:dyDescent="0.15">
      <c r="B3" s="33" t="str">
        <f>CONCATENATE("ESTABLECIMIENTO/ESTRATEGIA: ",NOMBRE!$B$3,"   ","( ",NOMBRE!$C$3,NOMBRE!$D$3,NOMBRE!$E$3,NOMBRE!$F$3,NOMBRE!$G$3,NOMBRE!$H$3," )")</f>
        <v>ESTABLECIMIENTO/ESTRATEGIA:    (  )</v>
      </c>
      <c r="E3" s="83"/>
    </row>
    <row r="4" spans="1:119" s="34" customFormat="1" ht="13.5" customHeight="1" x14ac:dyDescent="0.15">
      <c r="B4" s="33" t="str">
        <f>CONCATENATE("MES: ",NOMBRE!$B$6,"   ","( ",NOMBRE!$C$6,NOMBRE!$D$6," )")</f>
        <v>MES:    (  )</v>
      </c>
    </row>
    <row r="5" spans="1:119" s="34" customFormat="1" ht="13.5" customHeight="1" x14ac:dyDescent="0.15">
      <c r="B5" s="33" t="str">
        <f>CONCATENATE("AÑO: ",NOMBRE!$B$7)</f>
        <v>AÑO: 2025</v>
      </c>
    </row>
    <row r="6" spans="1:119" s="34" customFormat="1" ht="15" customHeight="1" x14ac:dyDescent="0.15">
      <c r="B6" s="100"/>
      <c r="AA6" s="108"/>
    </row>
    <row r="7" spans="1:119" ht="21.75" customHeight="1" x14ac:dyDescent="0.15">
      <c r="B7" s="2045" t="s">
        <v>495</v>
      </c>
      <c r="C7" s="2045"/>
      <c r="D7" s="2045"/>
      <c r="E7" s="2045"/>
      <c r="F7" s="2045"/>
      <c r="G7" s="2045"/>
      <c r="H7" s="2045"/>
      <c r="I7" s="2045"/>
      <c r="J7" s="2045"/>
      <c r="K7" s="2045"/>
      <c r="L7" s="2045"/>
      <c r="M7" s="2045"/>
      <c r="N7" s="2045"/>
      <c r="O7" s="2045"/>
      <c r="P7" s="2045"/>
      <c r="Q7" s="2045"/>
      <c r="R7" s="2045"/>
      <c r="S7" s="2045"/>
      <c r="T7" s="2045"/>
      <c r="U7" s="2045"/>
      <c r="V7" s="2045"/>
    </row>
    <row r="8" spans="1:119" ht="17.100000000000001" customHeight="1" x14ac:dyDescent="0.15">
      <c r="B8" s="2048" t="s">
        <v>496</v>
      </c>
      <c r="C8" s="2048"/>
      <c r="D8" s="2048"/>
      <c r="E8" s="2048"/>
      <c r="F8" s="2048"/>
      <c r="G8" s="2048"/>
      <c r="H8" s="2048"/>
      <c r="I8" s="2048"/>
      <c r="J8" s="2048"/>
      <c r="K8" s="2048"/>
      <c r="L8" s="2048"/>
      <c r="M8" s="2048"/>
      <c r="N8" s="2048"/>
      <c r="O8" s="2048"/>
      <c r="P8" s="2048"/>
      <c r="Q8" s="2048"/>
      <c r="R8" s="2048"/>
      <c r="S8" s="2048"/>
      <c r="T8" s="2048"/>
      <c r="U8" s="2048"/>
      <c r="V8" s="2048"/>
      <c r="W8" s="2048"/>
      <c r="X8" s="2048"/>
      <c r="Y8" s="2048"/>
      <c r="Z8" s="2048"/>
      <c r="AA8" s="2048"/>
      <c r="AB8" s="2048"/>
      <c r="AC8" s="2048"/>
      <c r="AD8" s="2048"/>
      <c r="AE8" s="2048"/>
      <c r="AF8" s="2048"/>
      <c r="AG8" s="2048"/>
      <c r="AH8" s="2048"/>
    </row>
    <row r="9" spans="1:119" ht="13.5" customHeight="1" x14ac:dyDescent="0.15">
      <c r="B9" s="2011" t="s">
        <v>445</v>
      </c>
      <c r="C9" s="2013"/>
      <c r="D9" s="2011" t="s">
        <v>497</v>
      </c>
      <c r="E9" s="2012"/>
      <c r="F9" s="2013"/>
      <c r="G9" s="2017" t="s">
        <v>376</v>
      </c>
      <c r="H9" s="2006"/>
      <c r="I9" s="2006"/>
      <c r="J9" s="2006"/>
      <c r="K9" s="2006"/>
      <c r="L9" s="2006"/>
      <c r="M9" s="2006"/>
      <c r="N9" s="2006"/>
      <c r="O9" s="2006"/>
      <c r="P9" s="2006"/>
      <c r="Q9" s="2006"/>
      <c r="R9" s="2006"/>
      <c r="S9" s="2006"/>
      <c r="T9" s="2006"/>
      <c r="U9" s="2006"/>
      <c r="V9" s="2006"/>
      <c r="W9" s="2006"/>
      <c r="X9" s="2006"/>
      <c r="Y9" s="2006"/>
      <c r="Z9" s="2006"/>
      <c r="AA9" s="2006"/>
      <c r="AB9" s="2006"/>
      <c r="AC9" s="2006"/>
      <c r="AD9" s="2006"/>
      <c r="AE9" s="2006"/>
      <c r="AF9" s="2006"/>
      <c r="AG9" s="2006"/>
      <c r="AH9" s="2006"/>
      <c r="AI9" s="2064" t="s">
        <v>51</v>
      </c>
      <c r="AJ9" s="1970"/>
      <c r="AK9" s="1970" t="s">
        <v>52</v>
      </c>
      <c r="AL9" s="1970"/>
      <c r="AM9" s="1377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BA9" s="179"/>
      <c r="CB9" s="2053"/>
      <c r="CC9" s="2053"/>
      <c r="CD9" s="2053"/>
      <c r="CE9" s="2053"/>
      <c r="CH9" s="2053"/>
      <c r="CI9" s="2053"/>
      <c r="CJ9" s="2053"/>
    </row>
    <row r="10" spans="1:119" ht="18.75" customHeight="1" x14ac:dyDescent="0.15">
      <c r="B10" s="2046"/>
      <c r="C10" s="2047"/>
      <c r="D10" s="2014"/>
      <c r="E10" s="2015"/>
      <c r="F10" s="2016"/>
      <c r="G10" s="2033" t="s">
        <v>57</v>
      </c>
      <c r="H10" s="2034"/>
      <c r="I10" s="2033" t="s">
        <v>58</v>
      </c>
      <c r="J10" s="2034"/>
      <c r="K10" s="1931" t="s">
        <v>59</v>
      </c>
      <c r="L10" s="1931"/>
      <c r="M10" s="1937" t="s">
        <v>60</v>
      </c>
      <c r="N10" s="1853"/>
      <c r="O10" s="1931" t="s">
        <v>61</v>
      </c>
      <c r="P10" s="1931"/>
      <c r="Q10" s="1937" t="s">
        <v>62</v>
      </c>
      <c r="R10" s="1853"/>
      <c r="S10" s="1931" t="s">
        <v>63</v>
      </c>
      <c r="T10" s="1931"/>
      <c r="U10" s="1937" t="s">
        <v>64</v>
      </c>
      <c r="V10" s="1853"/>
      <c r="W10" s="1931" t="s">
        <v>65</v>
      </c>
      <c r="X10" s="1931"/>
      <c r="Y10" s="1937" t="s">
        <v>66</v>
      </c>
      <c r="Z10" s="1853"/>
      <c r="AA10" s="1932" t="s">
        <v>67</v>
      </c>
      <c r="AB10" s="1933"/>
      <c r="AC10" s="1932" t="s">
        <v>406</v>
      </c>
      <c r="AD10" s="1933"/>
      <c r="AE10" s="1932" t="s">
        <v>407</v>
      </c>
      <c r="AF10" s="1933"/>
      <c r="AG10" s="1932" t="s">
        <v>408</v>
      </c>
      <c r="AH10" s="1938"/>
      <c r="AI10" s="1679"/>
      <c r="AJ10" s="1708"/>
      <c r="AK10" s="1708"/>
      <c r="AL10" s="1708"/>
      <c r="AM10" s="184"/>
      <c r="AN10" s="184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BA10" s="179"/>
      <c r="CB10" s="2053"/>
      <c r="CC10" s="2053"/>
      <c r="CD10" s="2053"/>
      <c r="CE10" s="2053"/>
      <c r="CH10" s="2053"/>
      <c r="CI10" s="2053"/>
      <c r="CJ10" s="2053"/>
    </row>
    <row r="11" spans="1:119" ht="23.25" customHeight="1" x14ac:dyDescent="0.15">
      <c r="B11" s="2014"/>
      <c r="C11" s="2016"/>
      <c r="D11" s="1471" t="s">
        <v>226</v>
      </c>
      <c r="E11" s="1485" t="s">
        <v>86</v>
      </c>
      <c r="F11" s="1486" t="s">
        <v>227</v>
      </c>
      <c r="G11" s="1264" t="s">
        <v>86</v>
      </c>
      <c r="H11" s="1486" t="s">
        <v>227</v>
      </c>
      <c r="I11" s="1264" t="s">
        <v>86</v>
      </c>
      <c r="J11" s="1486" t="s">
        <v>227</v>
      </c>
      <c r="K11" s="1264" t="s">
        <v>86</v>
      </c>
      <c r="L11" s="1486" t="s">
        <v>227</v>
      </c>
      <c r="M11" s="1264" t="s">
        <v>86</v>
      </c>
      <c r="N11" s="1486" t="s">
        <v>227</v>
      </c>
      <c r="O11" s="1264" t="s">
        <v>86</v>
      </c>
      <c r="P11" s="1486" t="s">
        <v>227</v>
      </c>
      <c r="Q11" s="1264" t="s">
        <v>86</v>
      </c>
      <c r="R11" s="1486" t="s">
        <v>227</v>
      </c>
      <c r="S11" s="1264" t="s">
        <v>86</v>
      </c>
      <c r="T11" s="1486" t="s">
        <v>227</v>
      </c>
      <c r="U11" s="1264" t="s">
        <v>86</v>
      </c>
      <c r="V11" s="1486" t="s">
        <v>227</v>
      </c>
      <c r="W11" s="1264" t="s">
        <v>86</v>
      </c>
      <c r="X11" s="1486" t="s">
        <v>227</v>
      </c>
      <c r="Y11" s="1264" t="s">
        <v>86</v>
      </c>
      <c r="Z11" s="1486" t="s">
        <v>227</v>
      </c>
      <c r="AA11" s="1264" t="s">
        <v>410</v>
      </c>
      <c r="AB11" s="1486" t="s">
        <v>227</v>
      </c>
      <c r="AC11" s="1264" t="s">
        <v>410</v>
      </c>
      <c r="AD11" s="1486" t="s">
        <v>227</v>
      </c>
      <c r="AE11" s="1264" t="s">
        <v>410</v>
      </c>
      <c r="AF11" s="1486" t="s">
        <v>227</v>
      </c>
      <c r="AG11" s="1260" t="s">
        <v>410</v>
      </c>
      <c r="AH11" s="87" t="s">
        <v>227</v>
      </c>
      <c r="AI11" s="1034" t="s">
        <v>86</v>
      </c>
      <c r="AJ11" s="1486" t="s">
        <v>227</v>
      </c>
      <c r="AK11" s="1264" t="s">
        <v>86</v>
      </c>
      <c r="AL11" s="1486" t="s">
        <v>227</v>
      </c>
      <c r="AM11" s="101"/>
      <c r="AN11" s="101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CB11" s="101"/>
      <c r="CC11" s="101"/>
      <c r="CD11" s="101"/>
      <c r="CE11" s="101"/>
      <c r="CH11" s="2053"/>
      <c r="CI11" s="1064"/>
      <c r="CJ11" s="1064"/>
    </row>
    <row r="12" spans="1:119" ht="15" customHeight="1" x14ac:dyDescent="0.2">
      <c r="A12" s="1589" t="s">
        <v>1219</v>
      </c>
      <c r="B12" s="2049" t="s">
        <v>498</v>
      </c>
      <c r="C12" s="2050"/>
      <c r="D12" s="1487" t="s">
        <v>1616</v>
      </c>
      <c r="E12" s="1488" t="s">
        <v>1617</v>
      </c>
      <c r="F12" s="1489" t="s">
        <v>1618</v>
      </c>
      <c r="G12" s="1265" t="s">
        <v>1619</v>
      </c>
      <c r="H12" s="1489" t="s">
        <v>1620</v>
      </c>
      <c r="I12" s="1265" t="s">
        <v>1621</v>
      </c>
      <c r="J12" s="1489" t="s">
        <v>1622</v>
      </c>
      <c r="K12" s="1265" t="s">
        <v>1623</v>
      </c>
      <c r="L12" s="1489" t="s">
        <v>1624</v>
      </c>
      <c r="M12" s="1265" t="s">
        <v>1625</v>
      </c>
      <c r="N12" s="1489" t="s">
        <v>1626</v>
      </c>
      <c r="O12" s="1265" t="s">
        <v>1627</v>
      </c>
      <c r="P12" s="1489" t="s">
        <v>1628</v>
      </c>
      <c r="Q12" s="1265" t="s">
        <v>1629</v>
      </c>
      <c r="R12" s="1489" t="s">
        <v>1630</v>
      </c>
      <c r="S12" s="1265" t="s">
        <v>1631</v>
      </c>
      <c r="T12" s="1489" t="s">
        <v>1632</v>
      </c>
      <c r="U12" s="1265" t="s">
        <v>1633</v>
      </c>
      <c r="V12" s="1489" t="s">
        <v>1634</v>
      </c>
      <c r="W12" s="1265" t="s">
        <v>1635</v>
      </c>
      <c r="X12" s="1489" t="s">
        <v>1636</v>
      </c>
      <c r="Y12" s="1265" t="s">
        <v>1637</v>
      </c>
      <c r="Z12" s="1489" t="s">
        <v>1638</v>
      </c>
      <c r="AA12" s="1265" t="s">
        <v>1639</v>
      </c>
      <c r="AB12" s="1489" t="s">
        <v>1640</v>
      </c>
      <c r="AC12" s="1265" t="s">
        <v>1641</v>
      </c>
      <c r="AD12" s="1489" t="s">
        <v>1642</v>
      </c>
      <c r="AE12" s="1265" t="s">
        <v>1643</v>
      </c>
      <c r="AF12" s="1489" t="s">
        <v>1644</v>
      </c>
      <c r="AG12" s="1265" t="s">
        <v>1645</v>
      </c>
      <c r="AH12" s="1266" t="s">
        <v>1646</v>
      </c>
      <c r="AI12" s="1033" t="s">
        <v>1647</v>
      </c>
      <c r="AJ12" s="1489" t="s">
        <v>1648</v>
      </c>
      <c r="AK12" s="1265" t="s">
        <v>1649</v>
      </c>
      <c r="AL12" s="1489" t="s">
        <v>1650</v>
      </c>
      <c r="AM12" s="36"/>
      <c r="AN12" s="86"/>
    </row>
    <row r="13" spans="1:119" ht="15" customHeight="1" x14ac:dyDescent="0.2">
      <c r="A13" s="1589" t="s">
        <v>1220</v>
      </c>
      <c r="B13" s="2003" t="s">
        <v>499</v>
      </c>
      <c r="C13" s="102" t="s">
        <v>500</v>
      </c>
      <c r="D13" s="1142" t="s">
        <v>1616</v>
      </c>
      <c r="E13" s="387" t="s">
        <v>1617</v>
      </c>
      <c r="F13" s="443" t="s">
        <v>1618</v>
      </c>
      <c r="G13" s="394" t="s">
        <v>1619</v>
      </c>
      <c r="H13" s="395" t="s">
        <v>1620</v>
      </c>
      <c r="I13" s="394" t="s">
        <v>1621</v>
      </c>
      <c r="J13" s="395" t="s">
        <v>1622</v>
      </c>
      <c r="K13" s="394" t="s">
        <v>1623</v>
      </c>
      <c r="L13" s="395" t="s">
        <v>1624</v>
      </c>
      <c r="M13" s="394" t="s">
        <v>1625</v>
      </c>
      <c r="N13" s="395" t="s">
        <v>1626</v>
      </c>
      <c r="O13" s="394" t="s">
        <v>1627</v>
      </c>
      <c r="P13" s="395" t="s">
        <v>1628</v>
      </c>
      <c r="Q13" s="394" t="s">
        <v>1629</v>
      </c>
      <c r="R13" s="395" t="s">
        <v>1630</v>
      </c>
      <c r="S13" s="394" t="s">
        <v>1631</v>
      </c>
      <c r="T13" s="395" t="s">
        <v>1632</v>
      </c>
      <c r="U13" s="394" t="s">
        <v>1633</v>
      </c>
      <c r="V13" s="395" t="s">
        <v>1634</v>
      </c>
      <c r="W13" s="394" t="s">
        <v>1635</v>
      </c>
      <c r="X13" s="395" t="s">
        <v>1636</v>
      </c>
      <c r="Y13" s="394" t="s">
        <v>1637</v>
      </c>
      <c r="Z13" s="395" t="s">
        <v>1638</v>
      </c>
      <c r="AA13" s="394" t="s">
        <v>1639</v>
      </c>
      <c r="AB13" s="395" t="s">
        <v>1640</v>
      </c>
      <c r="AC13" s="394" t="s">
        <v>1641</v>
      </c>
      <c r="AD13" s="395" t="s">
        <v>1642</v>
      </c>
      <c r="AE13" s="394" t="s">
        <v>1643</v>
      </c>
      <c r="AF13" s="395" t="s">
        <v>1644</v>
      </c>
      <c r="AG13" s="394" t="s">
        <v>1645</v>
      </c>
      <c r="AH13" s="406" t="s">
        <v>1646</v>
      </c>
      <c r="AI13" s="412" t="s">
        <v>1647</v>
      </c>
      <c r="AJ13" s="461" t="s">
        <v>1648</v>
      </c>
      <c r="AK13" s="394" t="s">
        <v>1649</v>
      </c>
      <c r="AL13" s="461" t="s">
        <v>1650</v>
      </c>
      <c r="AM13" s="36" t="str">
        <f>CB13&amp;CC13&amp;CD13&amp;CE13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13" s="86"/>
      <c r="CB13" s="191" t="str">
        <f>IF(AND(E13&gt;0,OR(AI13=""))," * No olvide digitar la variable Pueblos Originarios Hombres. Digite Cero si no tiene.",IF(AI13&gt;E13," * La variable Pueblos Originarios Hombres no puede ser Mayor al Total Hombres.",""))</f>
        <v xml:space="preserve"> * La variable Pueblos Originarios Hombres no puede ser Mayor al Total Hombres.</v>
      </c>
      <c r="CC13" s="191" t="str">
        <f>IF(AND(F13&gt;0,OR(AJ13=""))," * No olvide digitar la variable Pueblos Originarios Mujeres. Digite Cero si no tiene.",IF(AJ13&gt;F13," * La variable Pueblos Originarios Mujeres no puede ser Mayor al Total Mujeres.",""))</f>
        <v xml:space="preserve"> * La variable Pueblos Originarios Mujeres no puede ser Mayor al Total Mujeres.</v>
      </c>
      <c r="CD13" s="191" t="str">
        <f>IF(AND($E13&gt;0,OR(AK13=""))," * No olvide digitar la variable Migrantes Hombres. Digite Cero si no tiene.",IF(AK13&gt;$E13," * La variable Migrantes Hombres no puede ser Mayor al Total Hombres.",""))</f>
        <v xml:space="preserve"> * La variable Migrantes Hombres no puede ser Mayor al Total Hombres.</v>
      </c>
      <c r="CE13" s="191" t="str">
        <f>IF(AND(F13&gt;0,OR(AL13=""))," * No olvide digitar la variable Migrantes Mujeres. Digite Cero si no tiene.",IF(AL13&gt;F13," * La variable Migrantes Mujeres no puede ser Mayor al Total Mujeres.",""))</f>
        <v xml:space="preserve"> * La variable Migrantes Mujeres no puede ser Mayor al Total Mujeres.</v>
      </c>
      <c r="DL13" s="1047">
        <f t="shared" ref="DL13:DL23" si="0">IF(AND(E13&gt;0,OR(AI13="")),1,IF(AI13&gt;E13,1,0))</f>
        <v>1</v>
      </c>
      <c r="DM13" s="1047">
        <f t="shared" ref="DM13:DM23" si="1">IF(AND(F13&gt;0,OR(AJ13="")),1,IF(AJ13&gt;F13,1,0))</f>
        <v>1</v>
      </c>
      <c r="DN13" s="1047">
        <f t="shared" ref="DN13:DN23" si="2">IF(AND(E13&gt;0,OR(AK13="")),1,IF(AK13&gt;E13,1,0))</f>
        <v>1</v>
      </c>
      <c r="DO13" s="1047">
        <f t="shared" ref="DO13:DO23" si="3">IF(AND(F13&gt;0,OR(AL13="")),1,IF(AL13&gt;F13,1,0))</f>
        <v>1</v>
      </c>
    </row>
    <row r="14" spans="1:119" ht="15" customHeight="1" x14ac:dyDescent="0.2">
      <c r="A14" s="1589" t="s">
        <v>1221</v>
      </c>
      <c r="B14" s="2004"/>
      <c r="C14" s="103" t="s">
        <v>283</v>
      </c>
      <c r="D14" s="1147" t="s">
        <v>1616</v>
      </c>
      <c r="E14" s="397" t="s">
        <v>1617</v>
      </c>
      <c r="F14" s="444" t="s">
        <v>1618</v>
      </c>
      <c r="G14" s="417" t="s">
        <v>1619</v>
      </c>
      <c r="H14" s="418" t="s">
        <v>1620</v>
      </c>
      <c r="I14" s="417" t="s">
        <v>1621</v>
      </c>
      <c r="J14" s="418" t="s">
        <v>1622</v>
      </c>
      <c r="K14" s="417" t="s">
        <v>1623</v>
      </c>
      <c r="L14" s="418" t="s">
        <v>1624</v>
      </c>
      <c r="M14" s="417" t="s">
        <v>1625</v>
      </c>
      <c r="N14" s="418" t="s">
        <v>1626</v>
      </c>
      <c r="O14" s="417" t="s">
        <v>1627</v>
      </c>
      <c r="P14" s="418" t="s">
        <v>1628</v>
      </c>
      <c r="Q14" s="417" t="s">
        <v>1629</v>
      </c>
      <c r="R14" s="418" t="s">
        <v>1630</v>
      </c>
      <c r="S14" s="417" t="s">
        <v>1631</v>
      </c>
      <c r="T14" s="418" t="s">
        <v>1632</v>
      </c>
      <c r="U14" s="417" t="s">
        <v>1633</v>
      </c>
      <c r="V14" s="418" t="s">
        <v>1634</v>
      </c>
      <c r="W14" s="417" t="s">
        <v>1635</v>
      </c>
      <c r="X14" s="418" t="s">
        <v>1636</v>
      </c>
      <c r="Y14" s="417" t="s">
        <v>1637</v>
      </c>
      <c r="Z14" s="418" t="s">
        <v>1638</v>
      </c>
      <c r="AA14" s="417" t="s">
        <v>1639</v>
      </c>
      <c r="AB14" s="418" t="s">
        <v>1640</v>
      </c>
      <c r="AC14" s="417" t="s">
        <v>1641</v>
      </c>
      <c r="AD14" s="418" t="s">
        <v>1642</v>
      </c>
      <c r="AE14" s="417" t="s">
        <v>1643</v>
      </c>
      <c r="AF14" s="418" t="s">
        <v>1644</v>
      </c>
      <c r="AG14" s="417" t="s">
        <v>1645</v>
      </c>
      <c r="AH14" s="419" t="s">
        <v>1646</v>
      </c>
      <c r="AI14" s="445" t="s">
        <v>1647</v>
      </c>
      <c r="AJ14" s="533" t="s">
        <v>1648</v>
      </c>
      <c r="AK14" s="398" t="s">
        <v>1649</v>
      </c>
      <c r="AL14" s="533" t="s">
        <v>1650</v>
      </c>
      <c r="AM14" s="36" t="str">
        <f t="shared" ref="AM14:AM23" si="4">CB14&amp;CC14&amp;CD14&amp;CE14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14" s="86"/>
      <c r="CB14" s="191" t="str">
        <f t="shared" ref="CB14:CB23" si="5">IF(AND(E14&gt;0,OR(AI14=""))," * No olvide digitar la variable Pueblos Originarios Hombres. Digite Cero si no tiene.",IF(AI14&gt;E14," * La variable Pueblos Originarios Hombres no puede ser Mayor al Total Hombres.",""))</f>
        <v xml:space="preserve"> * La variable Pueblos Originarios Hombres no puede ser Mayor al Total Hombres.</v>
      </c>
      <c r="CC14" s="191" t="str">
        <f t="shared" ref="CC14:CC23" si="6">IF(AND(F14&gt;0,OR(AJ14=""))," * No olvide digitar la variable Pueblos Originarios Mujeres. Digite Cero si no tiene.",IF(AJ14&gt;F14," * La variable Pueblos Originarios Mujeres no puede ser Mayor al Total Mujeres.",""))</f>
        <v xml:space="preserve"> * La variable Pueblos Originarios Mujeres no puede ser Mayor al Total Mujeres.</v>
      </c>
      <c r="CD14" s="191" t="str">
        <f t="shared" ref="CD14:CD23" si="7">IF(AND($E14&gt;0,OR(AK14=""))," * No olvide digitar la variable Migrantes Hombres. Digite Cero si no tiene.",IF(AK14&gt;$E14," * La variable Migrantes Hombres no puede ser Mayor al Total Hombres.",""))</f>
        <v xml:space="preserve"> * La variable Migrantes Hombres no puede ser Mayor al Total Hombres.</v>
      </c>
      <c r="CE14" s="191" t="str">
        <f t="shared" ref="CE14:CE23" si="8">IF(AND(F14&gt;0,OR(AL14=""))," * No olvide digitar la variable Migrantes Mujeres. Digite Cero si no tiene.",IF(AL14&gt;F14," * La variable Migrantes Mujeres no puede ser Mayor al Total Mujeres.",""))</f>
        <v xml:space="preserve"> * La variable Migrantes Mujeres no puede ser Mayor al Total Mujeres.</v>
      </c>
      <c r="DL14" s="1047">
        <f t="shared" si="0"/>
        <v>1</v>
      </c>
      <c r="DM14" s="1047">
        <f t="shared" si="1"/>
        <v>1</v>
      </c>
      <c r="DN14" s="1047">
        <f t="shared" si="2"/>
        <v>1</v>
      </c>
      <c r="DO14" s="1047">
        <f t="shared" si="3"/>
        <v>1</v>
      </c>
    </row>
    <row r="15" spans="1:119" ht="15" customHeight="1" x14ac:dyDescent="0.2">
      <c r="A15" s="1589" t="s">
        <v>1222</v>
      </c>
      <c r="B15" s="2005"/>
      <c r="C15" s="728" t="s">
        <v>501</v>
      </c>
      <c r="D15" s="1143" t="s">
        <v>1616</v>
      </c>
      <c r="E15" s="391" t="s">
        <v>1617</v>
      </c>
      <c r="F15" s="446" t="s">
        <v>1618</v>
      </c>
      <c r="G15" s="413" t="s">
        <v>1619</v>
      </c>
      <c r="H15" s="414" t="s">
        <v>1620</v>
      </c>
      <c r="I15" s="413" t="s">
        <v>1621</v>
      </c>
      <c r="J15" s="414" t="s">
        <v>1622</v>
      </c>
      <c r="K15" s="413" t="s">
        <v>1623</v>
      </c>
      <c r="L15" s="414" t="s">
        <v>1624</v>
      </c>
      <c r="M15" s="413" t="s">
        <v>1625</v>
      </c>
      <c r="N15" s="414" t="s">
        <v>1626</v>
      </c>
      <c r="O15" s="413" t="s">
        <v>1627</v>
      </c>
      <c r="P15" s="414" t="s">
        <v>1628</v>
      </c>
      <c r="Q15" s="413" t="s">
        <v>1629</v>
      </c>
      <c r="R15" s="414" t="s">
        <v>1630</v>
      </c>
      <c r="S15" s="413" t="s">
        <v>1631</v>
      </c>
      <c r="T15" s="414" t="s">
        <v>1632</v>
      </c>
      <c r="U15" s="413" t="s">
        <v>1633</v>
      </c>
      <c r="V15" s="414" t="s">
        <v>1634</v>
      </c>
      <c r="W15" s="413" t="s">
        <v>1635</v>
      </c>
      <c r="X15" s="414" t="s">
        <v>1636</v>
      </c>
      <c r="Y15" s="413" t="s">
        <v>1637</v>
      </c>
      <c r="Z15" s="414" t="s">
        <v>1638</v>
      </c>
      <c r="AA15" s="413" t="s">
        <v>1639</v>
      </c>
      <c r="AB15" s="414" t="s">
        <v>1640</v>
      </c>
      <c r="AC15" s="413" t="s">
        <v>1641</v>
      </c>
      <c r="AD15" s="414" t="s">
        <v>1642</v>
      </c>
      <c r="AE15" s="413" t="s">
        <v>1643</v>
      </c>
      <c r="AF15" s="414" t="s">
        <v>1644</v>
      </c>
      <c r="AG15" s="413" t="s">
        <v>1645</v>
      </c>
      <c r="AH15" s="415" t="s">
        <v>1646</v>
      </c>
      <c r="AI15" s="416" t="s">
        <v>1647</v>
      </c>
      <c r="AJ15" s="442" t="s">
        <v>1648</v>
      </c>
      <c r="AK15" s="403" t="s">
        <v>1649</v>
      </c>
      <c r="AL15" s="442" t="s">
        <v>1650</v>
      </c>
      <c r="AM15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15" s="86"/>
      <c r="CB15" s="191" t="str">
        <f t="shared" si="5"/>
        <v xml:space="preserve"> * La variable Pueblos Originarios Hombres no puede ser Mayor al Total Hombres.</v>
      </c>
      <c r="CC15" s="191" t="str">
        <f t="shared" si="6"/>
        <v xml:space="preserve"> * La variable Pueblos Originarios Mujeres no puede ser Mayor al Total Mujeres.</v>
      </c>
      <c r="CD15" s="191" t="str">
        <f t="shared" si="7"/>
        <v xml:space="preserve"> * La variable Migrantes Hombres no puede ser Mayor al Total Hombres.</v>
      </c>
      <c r="CE15" s="191" t="str">
        <f t="shared" si="8"/>
        <v xml:space="preserve"> * La variable Migrantes Mujeres no puede ser Mayor al Total Mujeres.</v>
      </c>
      <c r="DL15" s="1047">
        <f t="shared" si="0"/>
        <v>1</v>
      </c>
      <c r="DM15" s="1047">
        <f t="shared" si="1"/>
        <v>1</v>
      </c>
      <c r="DN15" s="1047">
        <f t="shared" si="2"/>
        <v>1</v>
      </c>
      <c r="DO15" s="1047">
        <f t="shared" si="3"/>
        <v>1</v>
      </c>
    </row>
    <row r="16" spans="1:119" ht="15" customHeight="1" x14ac:dyDescent="0.2">
      <c r="A16" s="1589" t="s">
        <v>1223</v>
      </c>
      <c r="B16" s="2003" t="s">
        <v>502</v>
      </c>
      <c r="C16" s="1378" t="s">
        <v>326</v>
      </c>
      <c r="D16" s="1145" t="s">
        <v>1616</v>
      </c>
      <c r="E16" s="392" t="s">
        <v>1617</v>
      </c>
      <c r="F16" s="447" t="s">
        <v>1618</v>
      </c>
      <c r="G16" s="394" t="s">
        <v>1619</v>
      </c>
      <c r="H16" s="395" t="s">
        <v>1620</v>
      </c>
      <c r="I16" s="394" t="s">
        <v>1621</v>
      </c>
      <c r="J16" s="395" t="s">
        <v>1622</v>
      </c>
      <c r="K16" s="394" t="s">
        <v>1623</v>
      </c>
      <c r="L16" s="395" t="s">
        <v>1624</v>
      </c>
      <c r="M16" s="394" t="s">
        <v>1625</v>
      </c>
      <c r="N16" s="395" t="s">
        <v>1626</v>
      </c>
      <c r="O16" s="394" t="s">
        <v>1627</v>
      </c>
      <c r="P16" s="395" t="s">
        <v>1628</v>
      </c>
      <c r="Q16" s="394" t="s">
        <v>1629</v>
      </c>
      <c r="R16" s="395" t="s">
        <v>1630</v>
      </c>
      <c r="S16" s="394" t="s">
        <v>1631</v>
      </c>
      <c r="T16" s="395" t="s">
        <v>1632</v>
      </c>
      <c r="U16" s="394" t="s">
        <v>1633</v>
      </c>
      <c r="V16" s="395" t="s">
        <v>1634</v>
      </c>
      <c r="W16" s="394" t="s">
        <v>1635</v>
      </c>
      <c r="X16" s="395" t="s">
        <v>1636</v>
      </c>
      <c r="Y16" s="394" t="s">
        <v>1637</v>
      </c>
      <c r="Z16" s="395" t="s">
        <v>1638</v>
      </c>
      <c r="AA16" s="394" t="s">
        <v>1639</v>
      </c>
      <c r="AB16" s="395" t="s">
        <v>1640</v>
      </c>
      <c r="AC16" s="394" t="s">
        <v>1641</v>
      </c>
      <c r="AD16" s="395" t="s">
        <v>1642</v>
      </c>
      <c r="AE16" s="394" t="s">
        <v>1643</v>
      </c>
      <c r="AF16" s="395" t="s">
        <v>1644</v>
      </c>
      <c r="AG16" s="394" t="s">
        <v>1645</v>
      </c>
      <c r="AH16" s="406" t="s">
        <v>1646</v>
      </c>
      <c r="AI16" s="412" t="s">
        <v>1647</v>
      </c>
      <c r="AJ16" s="461" t="s">
        <v>1648</v>
      </c>
      <c r="AK16" s="394" t="s">
        <v>1649</v>
      </c>
      <c r="AL16" s="461" t="s">
        <v>1650</v>
      </c>
      <c r="AM16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16" s="86"/>
      <c r="CB16" s="191" t="str">
        <f t="shared" si="5"/>
        <v xml:space="preserve"> * La variable Pueblos Originarios Hombres no puede ser Mayor al Total Hombres.</v>
      </c>
      <c r="CC16" s="191" t="str">
        <f t="shared" si="6"/>
        <v xml:space="preserve"> * La variable Pueblos Originarios Mujeres no puede ser Mayor al Total Mujeres.</v>
      </c>
      <c r="CD16" s="191" t="str">
        <f t="shared" si="7"/>
        <v xml:space="preserve"> * La variable Migrantes Hombres no puede ser Mayor al Total Hombres.</v>
      </c>
      <c r="CE16" s="191" t="str">
        <f t="shared" si="8"/>
        <v xml:space="preserve"> * La variable Migrantes Mujeres no puede ser Mayor al Total Mujeres.</v>
      </c>
      <c r="DL16" s="1047">
        <f t="shared" si="0"/>
        <v>1</v>
      </c>
      <c r="DM16" s="1047">
        <f t="shared" si="1"/>
        <v>1</v>
      </c>
      <c r="DN16" s="1047">
        <f t="shared" si="2"/>
        <v>1</v>
      </c>
      <c r="DO16" s="1047">
        <f t="shared" si="3"/>
        <v>1</v>
      </c>
    </row>
    <row r="17" spans="1:149" ht="15" customHeight="1" x14ac:dyDescent="0.2">
      <c r="A17" s="1589" t="s">
        <v>1224</v>
      </c>
      <c r="B17" s="2004"/>
      <c r="C17" s="105" t="s">
        <v>503</v>
      </c>
      <c r="D17" s="1147" t="s">
        <v>1616</v>
      </c>
      <c r="E17" s="397" t="s">
        <v>1617</v>
      </c>
      <c r="F17" s="448" t="s">
        <v>1618</v>
      </c>
      <c r="G17" s="398" t="s">
        <v>1619</v>
      </c>
      <c r="H17" s="399" t="s">
        <v>1620</v>
      </c>
      <c r="I17" s="398" t="s">
        <v>1621</v>
      </c>
      <c r="J17" s="399" t="s">
        <v>1622</v>
      </c>
      <c r="K17" s="398" t="s">
        <v>1623</v>
      </c>
      <c r="L17" s="399" t="s">
        <v>1624</v>
      </c>
      <c r="M17" s="398" t="s">
        <v>1625</v>
      </c>
      <c r="N17" s="399" t="s">
        <v>1626</v>
      </c>
      <c r="O17" s="398" t="s">
        <v>1627</v>
      </c>
      <c r="P17" s="399" t="s">
        <v>1628</v>
      </c>
      <c r="Q17" s="398" t="s">
        <v>1629</v>
      </c>
      <c r="R17" s="399" t="s">
        <v>1630</v>
      </c>
      <c r="S17" s="398" t="s">
        <v>1631</v>
      </c>
      <c r="T17" s="399" t="s">
        <v>1632</v>
      </c>
      <c r="U17" s="398" t="s">
        <v>1633</v>
      </c>
      <c r="V17" s="399" t="s">
        <v>1634</v>
      </c>
      <c r="W17" s="398" t="s">
        <v>1635</v>
      </c>
      <c r="X17" s="399" t="s">
        <v>1636</v>
      </c>
      <c r="Y17" s="398" t="s">
        <v>1637</v>
      </c>
      <c r="Z17" s="399" t="s">
        <v>1638</v>
      </c>
      <c r="AA17" s="398" t="s">
        <v>1639</v>
      </c>
      <c r="AB17" s="399" t="s">
        <v>1640</v>
      </c>
      <c r="AC17" s="398" t="s">
        <v>1641</v>
      </c>
      <c r="AD17" s="399" t="s">
        <v>1642</v>
      </c>
      <c r="AE17" s="398" t="s">
        <v>1643</v>
      </c>
      <c r="AF17" s="399" t="s">
        <v>1644</v>
      </c>
      <c r="AG17" s="398" t="s">
        <v>1645</v>
      </c>
      <c r="AH17" s="407" t="s">
        <v>1646</v>
      </c>
      <c r="AI17" s="445" t="s">
        <v>1647</v>
      </c>
      <c r="AJ17" s="533" t="s">
        <v>1648</v>
      </c>
      <c r="AK17" s="408" t="s">
        <v>1649</v>
      </c>
      <c r="AL17" s="533" t="s">
        <v>1650</v>
      </c>
      <c r="AM17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17" s="86"/>
      <c r="CB17" s="191" t="str">
        <f t="shared" si="5"/>
        <v xml:space="preserve"> * La variable Pueblos Originarios Hombres no puede ser Mayor al Total Hombres.</v>
      </c>
      <c r="CC17" s="191" t="str">
        <f t="shared" si="6"/>
        <v xml:space="preserve"> * La variable Pueblos Originarios Mujeres no puede ser Mayor al Total Mujeres.</v>
      </c>
      <c r="CD17" s="191" t="str">
        <f t="shared" si="7"/>
        <v xml:space="preserve"> * La variable Migrantes Hombres no puede ser Mayor al Total Hombres.</v>
      </c>
      <c r="CE17" s="191" t="str">
        <f t="shared" si="8"/>
        <v xml:space="preserve"> * La variable Migrantes Mujeres no puede ser Mayor al Total Mujeres.</v>
      </c>
      <c r="DL17" s="1047">
        <f t="shared" si="0"/>
        <v>1</v>
      </c>
      <c r="DM17" s="1047">
        <f t="shared" si="1"/>
        <v>1</v>
      </c>
      <c r="DN17" s="1047">
        <f t="shared" si="2"/>
        <v>1</v>
      </c>
      <c r="DO17" s="1047">
        <f t="shared" si="3"/>
        <v>1</v>
      </c>
    </row>
    <row r="18" spans="1:149" ht="15" customHeight="1" x14ac:dyDescent="0.2">
      <c r="A18" s="1589" t="s">
        <v>1225</v>
      </c>
      <c r="B18" s="2004"/>
      <c r="C18" s="105" t="s">
        <v>504</v>
      </c>
      <c r="D18" s="1147" t="s">
        <v>1616</v>
      </c>
      <c r="E18" s="397" t="s">
        <v>1617</v>
      </c>
      <c r="F18" s="448" t="s">
        <v>1618</v>
      </c>
      <c r="G18" s="398" t="s">
        <v>1619</v>
      </c>
      <c r="H18" s="399" t="s">
        <v>1620</v>
      </c>
      <c r="I18" s="398" t="s">
        <v>1621</v>
      </c>
      <c r="J18" s="399" t="s">
        <v>1622</v>
      </c>
      <c r="K18" s="398" t="s">
        <v>1623</v>
      </c>
      <c r="L18" s="399" t="s">
        <v>1624</v>
      </c>
      <c r="M18" s="398" t="s">
        <v>1625</v>
      </c>
      <c r="N18" s="399" t="s">
        <v>1626</v>
      </c>
      <c r="O18" s="398" t="s">
        <v>1627</v>
      </c>
      <c r="P18" s="399" t="s">
        <v>1628</v>
      </c>
      <c r="Q18" s="398" t="s">
        <v>1629</v>
      </c>
      <c r="R18" s="399" t="s">
        <v>1630</v>
      </c>
      <c r="S18" s="398" t="s">
        <v>1631</v>
      </c>
      <c r="T18" s="399" t="s">
        <v>1632</v>
      </c>
      <c r="U18" s="398" t="s">
        <v>1633</v>
      </c>
      <c r="V18" s="399" t="s">
        <v>1634</v>
      </c>
      <c r="W18" s="398" t="s">
        <v>1635</v>
      </c>
      <c r="X18" s="399" t="s">
        <v>1636</v>
      </c>
      <c r="Y18" s="398" t="s">
        <v>1637</v>
      </c>
      <c r="Z18" s="399" t="s">
        <v>1638</v>
      </c>
      <c r="AA18" s="398" t="s">
        <v>1639</v>
      </c>
      <c r="AB18" s="399" t="s">
        <v>1640</v>
      </c>
      <c r="AC18" s="398" t="s">
        <v>1641</v>
      </c>
      <c r="AD18" s="399" t="s">
        <v>1642</v>
      </c>
      <c r="AE18" s="398" t="s">
        <v>1643</v>
      </c>
      <c r="AF18" s="399" t="s">
        <v>1644</v>
      </c>
      <c r="AG18" s="398" t="s">
        <v>1645</v>
      </c>
      <c r="AH18" s="407" t="s">
        <v>1646</v>
      </c>
      <c r="AI18" s="445" t="s">
        <v>1647</v>
      </c>
      <c r="AJ18" s="533" t="s">
        <v>1648</v>
      </c>
      <c r="AK18" s="398" t="s">
        <v>1649</v>
      </c>
      <c r="AL18" s="533" t="s">
        <v>1650</v>
      </c>
      <c r="AM18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18" s="86"/>
      <c r="CB18" s="191" t="str">
        <f t="shared" si="5"/>
        <v xml:space="preserve"> * La variable Pueblos Originarios Hombres no puede ser Mayor al Total Hombres.</v>
      </c>
      <c r="CC18" s="191" t="str">
        <f t="shared" si="6"/>
        <v xml:space="preserve"> * La variable Pueblos Originarios Mujeres no puede ser Mayor al Total Mujeres.</v>
      </c>
      <c r="CD18" s="191" t="str">
        <f t="shared" si="7"/>
        <v xml:space="preserve"> * La variable Migrantes Hombres no puede ser Mayor al Total Hombres.</v>
      </c>
      <c r="CE18" s="191" t="str">
        <f t="shared" si="8"/>
        <v xml:space="preserve"> * La variable Migrantes Mujeres no puede ser Mayor al Total Mujeres.</v>
      </c>
      <c r="DL18" s="1047">
        <f t="shared" si="0"/>
        <v>1</v>
      </c>
      <c r="DM18" s="1047">
        <f t="shared" si="1"/>
        <v>1</v>
      </c>
      <c r="DN18" s="1047">
        <f t="shared" si="2"/>
        <v>1</v>
      </c>
      <c r="DO18" s="1047">
        <f t="shared" si="3"/>
        <v>1</v>
      </c>
    </row>
    <row r="19" spans="1:149" ht="15" customHeight="1" x14ac:dyDescent="0.2">
      <c r="A19" s="1589" t="s">
        <v>1226</v>
      </c>
      <c r="B19" s="2004"/>
      <c r="C19" s="105" t="s">
        <v>505</v>
      </c>
      <c r="D19" s="1147" t="s">
        <v>1616</v>
      </c>
      <c r="E19" s="397" t="s">
        <v>1617</v>
      </c>
      <c r="F19" s="448" t="s">
        <v>1618</v>
      </c>
      <c r="G19" s="436" t="s">
        <v>1619</v>
      </c>
      <c r="H19" s="547" t="s">
        <v>1620</v>
      </c>
      <c r="I19" s="436" t="s">
        <v>1621</v>
      </c>
      <c r="J19" s="547" t="s">
        <v>1622</v>
      </c>
      <c r="K19" s="436" t="s">
        <v>1623</v>
      </c>
      <c r="L19" s="547" t="s">
        <v>1624</v>
      </c>
      <c r="M19" s="436" t="s">
        <v>1625</v>
      </c>
      <c r="N19" s="547" t="s">
        <v>1626</v>
      </c>
      <c r="O19" s="436" t="s">
        <v>1627</v>
      </c>
      <c r="P19" s="547" t="s">
        <v>1628</v>
      </c>
      <c r="Q19" s="436" t="s">
        <v>1629</v>
      </c>
      <c r="R19" s="547" t="s">
        <v>1630</v>
      </c>
      <c r="S19" s="436" t="s">
        <v>1631</v>
      </c>
      <c r="T19" s="547" t="s">
        <v>1632</v>
      </c>
      <c r="U19" s="436" t="s">
        <v>1633</v>
      </c>
      <c r="V19" s="547" t="s">
        <v>1634</v>
      </c>
      <c r="W19" s="417" t="s">
        <v>1635</v>
      </c>
      <c r="X19" s="418" t="s">
        <v>1636</v>
      </c>
      <c r="Y19" s="417" t="s">
        <v>1637</v>
      </c>
      <c r="Z19" s="418" t="s">
        <v>1638</v>
      </c>
      <c r="AA19" s="417" t="s">
        <v>1639</v>
      </c>
      <c r="AB19" s="418" t="s">
        <v>1640</v>
      </c>
      <c r="AC19" s="417" t="s">
        <v>1641</v>
      </c>
      <c r="AD19" s="418" t="s">
        <v>1642</v>
      </c>
      <c r="AE19" s="417" t="s">
        <v>1643</v>
      </c>
      <c r="AF19" s="418" t="s">
        <v>1644</v>
      </c>
      <c r="AG19" s="417" t="s">
        <v>1645</v>
      </c>
      <c r="AH19" s="419" t="s">
        <v>1646</v>
      </c>
      <c r="AI19" s="445" t="s">
        <v>1647</v>
      </c>
      <c r="AJ19" s="533" t="s">
        <v>1648</v>
      </c>
      <c r="AK19" s="408" t="s">
        <v>1649</v>
      </c>
      <c r="AL19" s="533" t="s">
        <v>1650</v>
      </c>
      <c r="AM19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19" s="86"/>
      <c r="CB19" s="191" t="str">
        <f t="shared" si="5"/>
        <v xml:space="preserve"> * La variable Pueblos Originarios Hombres no puede ser Mayor al Total Hombres.</v>
      </c>
      <c r="CC19" s="191" t="str">
        <f t="shared" si="6"/>
        <v xml:space="preserve"> * La variable Pueblos Originarios Mujeres no puede ser Mayor al Total Mujeres.</v>
      </c>
      <c r="CD19" s="191" t="str">
        <f t="shared" si="7"/>
        <v xml:space="preserve"> * La variable Migrantes Hombres no puede ser Mayor al Total Hombres.</v>
      </c>
      <c r="CE19" s="191" t="str">
        <f t="shared" si="8"/>
        <v xml:space="preserve"> * La variable Migrantes Mujeres no puede ser Mayor al Total Mujeres.</v>
      </c>
      <c r="DL19" s="1047">
        <f t="shared" si="0"/>
        <v>1</v>
      </c>
      <c r="DM19" s="1047">
        <f t="shared" si="1"/>
        <v>1</v>
      </c>
      <c r="DN19" s="1047">
        <f t="shared" si="2"/>
        <v>1</v>
      </c>
      <c r="DO19" s="1047">
        <f t="shared" si="3"/>
        <v>1</v>
      </c>
    </row>
    <row r="20" spans="1:149" ht="15" customHeight="1" x14ac:dyDescent="0.2">
      <c r="A20" s="1589" t="s">
        <v>1227</v>
      </c>
      <c r="B20" s="2004"/>
      <c r="C20" s="1112" t="s">
        <v>506</v>
      </c>
      <c r="D20" s="1146" t="s">
        <v>1616</v>
      </c>
      <c r="E20" s="401" t="s">
        <v>1617</v>
      </c>
      <c r="F20" s="1031" t="s">
        <v>1618</v>
      </c>
      <c r="G20" s="398" t="s">
        <v>1619</v>
      </c>
      <c r="H20" s="399" t="s">
        <v>1620</v>
      </c>
      <c r="I20" s="398" t="s">
        <v>1621</v>
      </c>
      <c r="J20" s="399" t="s">
        <v>1622</v>
      </c>
      <c r="K20" s="398" t="s">
        <v>1623</v>
      </c>
      <c r="L20" s="399" t="s">
        <v>1624</v>
      </c>
      <c r="M20" s="398" t="s">
        <v>1625</v>
      </c>
      <c r="N20" s="399" t="s">
        <v>1626</v>
      </c>
      <c r="O20" s="398" t="s">
        <v>1627</v>
      </c>
      <c r="P20" s="399" t="s">
        <v>1628</v>
      </c>
      <c r="Q20" s="398" t="s">
        <v>1629</v>
      </c>
      <c r="R20" s="399" t="s">
        <v>1630</v>
      </c>
      <c r="S20" s="398" t="s">
        <v>1631</v>
      </c>
      <c r="T20" s="399" t="s">
        <v>1632</v>
      </c>
      <c r="U20" s="398" t="s">
        <v>1633</v>
      </c>
      <c r="V20" s="399" t="s">
        <v>1634</v>
      </c>
      <c r="W20" s="398" t="s">
        <v>1635</v>
      </c>
      <c r="X20" s="399" t="s">
        <v>1636</v>
      </c>
      <c r="Y20" s="398" t="s">
        <v>1637</v>
      </c>
      <c r="Z20" s="399" t="s">
        <v>1638</v>
      </c>
      <c r="AA20" s="398" t="s">
        <v>1639</v>
      </c>
      <c r="AB20" s="399" t="s">
        <v>1640</v>
      </c>
      <c r="AC20" s="398" t="s">
        <v>1641</v>
      </c>
      <c r="AD20" s="399" t="s">
        <v>1642</v>
      </c>
      <c r="AE20" s="398" t="s">
        <v>1643</v>
      </c>
      <c r="AF20" s="399" t="s">
        <v>1644</v>
      </c>
      <c r="AG20" s="398" t="s">
        <v>1645</v>
      </c>
      <c r="AH20" s="407" t="s">
        <v>1646</v>
      </c>
      <c r="AI20" s="445" t="s">
        <v>1647</v>
      </c>
      <c r="AJ20" s="533" t="s">
        <v>1648</v>
      </c>
      <c r="AK20" s="398" t="s">
        <v>1649</v>
      </c>
      <c r="AL20" s="533" t="s">
        <v>1650</v>
      </c>
      <c r="AM20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20" s="86"/>
      <c r="CB20" s="191" t="str">
        <f t="shared" si="5"/>
        <v xml:space="preserve"> * La variable Pueblos Originarios Hombres no puede ser Mayor al Total Hombres.</v>
      </c>
      <c r="CC20" s="191" t="str">
        <f t="shared" si="6"/>
        <v xml:space="preserve"> * La variable Pueblos Originarios Mujeres no puede ser Mayor al Total Mujeres.</v>
      </c>
      <c r="CD20" s="191" t="str">
        <f t="shared" si="7"/>
        <v xml:space="preserve"> * La variable Migrantes Hombres no puede ser Mayor al Total Hombres.</v>
      </c>
      <c r="CE20" s="191" t="str">
        <f t="shared" si="8"/>
        <v xml:space="preserve"> * La variable Migrantes Mujeres no puede ser Mayor al Total Mujeres.</v>
      </c>
      <c r="DL20" s="1047">
        <f t="shared" ref="DL20:DM22" si="9">IF(AND(E20&gt;0,OR(AI20="")),1,IF(AI20&gt;E20,1,0))</f>
        <v>1</v>
      </c>
      <c r="DM20" s="1047">
        <f t="shared" si="9"/>
        <v>1</v>
      </c>
      <c r="DN20" s="1047">
        <f t="shared" ref="DN20:DO22" si="10">IF(AND(E20&gt;0,OR(AK20="")),1,IF(AK20&gt;E20,1,0))</f>
        <v>1</v>
      </c>
      <c r="DO20" s="1047">
        <f t="shared" si="10"/>
        <v>1</v>
      </c>
    </row>
    <row r="21" spans="1:149" ht="15" customHeight="1" x14ac:dyDescent="0.2">
      <c r="A21" s="1589" t="s">
        <v>1228</v>
      </c>
      <c r="B21" s="2004"/>
      <c r="C21" s="105" t="s">
        <v>507</v>
      </c>
      <c r="D21" s="1147" t="s">
        <v>1616</v>
      </c>
      <c r="E21" s="397" t="s">
        <v>1617</v>
      </c>
      <c r="F21" s="448" t="s">
        <v>1618</v>
      </c>
      <c r="G21" s="398" t="s">
        <v>1619</v>
      </c>
      <c r="H21" s="399" t="s">
        <v>1620</v>
      </c>
      <c r="I21" s="398" t="s">
        <v>1621</v>
      </c>
      <c r="J21" s="399" t="s">
        <v>1622</v>
      </c>
      <c r="K21" s="398" t="s">
        <v>1623</v>
      </c>
      <c r="L21" s="399" t="s">
        <v>1624</v>
      </c>
      <c r="M21" s="398" t="s">
        <v>1625</v>
      </c>
      <c r="N21" s="399" t="s">
        <v>1626</v>
      </c>
      <c r="O21" s="398" t="s">
        <v>1627</v>
      </c>
      <c r="P21" s="399" t="s">
        <v>1628</v>
      </c>
      <c r="Q21" s="398" t="s">
        <v>1629</v>
      </c>
      <c r="R21" s="399" t="s">
        <v>1630</v>
      </c>
      <c r="S21" s="398" t="s">
        <v>1631</v>
      </c>
      <c r="T21" s="399" t="s">
        <v>1632</v>
      </c>
      <c r="U21" s="398" t="s">
        <v>1633</v>
      </c>
      <c r="V21" s="399" t="s">
        <v>1634</v>
      </c>
      <c r="W21" s="398" t="s">
        <v>1635</v>
      </c>
      <c r="X21" s="399" t="s">
        <v>1636</v>
      </c>
      <c r="Y21" s="398" t="s">
        <v>1637</v>
      </c>
      <c r="Z21" s="399" t="s">
        <v>1638</v>
      </c>
      <c r="AA21" s="398" t="s">
        <v>1639</v>
      </c>
      <c r="AB21" s="399" t="s">
        <v>1640</v>
      </c>
      <c r="AC21" s="398" t="s">
        <v>1641</v>
      </c>
      <c r="AD21" s="399" t="s">
        <v>1642</v>
      </c>
      <c r="AE21" s="398" t="s">
        <v>1643</v>
      </c>
      <c r="AF21" s="399" t="s">
        <v>1644</v>
      </c>
      <c r="AG21" s="398" t="s">
        <v>1645</v>
      </c>
      <c r="AH21" s="407" t="s">
        <v>1646</v>
      </c>
      <c r="AI21" s="445" t="s">
        <v>1647</v>
      </c>
      <c r="AJ21" s="533" t="s">
        <v>1648</v>
      </c>
      <c r="AK21" s="398" t="s">
        <v>1649</v>
      </c>
      <c r="AL21" s="533" t="s">
        <v>1650</v>
      </c>
      <c r="AM21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21" s="86"/>
      <c r="CB21" s="191" t="str">
        <f t="shared" si="5"/>
        <v xml:space="preserve"> * La variable Pueblos Originarios Hombres no puede ser Mayor al Total Hombres.</v>
      </c>
      <c r="CC21" s="191" t="str">
        <f t="shared" si="6"/>
        <v xml:space="preserve"> * La variable Pueblos Originarios Mujeres no puede ser Mayor al Total Mujeres.</v>
      </c>
      <c r="CD21" s="191" t="str">
        <f t="shared" si="7"/>
        <v xml:space="preserve"> * La variable Migrantes Hombres no puede ser Mayor al Total Hombres.</v>
      </c>
      <c r="CE21" s="191" t="str">
        <f t="shared" si="8"/>
        <v xml:space="preserve"> * La variable Migrantes Mujeres no puede ser Mayor al Total Mujeres.</v>
      </c>
      <c r="DL21" s="1047">
        <f t="shared" si="9"/>
        <v>1</v>
      </c>
      <c r="DM21" s="1047">
        <f t="shared" si="9"/>
        <v>1</v>
      </c>
      <c r="DN21" s="1047">
        <f t="shared" si="10"/>
        <v>1</v>
      </c>
      <c r="DO21" s="1047">
        <f t="shared" si="10"/>
        <v>1</v>
      </c>
    </row>
    <row r="22" spans="1:149" ht="22.5" customHeight="1" x14ac:dyDescent="0.2">
      <c r="A22" s="1594" t="s">
        <v>1229</v>
      </c>
      <c r="B22" s="2004"/>
      <c r="C22" s="1598" t="s">
        <v>508</v>
      </c>
      <c r="D22" s="1146" t="s">
        <v>1616</v>
      </c>
      <c r="E22" s="401" t="s">
        <v>1617</v>
      </c>
      <c r="F22" s="1031" t="s">
        <v>1618</v>
      </c>
      <c r="G22" s="450" t="s">
        <v>1619</v>
      </c>
      <c r="H22" s="451" t="s">
        <v>1620</v>
      </c>
      <c r="I22" s="450" t="s">
        <v>1621</v>
      </c>
      <c r="J22" s="451" t="s">
        <v>1622</v>
      </c>
      <c r="K22" s="450" t="s">
        <v>1623</v>
      </c>
      <c r="L22" s="451" t="s">
        <v>1624</v>
      </c>
      <c r="M22" s="450" t="s">
        <v>1625</v>
      </c>
      <c r="N22" s="451" t="s">
        <v>1626</v>
      </c>
      <c r="O22" s="450" t="s">
        <v>1627</v>
      </c>
      <c r="P22" s="451" t="s">
        <v>1628</v>
      </c>
      <c r="Q22" s="450" t="s">
        <v>1629</v>
      </c>
      <c r="R22" s="451" t="s">
        <v>1630</v>
      </c>
      <c r="S22" s="450" t="s">
        <v>1631</v>
      </c>
      <c r="T22" s="451" t="s">
        <v>1632</v>
      </c>
      <c r="U22" s="450" t="s">
        <v>1633</v>
      </c>
      <c r="V22" s="451" t="s">
        <v>1634</v>
      </c>
      <c r="W22" s="450" t="s">
        <v>1635</v>
      </c>
      <c r="X22" s="451" t="s">
        <v>1636</v>
      </c>
      <c r="Y22" s="450" t="s">
        <v>1637</v>
      </c>
      <c r="Z22" s="451" t="s">
        <v>1638</v>
      </c>
      <c r="AA22" s="450" t="s">
        <v>1639</v>
      </c>
      <c r="AB22" s="451" t="s">
        <v>1640</v>
      </c>
      <c r="AC22" s="450" t="s">
        <v>1641</v>
      </c>
      <c r="AD22" s="451" t="s">
        <v>1642</v>
      </c>
      <c r="AE22" s="450" t="s">
        <v>1643</v>
      </c>
      <c r="AF22" s="451" t="s">
        <v>1644</v>
      </c>
      <c r="AG22" s="450" t="s">
        <v>1645</v>
      </c>
      <c r="AH22" s="452" t="s">
        <v>1646</v>
      </c>
      <c r="AI22" s="880" t="s">
        <v>1647</v>
      </c>
      <c r="AJ22" s="668" t="s">
        <v>1648</v>
      </c>
      <c r="AK22" s="450" t="s">
        <v>1649</v>
      </c>
      <c r="AL22" s="668" t="s">
        <v>1650</v>
      </c>
      <c r="AM22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22" s="86"/>
      <c r="CB22" s="191" t="str">
        <f t="shared" si="5"/>
        <v xml:space="preserve"> * La variable Pueblos Originarios Hombres no puede ser Mayor al Total Hombres.</v>
      </c>
      <c r="CC22" s="191" t="str">
        <f t="shared" si="6"/>
        <v xml:space="preserve"> * La variable Pueblos Originarios Mujeres no puede ser Mayor al Total Mujeres.</v>
      </c>
      <c r="CD22" s="191" t="str">
        <f t="shared" si="7"/>
        <v xml:space="preserve"> * La variable Migrantes Hombres no puede ser Mayor al Total Hombres.</v>
      </c>
      <c r="CE22" s="191" t="str">
        <f t="shared" si="8"/>
        <v xml:space="preserve"> * La variable Migrantes Mujeres no puede ser Mayor al Total Mujeres.</v>
      </c>
      <c r="DL22" s="1047">
        <f t="shared" si="9"/>
        <v>1</v>
      </c>
      <c r="DM22" s="1047">
        <f t="shared" si="9"/>
        <v>1</v>
      </c>
      <c r="DN22" s="1047">
        <f t="shared" si="10"/>
        <v>1</v>
      </c>
      <c r="DO22" s="1047">
        <f t="shared" si="10"/>
        <v>1</v>
      </c>
    </row>
    <row r="23" spans="1:149" ht="15" customHeight="1" x14ac:dyDescent="0.2">
      <c r="A23" s="1594" t="s">
        <v>1230</v>
      </c>
      <c r="B23" s="2005"/>
      <c r="C23" s="1599" t="s">
        <v>509</v>
      </c>
      <c r="D23" s="1143" t="s">
        <v>1616</v>
      </c>
      <c r="E23" s="391" t="s">
        <v>1617</v>
      </c>
      <c r="F23" s="446" t="s">
        <v>1618</v>
      </c>
      <c r="G23" s="403" t="s">
        <v>1619</v>
      </c>
      <c r="H23" s="404" t="s">
        <v>1620</v>
      </c>
      <c r="I23" s="403" t="s">
        <v>1621</v>
      </c>
      <c r="J23" s="404" t="s">
        <v>1622</v>
      </c>
      <c r="K23" s="403" t="s">
        <v>1623</v>
      </c>
      <c r="L23" s="404" t="s">
        <v>1624</v>
      </c>
      <c r="M23" s="403" t="s">
        <v>1625</v>
      </c>
      <c r="N23" s="404" t="s">
        <v>1626</v>
      </c>
      <c r="O23" s="403" t="s">
        <v>1627</v>
      </c>
      <c r="P23" s="404" t="s">
        <v>1628</v>
      </c>
      <c r="Q23" s="403" t="s">
        <v>1629</v>
      </c>
      <c r="R23" s="404" t="s">
        <v>1630</v>
      </c>
      <c r="S23" s="403" t="s">
        <v>1631</v>
      </c>
      <c r="T23" s="404" t="s">
        <v>1632</v>
      </c>
      <c r="U23" s="403" t="s">
        <v>1633</v>
      </c>
      <c r="V23" s="404" t="s">
        <v>1634</v>
      </c>
      <c r="W23" s="403" t="s">
        <v>1635</v>
      </c>
      <c r="X23" s="404" t="s">
        <v>1636</v>
      </c>
      <c r="Y23" s="403" t="s">
        <v>1637</v>
      </c>
      <c r="Z23" s="404" t="s">
        <v>1638</v>
      </c>
      <c r="AA23" s="403" t="s">
        <v>1639</v>
      </c>
      <c r="AB23" s="404" t="s">
        <v>1640</v>
      </c>
      <c r="AC23" s="403" t="s">
        <v>1641</v>
      </c>
      <c r="AD23" s="404" t="s">
        <v>1642</v>
      </c>
      <c r="AE23" s="403" t="s">
        <v>1643</v>
      </c>
      <c r="AF23" s="404" t="s">
        <v>1644</v>
      </c>
      <c r="AG23" s="403" t="s">
        <v>1645</v>
      </c>
      <c r="AH23" s="431" t="s">
        <v>1646</v>
      </c>
      <c r="AI23" s="416" t="s">
        <v>1647</v>
      </c>
      <c r="AJ23" s="442" t="s">
        <v>1648</v>
      </c>
      <c r="AK23" s="403" t="s">
        <v>1649</v>
      </c>
      <c r="AL23" s="442" t="s">
        <v>1650</v>
      </c>
      <c r="AM23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23" s="86"/>
      <c r="CB23" s="191" t="str">
        <f t="shared" si="5"/>
        <v xml:space="preserve"> * La variable Pueblos Originarios Hombres no puede ser Mayor al Total Hombres.</v>
      </c>
      <c r="CC23" s="191" t="str">
        <f t="shared" si="6"/>
        <v xml:space="preserve"> * La variable Pueblos Originarios Mujeres no puede ser Mayor al Total Mujeres.</v>
      </c>
      <c r="CD23" s="191" t="str">
        <f t="shared" si="7"/>
        <v xml:space="preserve"> * La variable Migrantes Hombres no puede ser Mayor al Total Hombres.</v>
      </c>
      <c r="CE23" s="191" t="str">
        <f t="shared" si="8"/>
        <v xml:space="preserve"> * La variable Migrantes Mujeres no puede ser Mayor al Total Mujeres.</v>
      </c>
      <c r="DL23" s="1047">
        <f t="shared" si="0"/>
        <v>1</v>
      </c>
      <c r="DM23" s="1047">
        <f t="shared" si="1"/>
        <v>1</v>
      </c>
      <c r="DN23" s="1047">
        <f t="shared" si="2"/>
        <v>1</v>
      </c>
      <c r="DO23" s="1047">
        <f t="shared" si="3"/>
        <v>1</v>
      </c>
    </row>
    <row r="24" spans="1:149" ht="17.100000000000001" customHeight="1" x14ac:dyDescent="0.15">
      <c r="B24" s="2038" t="s">
        <v>510</v>
      </c>
      <c r="C24" s="2038"/>
      <c r="D24" s="229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30"/>
      <c r="Q24" s="227"/>
      <c r="R24" s="227"/>
      <c r="S24" s="227"/>
      <c r="T24" s="227"/>
      <c r="U24" s="228"/>
    </row>
    <row r="25" spans="1:149" ht="16.5" customHeight="1" x14ac:dyDescent="0.15">
      <c r="B25" s="2003" t="s">
        <v>445</v>
      </c>
      <c r="C25" s="2003"/>
      <c r="D25" s="2011" t="s">
        <v>497</v>
      </c>
      <c r="E25" s="2012"/>
      <c r="F25" s="2013"/>
      <c r="G25" s="2017" t="s">
        <v>376</v>
      </c>
      <c r="H25" s="2006"/>
      <c r="I25" s="2006"/>
      <c r="J25" s="2006"/>
      <c r="K25" s="2006"/>
      <c r="L25" s="2006"/>
      <c r="M25" s="2006"/>
      <c r="N25" s="2006"/>
      <c r="O25" s="2006"/>
      <c r="P25" s="2006"/>
      <c r="Q25" s="2006"/>
      <c r="R25" s="2006"/>
      <c r="S25" s="2006"/>
      <c r="T25" s="2006"/>
      <c r="U25" s="2006"/>
      <c r="V25" s="2006"/>
      <c r="W25" s="2006"/>
      <c r="X25" s="2006"/>
      <c r="Y25" s="2006"/>
      <c r="Z25" s="2006"/>
      <c r="AA25" s="2006"/>
      <c r="AB25" s="2006"/>
      <c r="AC25" s="2006"/>
      <c r="AD25" s="2006"/>
      <c r="AE25" s="2006"/>
      <c r="AF25" s="2006"/>
      <c r="AG25" s="2006"/>
      <c r="AH25" s="2054"/>
      <c r="AI25" s="1748" t="s">
        <v>51</v>
      </c>
      <c r="AJ25" s="1753"/>
      <c r="AK25" s="1752" t="s">
        <v>52</v>
      </c>
      <c r="AL25" s="1753"/>
    </row>
    <row r="26" spans="1:149" ht="18" customHeight="1" x14ac:dyDescent="0.15">
      <c r="B26" s="2004"/>
      <c r="C26" s="2004"/>
      <c r="D26" s="2014"/>
      <c r="E26" s="2015"/>
      <c r="F26" s="2016"/>
      <c r="G26" s="2033" t="s">
        <v>57</v>
      </c>
      <c r="H26" s="2034"/>
      <c r="I26" s="2073" t="s">
        <v>58</v>
      </c>
      <c r="J26" s="2074"/>
      <c r="K26" s="1931" t="s">
        <v>59</v>
      </c>
      <c r="L26" s="1931"/>
      <c r="M26" s="1937" t="s">
        <v>60</v>
      </c>
      <c r="N26" s="1853"/>
      <c r="O26" s="1931" t="s">
        <v>61</v>
      </c>
      <c r="P26" s="1931"/>
      <c r="Q26" s="1937" t="s">
        <v>62</v>
      </c>
      <c r="R26" s="1853"/>
      <c r="S26" s="1931" t="s">
        <v>63</v>
      </c>
      <c r="T26" s="1931"/>
      <c r="U26" s="1937" t="s">
        <v>64</v>
      </c>
      <c r="V26" s="1853"/>
      <c r="W26" s="1931" t="s">
        <v>65</v>
      </c>
      <c r="X26" s="1931"/>
      <c r="Y26" s="1937" t="s">
        <v>66</v>
      </c>
      <c r="Z26" s="1853"/>
      <c r="AA26" s="1932" t="s">
        <v>67</v>
      </c>
      <c r="AB26" s="1933"/>
      <c r="AC26" s="1932" t="s">
        <v>406</v>
      </c>
      <c r="AD26" s="1933"/>
      <c r="AE26" s="1932" t="s">
        <v>407</v>
      </c>
      <c r="AF26" s="1933"/>
      <c r="AG26" s="1932" t="s">
        <v>408</v>
      </c>
      <c r="AH26" s="1940"/>
      <c r="AI26" s="1750"/>
      <c r="AJ26" s="1706"/>
      <c r="AK26" s="1754"/>
      <c r="AL26" s="1706"/>
      <c r="CF26" s="1062"/>
      <c r="CG26" s="1062"/>
      <c r="CH26" s="1063"/>
      <c r="CI26" s="1063"/>
      <c r="CJ26" s="1062"/>
      <c r="CK26" s="1062"/>
      <c r="CL26" s="184"/>
      <c r="CM26" s="184"/>
      <c r="CN26" s="1062"/>
      <c r="CO26" s="1062"/>
      <c r="CP26" s="184"/>
      <c r="CQ26" s="184"/>
      <c r="CR26" s="1062"/>
      <c r="CS26" s="1062"/>
      <c r="CT26" s="184"/>
      <c r="CU26" s="184"/>
      <c r="CV26" s="1062"/>
      <c r="CW26" s="1062"/>
      <c r="CX26" s="184"/>
      <c r="CY26" s="184"/>
      <c r="CZ26" s="967"/>
      <c r="DA26" s="967"/>
      <c r="DB26" s="967"/>
      <c r="DC26" s="967"/>
      <c r="DD26" s="967"/>
      <c r="DE26" s="967"/>
      <c r="DF26" s="967"/>
      <c r="DG26" s="967"/>
      <c r="DP26" s="1062"/>
      <c r="DQ26" s="1062"/>
      <c r="DR26" s="1063"/>
      <c r="DS26" s="1063"/>
      <c r="DT26" s="1062"/>
      <c r="DU26" s="1062"/>
      <c r="DV26" s="184"/>
      <c r="DW26" s="184"/>
      <c r="DX26" s="1062"/>
      <c r="DY26" s="1062"/>
      <c r="DZ26" s="184"/>
      <c r="EA26" s="184"/>
      <c r="EB26" s="1062"/>
      <c r="EC26" s="1062"/>
      <c r="ED26" s="184"/>
      <c r="EE26" s="184"/>
      <c r="EF26" s="1062"/>
      <c r="EG26" s="1062"/>
      <c r="EH26" s="184"/>
      <c r="EI26" s="184"/>
      <c r="EJ26" s="967"/>
      <c r="EK26" s="967"/>
      <c r="EL26" s="967"/>
      <c r="EM26" s="967"/>
      <c r="EN26" s="967"/>
      <c r="EO26" s="967"/>
      <c r="EP26" s="967"/>
      <c r="EQ26" s="967"/>
    </row>
    <row r="27" spans="1:149" ht="21.75" customHeight="1" x14ac:dyDescent="0.15">
      <c r="B27" s="2004"/>
      <c r="C27" s="2005"/>
      <c r="D27" s="1471" t="s">
        <v>226</v>
      </c>
      <c r="E27" s="1485" t="s">
        <v>86</v>
      </c>
      <c r="F27" s="1486" t="s">
        <v>227</v>
      </c>
      <c r="G27" s="1264" t="s">
        <v>86</v>
      </c>
      <c r="H27" s="1486" t="s">
        <v>227</v>
      </c>
      <c r="I27" s="1264" t="s">
        <v>86</v>
      </c>
      <c r="J27" s="1486" t="s">
        <v>227</v>
      </c>
      <c r="K27" s="1264" t="s">
        <v>86</v>
      </c>
      <c r="L27" s="1486" t="s">
        <v>227</v>
      </c>
      <c r="M27" s="1264" t="s">
        <v>86</v>
      </c>
      <c r="N27" s="1486" t="s">
        <v>227</v>
      </c>
      <c r="O27" s="1264" t="s">
        <v>86</v>
      </c>
      <c r="P27" s="1486" t="s">
        <v>227</v>
      </c>
      <c r="Q27" s="1264" t="s">
        <v>86</v>
      </c>
      <c r="R27" s="1486" t="s">
        <v>227</v>
      </c>
      <c r="S27" s="1264" t="s">
        <v>86</v>
      </c>
      <c r="T27" s="1486" t="s">
        <v>227</v>
      </c>
      <c r="U27" s="1264" t="s">
        <v>86</v>
      </c>
      <c r="V27" s="1486" t="s">
        <v>227</v>
      </c>
      <c r="W27" s="1264" t="s">
        <v>86</v>
      </c>
      <c r="X27" s="1486" t="s">
        <v>227</v>
      </c>
      <c r="Y27" s="1264" t="s">
        <v>86</v>
      </c>
      <c r="Z27" s="1486" t="s">
        <v>227</v>
      </c>
      <c r="AA27" s="1264" t="s">
        <v>410</v>
      </c>
      <c r="AB27" s="1486" t="s">
        <v>227</v>
      </c>
      <c r="AC27" s="1264" t="s">
        <v>410</v>
      </c>
      <c r="AD27" s="1486" t="s">
        <v>227</v>
      </c>
      <c r="AE27" s="1264" t="s">
        <v>410</v>
      </c>
      <c r="AF27" s="1486" t="s">
        <v>227</v>
      </c>
      <c r="AG27" s="1260" t="s">
        <v>410</v>
      </c>
      <c r="AH27" s="87" t="s">
        <v>227</v>
      </c>
      <c r="AI27" s="876" t="s">
        <v>86</v>
      </c>
      <c r="AJ27" s="875" t="s">
        <v>227</v>
      </c>
      <c r="AK27" s="1267" t="s">
        <v>86</v>
      </c>
      <c r="AL27" s="875" t="s">
        <v>227</v>
      </c>
      <c r="CF27" s="101"/>
      <c r="CG27" s="101"/>
      <c r="CH27" s="101"/>
      <c r="CI27" s="101"/>
      <c r="CJ27" s="101"/>
      <c r="CK27" s="101"/>
      <c r="CL27" s="101"/>
      <c r="CM27" s="101"/>
      <c r="CN27" s="101"/>
      <c r="CO27" s="101"/>
      <c r="CP27" s="101"/>
      <c r="CQ27" s="101"/>
      <c r="CR27" s="101"/>
      <c r="CS27" s="101"/>
      <c r="CT27" s="101"/>
      <c r="CU27" s="101"/>
      <c r="CV27" s="101"/>
      <c r="CW27" s="101"/>
      <c r="CX27" s="101"/>
      <c r="CY27" s="101"/>
      <c r="CZ27" s="101"/>
      <c r="DA27" s="101"/>
      <c r="DB27" s="101"/>
      <c r="DC27" s="101"/>
      <c r="DD27" s="101"/>
      <c r="DE27" s="101"/>
      <c r="DF27" s="101"/>
      <c r="DG27" s="101"/>
      <c r="DP27" s="101"/>
      <c r="DQ27" s="101"/>
      <c r="DR27" s="101"/>
      <c r="DS27" s="101"/>
      <c r="DT27" s="101"/>
      <c r="DU27" s="101"/>
      <c r="DV27" s="101"/>
      <c r="DW27" s="101"/>
      <c r="DX27" s="101"/>
      <c r="DY27" s="101"/>
      <c r="DZ27" s="101"/>
      <c r="EA27" s="101"/>
      <c r="EB27" s="101"/>
      <c r="EC27" s="101"/>
      <c r="ED27" s="101"/>
      <c r="EE27" s="101"/>
      <c r="EF27" s="101"/>
      <c r="EG27" s="101"/>
      <c r="EH27" s="101"/>
      <c r="EI27" s="101"/>
      <c r="EJ27" s="101"/>
      <c r="EK27" s="101"/>
      <c r="EL27" s="101"/>
      <c r="EM27" s="101"/>
      <c r="EN27" s="101"/>
      <c r="EO27" s="101"/>
      <c r="EP27" s="101"/>
      <c r="EQ27" s="101"/>
    </row>
    <row r="28" spans="1:149" ht="15" customHeight="1" x14ac:dyDescent="0.2">
      <c r="A28" s="1589" t="s">
        <v>1231</v>
      </c>
      <c r="B28" s="1970" t="s">
        <v>511</v>
      </c>
      <c r="C28" s="104" t="s">
        <v>512</v>
      </c>
      <c r="D28" s="1145" t="s">
        <v>1616</v>
      </c>
      <c r="E28" s="392" t="s">
        <v>1617</v>
      </c>
      <c r="F28" s="877" t="s">
        <v>1618</v>
      </c>
      <c r="G28" s="394" t="s">
        <v>1619</v>
      </c>
      <c r="H28" s="395" t="s">
        <v>1620</v>
      </c>
      <c r="I28" s="394" t="s">
        <v>1621</v>
      </c>
      <c r="J28" s="395" t="s">
        <v>1622</v>
      </c>
      <c r="K28" s="394" t="s">
        <v>1623</v>
      </c>
      <c r="L28" s="461" t="s">
        <v>1624</v>
      </c>
      <c r="M28" s="394" t="s">
        <v>1625</v>
      </c>
      <c r="N28" s="395" t="s">
        <v>1626</v>
      </c>
      <c r="O28" s="394" t="s">
        <v>1627</v>
      </c>
      <c r="P28" s="395" t="s">
        <v>1628</v>
      </c>
      <c r="Q28" s="394" t="s">
        <v>1629</v>
      </c>
      <c r="R28" s="461" t="s">
        <v>1630</v>
      </c>
      <c r="S28" s="394" t="s">
        <v>1631</v>
      </c>
      <c r="T28" s="395" t="s">
        <v>1632</v>
      </c>
      <c r="U28" s="394" t="s">
        <v>1633</v>
      </c>
      <c r="V28" s="395" t="s">
        <v>1634</v>
      </c>
      <c r="W28" s="394" t="s">
        <v>1635</v>
      </c>
      <c r="X28" s="395" t="s">
        <v>1636</v>
      </c>
      <c r="Y28" s="394" t="s">
        <v>1637</v>
      </c>
      <c r="Z28" s="395" t="s">
        <v>1638</v>
      </c>
      <c r="AA28" s="394" t="s">
        <v>1639</v>
      </c>
      <c r="AB28" s="395" t="s">
        <v>1640</v>
      </c>
      <c r="AC28" s="394" t="s">
        <v>1641</v>
      </c>
      <c r="AD28" s="395" t="s">
        <v>1642</v>
      </c>
      <c r="AE28" s="394" t="s">
        <v>1643</v>
      </c>
      <c r="AF28" s="395" t="s">
        <v>1644</v>
      </c>
      <c r="AG28" s="884" t="s">
        <v>1645</v>
      </c>
      <c r="AH28" s="885" t="s">
        <v>1646</v>
      </c>
      <c r="AI28" s="412" t="s">
        <v>1647</v>
      </c>
      <c r="AJ28" s="395" t="s">
        <v>1648</v>
      </c>
      <c r="AK28" s="462" t="s">
        <v>1649</v>
      </c>
      <c r="AL28" s="395" t="s">
        <v>1650</v>
      </c>
      <c r="AM28" s="36" t="str">
        <f>CB28&amp;CC28&amp;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DD28 &amp; DF28 &amp; DG28 &amp;DE28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28" s="191" t="str">
        <f>IF(AND(E28&gt;0,OR(AI28=""))," * No olvide digitar la variable Pueblos Originarios Hombres. Digite Cero si no tiene.",IF(AI28&gt;E28," * La variable Pueblos Originarios Hombres no puede ser Mayor al Total Hombres.",""))</f>
        <v xml:space="preserve"> * La variable Pueblos Originarios Hombres no puede ser Mayor al Total Hombres.</v>
      </c>
      <c r="CC28" s="191" t="str">
        <f>IF(AND(F28&gt;0,OR(AJ28=""))," * No olvide digitar la variable Pueblos Originarios Mujeres. Digite Cero si no tiene.",IF(AJ28&gt;F28," * La variable Pueblos Originarios Mujeres no puede ser Mayor al Total Mujeres.",""))</f>
        <v xml:space="preserve"> * La variable Pueblos Originarios Mujeres no puede ser Mayor al Total Mujeres.</v>
      </c>
      <c r="CD28" s="191" t="str">
        <f>IF(AND($E28&gt;0,OR(AK28=""))," * No olvide digitar la variable Migrantes Hombres. Digite Cero si no tiene.",IF(AK28&gt;$E28," * La variable Migrantes Hombres no puede ser Mayor al Total Hombres.",""))</f>
        <v xml:space="preserve"> * La variable Migrantes Hombres no puede ser Mayor al Total Hombres.</v>
      </c>
      <c r="CE28" s="191" t="str">
        <f>IF(AND(F28&gt;0,OR(AL28=""))," * No olvide digitar la variable Migrantes Mujeres. Digite Cero si no tiene.",IF(AL28&gt;F28," * La variable Migrantes Mujeres no puede ser Mayor al Total Mujeres.",""))</f>
        <v xml:space="preserve"> * La variable Migrantes Mujeres no puede ser Mayor al Total Mujeres.</v>
      </c>
      <c r="CF28" s="191" t="str">
        <f>IF($G$28&lt;=$G$16,"","* Pacientes 15 a 19 años (Hombres) con PA&lt;140/90 mmHg debe ser menor o igual a Hipertensos en Sección A. ")</f>
        <v/>
      </c>
      <c r="CG28" s="191" t="str">
        <f>IF($H$28&lt;=$H$16,"","* Pacientes 15 a 19 años (Mujeres) con PA&lt;140/90 mmHg debe ser menor o igual a Hipertensos en Sección A. ")</f>
        <v/>
      </c>
      <c r="CH28" s="191" t="str">
        <f>IF($I$28&lt;=$I$16,"","* Pacientes 20 a 24 años (Hombres) con PA&lt;140/90 mmHg debe ser menor o igual a Hipertensos en Sección A. ")</f>
        <v/>
      </c>
      <c r="CI28" s="191" t="str">
        <f>IF($J$28&lt;=$J$16,"","* Pacientes 20 a 24 años (Mujeres) con PA&lt;140/90 mmHg debe ser menor o igual a Hipertensos en Sección A. ")</f>
        <v/>
      </c>
      <c r="CJ28" s="191" t="str">
        <f>IF($K$28&lt;=$K$16,"","* Pacientes 25 a 29 años (Hombres) con PA&lt;140/90 mmHg debe ser menor o igual a Hipertensos en Sección A. ")</f>
        <v/>
      </c>
      <c r="CK28" s="191" t="str">
        <f>IF($L$28&lt;=$L$16,"","* Pacientes 25 a 29 años (Mujeres) con PA&lt;140/90 mmHg debe ser menor o igual a Hipertensos en Sección A. ")</f>
        <v/>
      </c>
      <c r="CL28" s="191" t="str">
        <f>IF($M$28&lt;=$M$16,"","* Pacientes 30 a 34 años (Hombres) con PA&lt;140/90 mmHg debe ser menor o igual a Hipertensos en Sección A. ")</f>
        <v/>
      </c>
      <c r="CM28" s="191" t="str">
        <f>IF($N$28&lt;=$N$16,"","* Pacientes 30 a 34 años (Mujeres) con PA&lt;140/90 mmHg debe ser menor o igual a Hipertensos en Sección A. ")</f>
        <v/>
      </c>
      <c r="CN28" s="191" t="str">
        <f>IF($O$28&lt;=$O$16,"","* Pacientes 35 a 39 años (Hombres) con PA&lt;140/90 mmHg debe ser menor o igual a Hipertensos en Sección A. ")</f>
        <v/>
      </c>
      <c r="CO28" s="191" t="str">
        <f>IF($P$28&lt;=$P$16,"","* Pacientes 35 a 39 años (Mujeres) con PA&lt;140/90 mmHg debe ser menor o igual a Hipertensos en Sección A. ")</f>
        <v/>
      </c>
      <c r="CP28" s="191" t="str">
        <f>IF($Q$28&lt;=$Q$16,"","* Pacientes 40 a 44 años (Hombres) con PA&lt;140/90 mmHg debe ser menor o igual a Hipertensos en Sección A. ")</f>
        <v/>
      </c>
      <c r="CQ28" s="191" t="str">
        <f>IF($R$28&lt;=$R$16,"","* Pacientes 40 a 44 años (Mujeres) con PA&lt;140/90 mmHg debe ser menor o igual a Hipertensos en Sección A. ")</f>
        <v/>
      </c>
      <c r="CR28" s="191" t="str">
        <f>IF($S$28&lt;=$S$16,"","* Pacientes 45 a 49 años (Hombres) con PA&lt;140/90 mmHg debe ser menor o igual a Hipertensos en Sección A. ")</f>
        <v/>
      </c>
      <c r="CS28" s="191" t="str">
        <f>IF($T$28&lt;=$T$16,"","* Pacientes 45 a 49 años (Mujeres) con PA&lt;140/90 mmHg debe ser menor o igual a Hipertensos en Sección A. ")</f>
        <v/>
      </c>
      <c r="CT28" s="191" t="str">
        <f>IF($U$28&lt;=$U$16,"","* Pacientes 50 a 54 años (Hombres) con PA&lt;140/90 mmHg debe ser menor o igual a Hipertensos en Sección A. ")</f>
        <v/>
      </c>
      <c r="CU28" s="191" t="str">
        <f>IF($V$28&lt;=$V$16,"","* Pacientes 50 a 54 años (Mujeres) con PA&lt;140/90 mmHg debe ser menor o igual a Hipertensos en Sección A. ")</f>
        <v/>
      </c>
      <c r="CV28" s="191" t="str">
        <f>IF($W$28&lt;=$W$16,"","* Pacientes 55 a 59 años (Hombres) con PA&lt;140/90 mmHg debe ser menor o igual a Hipertensos en Sección A. ")</f>
        <v/>
      </c>
      <c r="CW28" s="191" t="str">
        <f>IF($X$28&lt;=$X$16,"","* Pacientes 55 a 59 años (Mujeres) con PA&lt;140/90 mmHg debe ser menor o igual a Hipertensos en Sección A. ")</f>
        <v/>
      </c>
      <c r="CX28" s="191" t="str">
        <f>IF($Y$28&lt;=$Y$16,"","* Pacientes 60 a 64 años (Hombres) con PA&lt;140/90 mmHg debe ser menor o igual a Hipertensos en Sección A. ")</f>
        <v/>
      </c>
      <c r="CY28" s="191" t="str">
        <f>IF($Z$28&lt;=$Z$16,"","* Pacientes 60 a 64 años (Mujeres) con PA&lt;140/90 mmHg debe ser menor o igual a Hipertensos en Sección A. ")</f>
        <v/>
      </c>
      <c r="CZ28" s="191" t="str">
        <f>IF($AA$28&lt;=$AA$16,"","* Pacientes 65 a 69 años (Hombres) con PA&lt;140/90 mmHg debe ser menor o igual a Hipertensos en Sección A. ")</f>
        <v/>
      </c>
      <c r="DA28" s="191" t="str">
        <f>IF($AB$28&lt;=$AB$16,"","* Pacientes 65 a 69 años (Mujeres) con PA&lt;140/90 mmHg debe ser menor o igual a Hipertensos en Sección A. ")</f>
        <v/>
      </c>
      <c r="DB28" s="191" t="str">
        <f>IF($AC$28&lt;=$AC$16,"","* Pacientes 70 a 74 años (Hombres) con PA&lt;140/90 mmHg debe ser menor o igual a Hipertensos en Sección A. ")</f>
        <v/>
      </c>
      <c r="DC28" s="191" t="str">
        <f>IF($AD$28&lt;=$AD$16,"","* Pacientes 70 a 74 años (Mujeres) con PA&lt;140/90 mmHg debe ser menor o igual a Hipertensos en Sección A. ")</f>
        <v/>
      </c>
      <c r="DD28" s="191" t="str">
        <f>IF($AE$28&lt;=$AE$16,"","* Pacientes 75 a 79 años (Hombres) con PA&lt;140/90 mmHg debe ser menor o igual a Hipertensos en Sección A. ")</f>
        <v/>
      </c>
      <c r="DE28" s="191" t="str">
        <f>IF($AF$28&lt;=$AF$16,"","* Pacientes 75 a 79 años (Mujeres) con PA&lt;140/90 mmHg debe ser menor o igual a Hipertensos en Sección A. ")</f>
        <v/>
      </c>
      <c r="DF28" s="191" t="str">
        <f>IF($AG$28&lt;=$AG$16,"","* Pacientes 80 y más años (Hombres) con PA&lt;140/90 mmHg debe ser menor o igual a Hipertensos en Sección A. ")</f>
        <v/>
      </c>
      <c r="DG28" s="191" t="str">
        <f>IF($AH$28&lt;=$AH$16,"","* Pacientes 80 y más años (Mujeres) con PA&lt;140/90 mmHg debe ser menor o igual a Hipertensos en Sección A. ")</f>
        <v/>
      </c>
      <c r="DL28" s="1047">
        <f>IF(AND(E28&lt;&gt;0,AI28=""),1,IF(AND(F28&lt;&gt;0,AJ28=""),1,0))</f>
        <v>0</v>
      </c>
      <c r="DM28" s="1047">
        <f>IF(AND(E28&lt;&gt;0,AK28=""),1,IF(AND(F28&lt;&gt;0,AL28=""),1,0))</f>
        <v>0</v>
      </c>
      <c r="DN28" s="1047">
        <f>IF($E$28&gt;=$AI$28,0,1)</f>
        <v>1</v>
      </c>
      <c r="DO28" s="1047">
        <f>IF(F$28&gt;=AJ28,0,1)</f>
        <v>1</v>
      </c>
      <c r="DP28" s="1047">
        <f t="shared" ref="DP28:DP42" si="11">IF($E28&gt;=$AK28,0,1)</f>
        <v>1</v>
      </c>
      <c r="DQ28" s="1047">
        <f t="shared" ref="DQ28:DQ42" si="12">IF(F28&gt;=AL28,0,1)</f>
        <v>1</v>
      </c>
      <c r="DR28" s="1047">
        <f t="shared" ref="DR28:ES28" si="13">IF(G$28&lt;=G$16,0,1)</f>
        <v>0</v>
      </c>
      <c r="DS28" s="1047">
        <f t="shared" si="13"/>
        <v>0</v>
      </c>
      <c r="DT28" s="1047">
        <f t="shared" si="13"/>
        <v>0</v>
      </c>
      <c r="DU28" s="1047">
        <f t="shared" si="13"/>
        <v>0</v>
      </c>
      <c r="DV28" s="1047">
        <f t="shared" si="13"/>
        <v>0</v>
      </c>
      <c r="DW28" s="1047">
        <f t="shared" si="13"/>
        <v>0</v>
      </c>
      <c r="DX28" s="1047">
        <f t="shared" si="13"/>
        <v>0</v>
      </c>
      <c r="DY28" s="1047">
        <f t="shared" si="13"/>
        <v>0</v>
      </c>
      <c r="DZ28" s="1047">
        <f t="shared" si="13"/>
        <v>0</v>
      </c>
      <c r="EA28" s="1047">
        <f t="shared" si="13"/>
        <v>0</v>
      </c>
      <c r="EB28" s="1047">
        <f t="shared" si="13"/>
        <v>0</v>
      </c>
      <c r="EC28" s="1047">
        <f t="shared" si="13"/>
        <v>0</v>
      </c>
      <c r="ED28" s="1047">
        <f t="shared" si="13"/>
        <v>0</v>
      </c>
      <c r="EE28" s="1047">
        <f t="shared" si="13"/>
        <v>0</v>
      </c>
      <c r="EF28" s="1047">
        <f t="shared" si="13"/>
        <v>0</v>
      </c>
      <c r="EG28" s="1047">
        <f t="shared" si="13"/>
        <v>0</v>
      </c>
      <c r="EH28" s="1047">
        <f t="shared" si="13"/>
        <v>0</v>
      </c>
      <c r="EI28" s="1047">
        <f t="shared" si="13"/>
        <v>0</v>
      </c>
      <c r="EJ28" s="1047">
        <f t="shared" si="13"/>
        <v>0</v>
      </c>
      <c r="EK28" s="1047">
        <f t="shared" si="13"/>
        <v>0</v>
      </c>
      <c r="EL28" s="1047">
        <f t="shared" si="13"/>
        <v>0</v>
      </c>
      <c r="EM28" s="1047">
        <f t="shared" si="13"/>
        <v>0</v>
      </c>
      <c r="EN28" s="1047">
        <f t="shared" si="13"/>
        <v>0</v>
      </c>
      <c r="EO28" s="1047">
        <f t="shared" si="13"/>
        <v>0</v>
      </c>
      <c r="EP28" s="1047">
        <f t="shared" si="13"/>
        <v>0</v>
      </c>
      <c r="EQ28" s="1047">
        <f t="shared" si="13"/>
        <v>0</v>
      </c>
      <c r="ER28" s="1047">
        <f t="shared" si="13"/>
        <v>0</v>
      </c>
      <c r="ES28" s="1047">
        <f t="shared" si="13"/>
        <v>0</v>
      </c>
    </row>
    <row r="29" spans="1:149" ht="15" customHeight="1" x14ac:dyDescent="0.2">
      <c r="A29" s="1589" t="s">
        <v>1232</v>
      </c>
      <c r="B29" s="1708"/>
      <c r="C29" s="133" t="s">
        <v>513</v>
      </c>
      <c r="D29" s="1144" t="s">
        <v>1616</v>
      </c>
      <c r="E29" s="540" t="s">
        <v>1617</v>
      </c>
      <c r="F29" s="878" t="s">
        <v>1618</v>
      </c>
      <c r="G29" s="439" t="s">
        <v>1619</v>
      </c>
      <c r="H29" s="886" t="s">
        <v>1620</v>
      </c>
      <c r="I29" s="439" t="s">
        <v>1621</v>
      </c>
      <c r="J29" s="441" t="s">
        <v>1622</v>
      </c>
      <c r="K29" s="439" t="s">
        <v>1623</v>
      </c>
      <c r="L29" s="441" t="s">
        <v>1624</v>
      </c>
      <c r="M29" s="439" t="s">
        <v>1625</v>
      </c>
      <c r="N29" s="440" t="s">
        <v>1626</v>
      </c>
      <c r="O29" s="439" t="s">
        <v>1627</v>
      </c>
      <c r="P29" s="440" t="s">
        <v>1628</v>
      </c>
      <c r="Q29" s="439" t="s">
        <v>1629</v>
      </c>
      <c r="R29" s="441" t="s">
        <v>1630</v>
      </c>
      <c r="S29" s="439" t="s">
        <v>1631</v>
      </c>
      <c r="T29" s="440" t="s">
        <v>1632</v>
      </c>
      <c r="U29" s="439" t="s">
        <v>1633</v>
      </c>
      <c r="V29" s="440" t="s">
        <v>1634</v>
      </c>
      <c r="W29" s="439" t="s">
        <v>1635</v>
      </c>
      <c r="X29" s="440" t="s">
        <v>1636</v>
      </c>
      <c r="Y29" s="439" t="s">
        <v>1637</v>
      </c>
      <c r="Z29" s="440" t="s">
        <v>1638</v>
      </c>
      <c r="AA29" s="439" t="s">
        <v>1639</v>
      </c>
      <c r="AB29" s="440" t="s">
        <v>1640</v>
      </c>
      <c r="AC29" s="439" t="s">
        <v>1641</v>
      </c>
      <c r="AD29" s="440" t="s">
        <v>1642</v>
      </c>
      <c r="AE29" s="439" t="s">
        <v>1643</v>
      </c>
      <c r="AF29" s="440" t="s">
        <v>1644</v>
      </c>
      <c r="AG29" s="463" t="s">
        <v>1645</v>
      </c>
      <c r="AH29" s="415" t="s">
        <v>1646</v>
      </c>
      <c r="AI29" s="416" t="s">
        <v>1647</v>
      </c>
      <c r="AJ29" s="404" t="s">
        <v>1648</v>
      </c>
      <c r="AK29" s="464" t="s">
        <v>1649</v>
      </c>
      <c r="AL29" s="404" t="s">
        <v>1650</v>
      </c>
      <c r="AM29" s="36" t="str">
        <f t="shared" ref="AM29:AM41" si="14">CB29&amp;CC29&amp;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DD29 &amp; DF29 &amp; DG29 &amp;DE29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29" s="191" t="str">
        <f t="shared" ref="CB29:CB42" si="15">IF(AND(E29&gt;0,OR(AI29=""))," * No olvide digitar la variable Pueblos Originarios Hombres. Digite Cero si no tiene.",IF(AI29&gt;E29," * La variable Pueblos Originarios Hombres no puede ser Mayor al Total Hombres.",""))</f>
        <v xml:space="preserve"> * La variable Pueblos Originarios Hombres no puede ser Mayor al Total Hombres.</v>
      </c>
      <c r="CC29" s="191" t="str">
        <f t="shared" ref="CC29:CC42" si="16">IF(AND(F29&gt;0,OR(AJ29=""))," * No olvide digitar la variable Pueblos Originarios Mujeres. Digite Cero si no tiene.",IF(AJ29&gt;F29," * La variable Pueblos Originarios Mujeres no puede ser Mayor al Total Mujeres.",""))</f>
        <v xml:space="preserve"> * La variable Pueblos Originarios Mujeres no puede ser Mayor al Total Mujeres.</v>
      </c>
      <c r="CD29" s="191" t="str">
        <f t="shared" ref="CD29:CD42" si="17">IF(AND($E29&gt;0,OR(AK29=""))," * No olvide digitar la variable Migrantes Hombres. Digite Cero si no tiene.",IF(AK29&gt;$E29," * La variable Migrantes Hombres no puede ser Mayor al Total Hombres.",""))</f>
        <v xml:space="preserve"> * La variable Migrantes Hombres no puede ser Mayor al Total Hombres.</v>
      </c>
      <c r="CE29" s="191" t="str">
        <f t="shared" ref="CE29:CE42" si="18">IF(AND(F29&gt;0,OR(AL29=""))," * No olvide digitar la variable Migrantes Mujeres. Digite Cero si no tiene.",IF(AL29&gt;F29," * La variable Migrantes Mujeres no puede ser Mayor al Total Mujeres.",""))</f>
        <v xml:space="preserve"> * La variable Migrantes Mujeres no puede ser Mayor al Total Mujeres.</v>
      </c>
      <c r="DL29" s="1047">
        <f t="shared" ref="DL29:DL42" si="19">IF(AND(E29&lt;&gt;0,AI29=""),1,IF(AND(F29&lt;&gt;0,AJ29=""),1,0))</f>
        <v>0</v>
      </c>
      <c r="DM29" s="1047">
        <f t="shared" ref="DM29:DM42" si="20">IF(AND(E29&lt;&gt;0,AK29=""),1,IF(AND(F29&lt;&gt;0,AL29=""),1,0))</f>
        <v>0</v>
      </c>
      <c r="DN29" s="1047">
        <f>IF($E$29&gt;=$AI$29,0,1)</f>
        <v>1</v>
      </c>
      <c r="DO29" s="1047">
        <f t="shared" ref="DO29:DO42" si="21">IF(F$28&gt;=AJ29,0,1)</f>
        <v>1</v>
      </c>
      <c r="DP29" s="1047">
        <f t="shared" si="11"/>
        <v>1</v>
      </c>
      <c r="DQ29" s="1047">
        <f t="shared" si="12"/>
        <v>1</v>
      </c>
    </row>
    <row r="30" spans="1:149" ht="15" customHeight="1" x14ac:dyDescent="0.2">
      <c r="A30" s="1589" t="s">
        <v>1233</v>
      </c>
      <c r="B30" s="2003" t="s">
        <v>514</v>
      </c>
      <c r="C30" s="106" t="s">
        <v>515</v>
      </c>
      <c r="D30" s="1145" t="s">
        <v>1616</v>
      </c>
      <c r="E30" s="392" t="s">
        <v>1617</v>
      </c>
      <c r="F30" s="447" t="s">
        <v>1618</v>
      </c>
      <c r="G30" s="394" t="s">
        <v>1619</v>
      </c>
      <c r="H30" s="395" t="s">
        <v>1620</v>
      </c>
      <c r="I30" s="394" t="s">
        <v>1621</v>
      </c>
      <c r="J30" s="395" t="s">
        <v>1622</v>
      </c>
      <c r="K30" s="394" t="s">
        <v>1623</v>
      </c>
      <c r="L30" s="395" t="s">
        <v>1624</v>
      </c>
      <c r="M30" s="394" t="s">
        <v>1625</v>
      </c>
      <c r="N30" s="395" t="s">
        <v>1626</v>
      </c>
      <c r="O30" s="394" t="s">
        <v>1627</v>
      </c>
      <c r="P30" s="395" t="s">
        <v>1628</v>
      </c>
      <c r="Q30" s="394" t="s">
        <v>1629</v>
      </c>
      <c r="R30" s="395" t="s">
        <v>1630</v>
      </c>
      <c r="S30" s="394" t="s">
        <v>1631</v>
      </c>
      <c r="T30" s="395" t="s">
        <v>1632</v>
      </c>
      <c r="U30" s="394" t="s">
        <v>1633</v>
      </c>
      <c r="V30" s="395" t="s">
        <v>1634</v>
      </c>
      <c r="W30" s="394" t="s">
        <v>1635</v>
      </c>
      <c r="X30" s="395" t="s">
        <v>1636</v>
      </c>
      <c r="Y30" s="394" t="s">
        <v>1637</v>
      </c>
      <c r="Z30" s="395" t="s">
        <v>1638</v>
      </c>
      <c r="AA30" s="394" t="s">
        <v>1639</v>
      </c>
      <c r="AB30" s="395" t="s">
        <v>1640</v>
      </c>
      <c r="AC30" s="394" t="s">
        <v>1641</v>
      </c>
      <c r="AD30" s="395" t="s">
        <v>1642</v>
      </c>
      <c r="AE30" s="394" t="s">
        <v>1643</v>
      </c>
      <c r="AF30" s="395" t="s">
        <v>1644</v>
      </c>
      <c r="AG30" s="884" t="s">
        <v>1645</v>
      </c>
      <c r="AH30" s="884" t="s">
        <v>1646</v>
      </c>
      <c r="AI30" s="412" t="s">
        <v>1647</v>
      </c>
      <c r="AJ30" s="395" t="s">
        <v>1648</v>
      </c>
      <c r="AK30" s="462" t="s">
        <v>1649</v>
      </c>
      <c r="AL30" s="395" t="s">
        <v>1650</v>
      </c>
      <c r="AM30" s="36" t="str">
        <f>CB30&amp;CC30&amp;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DD30 &amp; DF30 &amp; DG30 &amp;DE30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0" s="191" t="str">
        <f t="shared" si="15"/>
        <v xml:space="preserve"> * La variable Pueblos Originarios Hombres no puede ser Mayor al Total Hombres.</v>
      </c>
      <c r="CC30" s="191" t="str">
        <f t="shared" si="16"/>
        <v xml:space="preserve"> * La variable Pueblos Originarios Mujeres no puede ser Mayor al Total Mujeres.</v>
      </c>
      <c r="CD30" s="191" t="str">
        <f t="shared" si="17"/>
        <v xml:space="preserve"> * La variable Migrantes Hombres no puede ser Mayor al Total Hombres.</v>
      </c>
      <c r="CE30" s="191" t="str">
        <f t="shared" si="18"/>
        <v xml:space="preserve"> * La variable Migrantes Mujeres no puede ser Mayor al Total Mujeres.</v>
      </c>
      <c r="CF30" s="191" t="str">
        <f>IF($G$30&lt;=$G$17,"","* Pacientes 15 a 19 años (Hombres) con HbA1C&lt;7% debe ser menor o igual a Diabéticos en Sección A. ")</f>
        <v/>
      </c>
      <c r="CG30" s="191" t="str">
        <f>IF($H$30&lt;=$H$17,"","* Pacientes 15 a 19 años (Mujeres) con HbA1C&lt;7% debe ser menor o igual a Diabéticos en Sección A. ")</f>
        <v/>
      </c>
      <c r="CH30" s="191" t="str">
        <f>IF($I$30&lt;=$I$17,"","* Pacientes 20 a 24 años (Hombres) con HbA1C&lt;7% debe ser menor o igual a Diabéticos en Sección A. ")</f>
        <v/>
      </c>
      <c r="CI30" s="191" t="str">
        <f>IF($J$30&lt;=$J$17,"","* Pacientes 20 a 24 años (Mujeres) con HbA1C&lt;7% debe ser menor o igual a Diabéticos en Sección A. ")</f>
        <v/>
      </c>
      <c r="CJ30" s="191" t="str">
        <f>IF($K$30&lt;=$K$17,"","* Pacientes 25 a 29 años (Hombres) con HbA1C&lt;7% debe ser menor o igual a Diabéticos en Sección A. ")</f>
        <v/>
      </c>
      <c r="CK30" s="191" t="str">
        <f>IF($L$30&lt;=$L$17,"","* Pacientes 25 a 29 años (Mujeres) con HbA1C&lt;7% debe ser menor o igual a Diabéticos en Sección A. ")</f>
        <v/>
      </c>
      <c r="CL30" s="191" t="str">
        <f>IF($M$30&lt;=$M$17,"","* Pacientes 30 a 34 años (Hombres) con HbA1C&lt;7% debe ser menor o igual a Diabéticos en Sección A. ")</f>
        <v/>
      </c>
      <c r="CM30" s="191" t="str">
        <f>IF($N$30&lt;=$N$17,"","* Pacientes 30 a 34 años (Mujeres) con HbA1C&lt;7% debe ser menor o igual a Diabéticos en Sección A. ")</f>
        <v/>
      </c>
      <c r="CN30" s="191" t="str">
        <f>IF($O$30&lt;=$O$17,"","* Pacientes 35 a 39 años (Hombres) con HbA1C&lt;7% debe ser menor o igual a Diabéticos en Sección A. ")</f>
        <v/>
      </c>
      <c r="CO30" s="191" t="str">
        <f>IF($P$30&lt;=$P$17,"","* Pacientes 35 a 39 años (Mujeres) con HbA1C&lt;7% debe ser menor o igual a Diabéticos en Sección A. ")</f>
        <v/>
      </c>
      <c r="CP30" s="191" t="str">
        <f>IF($Q$30&lt;=$Q$17,"","* Pacientes 40 a 44 años (Hombres) con HbA1C&lt;7% debe ser menor o igual a Diabéticos en Sección A. ")</f>
        <v/>
      </c>
      <c r="CQ30" s="191" t="str">
        <f>IF($R$30&lt;=$R$17,"","* Pacientes 40 a 44 años (Mujeres) con HbA1C&lt;7% debe ser menor o igual a Diabéticos en Sección A. ")</f>
        <v/>
      </c>
      <c r="CR30" s="191" t="str">
        <f>IF($S$30&lt;=$S$17,"","* Pacientes 45 a 49 años (Hombres) con HbA1C&lt;7% debe ser menor o igual a Diabéticos en Sección A. ")</f>
        <v/>
      </c>
      <c r="CS30" s="191" t="str">
        <f>IF($T$30&lt;=$T$17,"","* Pacientes 45 a 49 años (Mujeres) con HbA1C&lt;7% debe ser menor o igual a Diabéticos en Sección A. ")</f>
        <v/>
      </c>
      <c r="CT30" s="191" t="str">
        <f>IF($U$30&lt;=$U$17,"","* Pacientes 50 a 54 años (Hombres) con HbA1C&lt;7% debe ser menor o igual a Diabéticos en Sección A. ")</f>
        <v/>
      </c>
      <c r="CU30" s="191" t="str">
        <f>IF($V$30&lt;=$V$17,"","* Pacientes 50 a 54 años (Mujeres) con HbA1C&lt;7% debe ser menor o igual a Diabéticos en Sección A. ")</f>
        <v/>
      </c>
      <c r="CV30" s="191" t="str">
        <f>IF($W$30&lt;=$W$17,"","* Pacientes 55 a 59 años (Hombres) con HbA1C&lt;7% debe ser menor o igual a Diabéticos en Sección A. ")</f>
        <v/>
      </c>
      <c r="CW30" s="191" t="str">
        <f>IF($X$30&lt;=$X$17,"","* Pacientes 55 a 59 años (Mujeres) con HbA1C&lt;7% debe ser menor o igual a Diabéticos en Sección A. ")</f>
        <v/>
      </c>
      <c r="CX30" s="191" t="str">
        <f>IF($Y$30&lt;=$Y$17,"","* Pacientes 60 a 64 años (Hombres) con HbA1C&lt;7% debe ser menor o igual a Diabéticos en Sección A. ")</f>
        <v/>
      </c>
      <c r="CY30" s="191" t="str">
        <f>IF($Z$30&lt;=$Z$17,"","* Pacientes 60 a 64 años (Mujeres) con HbA1C&lt;7% debe ser menor o igual a Diabéticos en Sección A. ")</f>
        <v/>
      </c>
      <c r="CZ30" s="191" t="str">
        <f>IF($AA$30&lt;=$AA$17,"","* Pacientes 65 a 69 años (Hombres) con HbA1C&lt;7% debe ser menor o igual a Diabéticos en Sección A. ")</f>
        <v/>
      </c>
      <c r="DA30" s="191" t="str">
        <f>IF($AB$30&lt;=$AB$17,"","* Pacientes 65 a 69 años (Mujeres) con HbA1C&lt;7% debe ser menor o igual a Diabéticos en Sección A. ")</f>
        <v/>
      </c>
      <c r="DB30" s="191" t="str">
        <f>IF($AC$30&lt;=$AC$17,"","* Pacientes 70 a 74 años (Hombres) con HbA1C&lt;7% debe ser menor o igual a Diabéticos en Sección A. ")</f>
        <v/>
      </c>
      <c r="DC30" s="191" t="str">
        <f>IF($AD$30&lt;=$AD$17,"","* Pacientes 70 a 74 años (Mujeres) con HbA1C&lt;7% debe ser menor o igual a Diabéticos en Sección A. ")</f>
        <v/>
      </c>
      <c r="DD30" s="191" t="str">
        <f>IF($AE$30&lt;=$AE$17,"","* Pacientes 75 a 79 años (Hombres) con HbA1C&lt;7% debe ser menor o igual a Diabéticos en Sección A. ")</f>
        <v/>
      </c>
      <c r="DE30" s="191" t="str">
        <f>IF($AF$30&lt;=$AF$17,"","* Pacientes 75 a 79 años (Mujeres) con HbA1C&lt;7% debe ser menor o igual a Diabéticos en Sección A. ")</f>
        <v/>
      </c>
      <c r="DF30" s="191" t="str">
        <f>IF($AG$30&lt;=$AG$17,"","* Pacientes 80 y más años (Hombres) con HbA1C&lt;7% debe ser menor o igual a Diabéticos en Sección A. ")</f>
        <v/>
      </c>
      <c r="DG30" s="191"/>
      <c r="DL30" s="1047">
        <f t="shared" si="19"/>
        <v>0</v>
      </c>
      <c r="DM30" s="1047">
        <f t="shared" si="20"/>
        <v>0</v>
      </c>
      <c r="DN30" s="1047">
        <f>IF($E$30&gt;=$AI$30,0,1)</f>
        <v>1</v>
      </c>
      <c r="DO30" s="1047">
        <f t="shared" si="21"/>
        <v>1</v>
      </c>
      <c r="DP30" s="1047">
        <f t="shared" si="11"/>
        <v>1</v>
      </c>
      <c r="DQ30" s="1047">
        <f t="shared" si="12"/>
        <v>1</v>
      </c>
      <c r="DR30" s="1047">
        <f t="shared" ref="DR30:ES30" si="22">IF(G$30&lt;=G$17,0,1)</f>
        <v>0</v>
      </c>
      <c r="DS30" s="1047">
        <f t="shared" si="22"/>
        <v>0</v>
      </c>
      <c r="DT30" s="1047">
        <f t="shared" si="22"/>
        <v>0</v>
      </c>
      <c r="DU30" s="1047">
        <f t="shared" si="22"/>
        <v>0</v>
      </c>
      <c r="DV30" s="1047">
        <f t="shared" si="22"/>
        <v>0</v>
      </c>
      <c r="DW30" s="1047">
        <f t="shared" si="22"/>
        <v>0</v>
      </c>
      <c r="DX30" s="1047">
        <f t="shared" si="22"/>
        <v>0</v>
      </c>
      <c r="DY30" s="1047">
        <f t="shared" si="22"/>
        <v>0</v>
      </c>
      <c r="DZ30" s="1047">
        <f t="shared" si="22"/>
        <v>0</v>
      </c>
      <c r="EA30" s="1047">
        <f t="shared" si="22"/>
        <v>0</v>
      </c>
      <c r="EB30" s="1047">
        <f t="shared" si="22"/>
        <v>0</v>
      </c>
      <c r="EC30" s="1047">
        <f t="shared" si="22"/>
        <v>0</v>
      </c>
      <c r="ED30" s="1047">
        <f t="shared" si="22"/>
        <v>0</v>
      </c>
      <c r="EE30" s="1047">
        <f t="shared" si="22"/>
        <v>0</v>
      </c>
      <c r="EF30" s="1047">
        <f t="shared" si="22"/>
        <v>0</v>
      </c>
      <c r="EG30" s="1047">
        <f t="shared" si="22"/>
        <v>0</v>
      </c>
      <c r="EH30" s="1047">
        <f t="shared" si="22"/>
        <v>0</v>
      </c>
      <c r="EI30" s="1047">
        <f t="shared" si="22"/>
        <v>0</v>
      </c>
      <c r="EJ30" s="1047">
        <f t="shared" si="22"/>
        <v>0</v>
      </c>
      <c r="EK30" s="1047">
        <f t="shared" si="22"/>
        <v>0</v>
      </c>
      <c r="EL30" s="1047">
        <f t="shared" si="22"/>
        <v>0</v>
      </c>
      <c r="EM30" s="1047">
        <f t="shared" si="22"/>
        <v>0</v>
      </c>
      <c r="EN30" s="1047">
        <f t="shared" si="22"/>
        <v>0</v>
      </c>
      <c r="EO30" s="1047">
        <f t="shared" si="22"/>
        <v>0</v>
      </c>
      <c r="EP30" s="1047">
        <f t="shared" si="22"/>
        <v>0</v>
      </c>
      <c r="EQ30" s="1047">
        <f t="shared" si="22"/>
        <v>0</v>
      </c>
      <c r="ER30" s="1047">
        <f t="shared" si="22"/>
        <v>0</v>
      </c>
      <c r="ES30" s="1047">
        <f t="shared" si="22"/>
        <v>0</v>
      </c>
    </row>
    <row r="31" spans="1:149" ht="15" customHeight="1" x14ac:dyDescent="0.2">
      <c r="A31" s="1589" t="s">
        <v>1234</v>
      </c>
      <c r="B31" s="2004"/>
      <c r="C31" s="134" t="s">
        <v>516</v>
      </c>
      <c r="D31" s="1376" t="s">
        <v>1616</v>
      </c>
      <c r="E31" s="389" t="s">
        <v>1617</v>
      </c>
      <c r="F31" s="869" t="s">
        <v>1618</v>
      </c>
      <c r="G31" s="436" t="s">
        <v>1619</v>
      </c>
      <c r="H31" s="534" t="s">
        <v>1620</v>
      </c>
      <c r="I31" s="436" t="s">
        <v>1621</v>
      </c>
      <c r="J31" s="438" t="s">
        <v>1622</v>
      </c>
      <c r="K31" s="436" t="s">
        <v>1623</v>
      </c>
      <c r="L31" s="438" t="s">
        <v>1624</v>
      </c>
      <c r="M31" s="436" t="s">
        <v>1625</v>
      </c>
      <c r="N31" s="437" t="s">
        <v>1626</v>
      </c>
      <c r="O31" s="436" t="s">
        <v>1627</v>
      </c>
      <c r="P31" s="437" t="s">
        <v>1628</v>
      </c>
      <c r="Q31" s="436" t="s">
        <v>1629</v>
      </c>
      <c r="R31" s="438" t="s">
        <v>1630</v>
      </c>
      <c r="S31" s="436" t="s">
        <v>1631</v>
      </c>
      <c r="T31" s="437" t="s">
        <v>1632</v>
      </c>
      <c r="U31" s="436" t="s">
        <v>1633</v>
      </c>
      <c r="V31" s="437" t="s">
        <v>1634</v>
      </c>
      <c r="W31" s="436" t="s">
        <v>1635</v>
      </c>
      <c r="X31" s="437" t="s">
        <v>1636</v>
      </c>
      <c r="Y31" s="436" t="s">
        <v>1637</v>
      </c>
      <c r="Z31" s="437" t="s">
        <v>1638</v>
      </c>
      <c r="AA31" s="436" t="s">
        <v>1639</v>
      </c>
      <c r="AB31" s="437" t="s">
        <v>1640</v>
      </c>
      <c r="AC31" s="436" t="s">
        <v>1641</v>
      </c>
      <c r="AD31" s="437" t="s">
        <v>1642</v>
      </c>
      <c r="AE31" s="436" t="s">
        <v>1643</v>
      </c>
      <c r="AF31" s="437" t="s">
        <v>1644</v>
      </c>
      <c r="AG31" s="465" t="s">
        <v>1645</v>
      </c>
      <c r="AH31" s="407" t="s">
        <v>1646</v>
      </c>
      <c r="AI31" s="445" t="s">
        <v>1647</v>
      </c>
      <c r="AJ31" s="399" t="s">
        <v>1648</v>
      </c>
      <c r="AK31" s="465" t="s">
        <v>1649</v>
      </c>
      <c r="AL31" s="399" t="s">
        <v>1650</v>
      </c>
      <c r="AM31" s="36" t="str">
        <f t="shared" si="1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1" s="191" t="str">
        <f t="shared" si="15"/>
        <v xml:space="preserve"> * La variable Pueblos Originarios Hombres no puede ser Mayor al Total Hombres.</v>
      </c>
      <c r="CC31" s="191" t="str">
        <f t="shared" si="16"/>
        <v xml:space="preserve"> * La variable Pueblos Originarios Mujeres no puede ser Mayor al Total Mujeres.</v>
      </c>
      <c r="CD31" s="191" t="str">
        <f t="shared" si="17"/>
        <v xml:space="preserve"> * La variable Migrantes Hombres no puede ser Mayor al Total Hombres.</v>
      </c>
      <c r="CE31" s="191" t="str">
        <f t="shared" si="18"/>
        <v xml:space="preserve"> * La variable Migrantes Mujeres no puede ser Mayor al Total Mujeres.</v>
      </c>
      <c r="DL31" s="1047">
        <f t="shared" si="19"/>
        <v>0</v>
      </c>
      <c r="DM31" s="1047">
        <f t="shared" si="20"/>
        <v>0</v>
      </c>
      <c r="DN31" s="1047">
        <f>IF($E$31&gt;=$AI$31,0,1)</f>
        <v>1</v>
      </c>
      <c r="DO31" s="1047">
        <f t="shared" si="21"/>
        <v>1</v>
      </c>
      <c r="DP31" s="1047">
        <f>IF($E31&gt;=$AK31,0,1)</f>
        <v>1</v>
      </c>
      <c r="DQ31" s="1047">
        <f t="shared" si="12"/>
        <v>1</v>
      </c>
    </row>
    <row r="32" spans="1:149" ht="15" customHeight="1" x14ac:dyDescent="0.2">
      <c r="A32" s="1589" t="s">
        <v>1235</v>
      </c>
      <c r="B32" s="2005"/>
      <c r="C32" s="1640" t="s">
        <v>1665</v>
      </c>
      <c r="D32" s="1143" t="s">
        <v>1616</v>
      </c>
      <c r="E32" s="391" t="s">
        <v>1617</v>
      </c>
      <c r="F32" s="458" t="s">
        <v>1618</v>
      </c>
      <c r="G32" s="403" t="s">
        <v>1619</v>
      </c>
      <c r="H32" s="404" t="s">
        <v>1620</v>
      </c>
      <c r="I32" s="403" t="s">
        <v>1621</v>
      </c>
      <c r="J32" s="404" t="s">
        <v>1622</v>
      </c>
      <c r="K32" s="403" t="s">
        <v>1623</v>
      </c>
      <c r="L32" s="404" t="s">
        <v>1624</v>
      </c>
      <c r="M32" s="403" t="s">
        <v>1625</v>
      </c>
      <c r="N32" s="404" t="s">
        <v>1626</v>
      </c>
      <c r="O32" s="403" t="s">
        <v>1627</v>
      </c>
      <c r="P32" s="404" t="s">
        <v>1628</v>
      </c>
      <c r="Q32" s="403" t="s">
        <v>1629</v>
      </c>
      <c r="R32" s="404" t="s">
        <v>1630</v>
      </c>
      <c r="S32" s="403" t="s">
        <v>1631</v>
      </c>
      <c r="T32" s="404" t="s">
        <v>1632</v>
      </c>
      <c r="U32" s="403" t="s">
        <v>1633</v>
      </c>
      <c r="V32" s="404" t="s">
        <v>1634</v>
      </c>
      <c r="W32" s="403" t="s">
        <v>1635</v>
      </c>
      <c r="X32" s="404" t="s">
        <v>1636</v>
      </c>
      <c r="Y32" s="403" t="s">
        <v>1637</v>
      </c>
      <c r="Z32" s="404" t="s">
        <v>1638</v>
      </c>
      <c r="AA32" s="403" t="s">
        <v>1639</v>
      </c>
      <c r="AB32" s="404" t="s">
        <v>1640</v>
      </c>
      <c r="AC32" s="403" t="s">
        <v>1641</v>
      </c>
      <c r="AD32" s="404" t="s">
        <v>1642</v>
      </c>
      <c r="AE32" s="403" t="s">
        <v>1643</v>
      </c>
      <c r="AF32" s="404" t="s">
        <v>1644</v>
      </c>
      <c r="AG32" s="464" t="s">
        <v>1645</v>
      </c>
      <c r="AH32" s="470" t="s">
        <v>1646</v>
      </c>
      <c r="AI32" s="416" t="s">
        <v>1647</v>
      </c>
      <c r="AJ32" s="404" t="s">
        <v>1648</v>
      </c>
      <c r="AK32" s="464" t="s">
        <v>1649</v>
      </c>
      <c r="AL32" s="404" t="s">
        <v>1650</v>
      </c>
      <c r="AM32" s="36" t="str">
        <f t="shared" si="1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2" s="191" t="str">
        <f t="shared" si="15"/>
        <v xml:space="preserve"> * La variable Pueblos Originarios Hombres no puede ser Mayor al Total Hombres.</v>
      </c>
      <c r="CC32" s="191" t="str">
        <f t="shared" si="16"/>
        <v xml:space="preserve"> * La variable Pueblos Originarios Mujeres no puede ser Mayor al Total Mujeres.</v>
      </c>
      <c r="CD32" s="191" t="str">
        <f t="shared" si="17"/>
        <v xml:space="preserve"> * La variable Migrantes Hombres no puede ser Mayor al Total Hombres.</v>
      </c>
      <c r="CE32" s="191" t="str">
        <f t="shared" si="18"/>
        <v xml:space="preserve"> * La variable Migrantes Mujeres no puede ser Mayor al Total Mujeres.</v>
      </c>
      <c r="CF32" s="191" t="str">
        <f>IF($G$32&lt;=$G$30,"","* Pacientes 15 a 19 años (Hombres) con HbA1C&lt;7% - PA&lt;140/90mmHg debe ser menor o igual a los con HbA1C&lt;7%. ")</f>
        <v/>
      </c>
      <c r="CG32" s="191" t="str">
        <f>IF($H$32&lt;=$H$30,"","* Pacientes 15 a 19 años (Mujeres) con HbA1C&lt;7% - PA&lt;140/90mmHg debe ser menor o igual a los con HbA1C&lt;7%. ")</f>
        <v/>
      </c>
      <c r="CH32" s="191" t="str">
        <f>IF($I$32&lt;=$I$30,"","* Pacientes 20 a 24 años (Hombres) con HbA1C&lt;7% - PA&lt;140/90mmHg debe ser menor o igual a los con HbA1C&lt;7%. ")</f>
        <v/>
      </c>
      <c r="CI32" s="191" t="str">
        <f>IF($J$32&lt;=$J$30,"","* Pacientes 20 a 24 años (Mujeres) con HbA1C&lt;7% - PA&lt;140/90mmHg debe ser menor o igual a los con HbA1C&lt;7%. ")</f>
        <v/>
      </c>
      <c r="CJ32" s="191" t="str">
        <f>IF($K$32&lt;=$K$30,"","* Pacientes 25 a 29 años (Hombres) con HbA1C&lt;7% - PA&lt;140/90mmHg debe ser menor o igual a los con HbA1C&lt;7%. ")</f>
        <v/>
      </c>
      <c r="CK32" s="191" t="str">
        <f>IF($L$32&lt;=$L$30,"","* Pacientes 25 a 29 años (Mujeres) con HbA1C&lt;7% - PA&lt;140/90mmHg debe ser menor o igual a los con HbA1C&lt;7%. ")</f>
        <v/>
      </c>
      <c r="CL32" s="191" t="str">
        <f>IF($M$32&lt;=$M$30,"","* Pacientes 30 a 34 años (Hombres) con HbA1C&lt;7% - PA&lt;140/90mmHg debe ser menor o igual a los con HbA1C&lt;7%. ")</f>
        <v/>
      </c>
      <c r="CM32" s="191" t="str">
        <f>IF($N$32&lt;=$N$30,"","* Pacientes 30 a 34 años (Mujeres) con HbA1C&lt;7% - PA&lt;140/90mmHg debe ser menor o igual a los con HbA1C&lt;7%. ")</f>
        <v/>
      </c>
      <c r="CN32" s="191" t="str">
        <f>IF($O$32&lt;=$O$30,"","* Pacientes 35 a 39 años (Hombres) con HbA1C&lt;7% - PA&lt;140/90mmHg debe ser menor o igual a los con HbA1C&lt;7%. ")</f>
        <v/>
      </c>
      <c r="CO32" s="191" t="str">
        <f>IF($P$32&lt;=$P$30,"","* Pacientes 35 a 39 años (Mujeres) con HbA1C&lt;7% - PA&lt;140/90mmHg debe ser menor o igual a los con HbA1C&lt;7%. ")</f>
        <v/>
      </c>
      <c r="CP32" s="191" t="str">
        <f>IF($Q$32&lt;=$Q$30,"","* Pacientes 40 a 44 años (Hombres) con HbA1C&lt;7% - PA&lt;140/90mmHg debe ser menor o igual a los con HbA1C&lt;7%. ")</f>
        <v/>
      </c>
      <c r="CQ32" s="191" t="str">
        <f>IF($R$32&lt;=$R$30,"","* Pacientes 40 a 44 años (Mujeres) con HbA1C&lt;7% - PA&lt;140/90mmHg debe ser menor o igual a los con HbA1C&lt;7%. ")</f>
        <v/>
      </c>
      <c r="CR32" s="191" t="str">
        <f>IF($S$32&lt;=$S$30,"","* Pacientes 45 a 49 años (Hombres) con HbA1C&lt;7% - PA&lt;140/90mmHg debe ser menor o igual a los con HbA1C&lt;7%. ")</f>
        <v/>
      </c>
      <c r="CS32" s="191" t="str">
        <f>IF($T$32&lt;=$T$30,"","* Pacientes 45 a 49 años (Mujeres) con HbA1C&lt;7% - PA&lt;140/90mmHg debe ser menor o igual a los con HbA1C&lt;7%. ")</f>
        <v/>
      </c>
      <c r="CT32" s="191" t="str">
        <f>IF($U$32&lt;=$U$30,"","* Pacientes 50 a 54 años (Hombres) con HbA1C&lt;7% - PA&lt;140/90mmHg debe ser menor o igual a los con HbA1C&lt;7%. ")</f>
        <v/>
      </c>
      <c r="CU32" s="191" t="str">
        <f>IF($V$32&lt;=$V$30,"","* Pacientes 50 a 54 años (Mujeres) con HbA1C&lt;7% - PA&lt;140/90mmHg debe ser menor o igual a los con HbA1C&lt;7%. ")</f>
        <v/>
      </c>
      <c r="CV32" s="191" t="str">
        <f>IF($W$32&lt;=$W$30,"","* Pacientes 55 a 59 años (Hombres) con HbA1C&lt;7% - PA&lt;140/90mmHg debe ser menor o igual a los con HbA1C&lt;7%. ")</f>
        <v/>
      </c>
      <c r="CW32" s="191" t="str">
        <f>IF($X$32&lt;=$X$30,"","* Pacientes 55 a 59 años (Mujeres) con HbA1C&lt;7% - PA&lt;140/90mmHg debe ser menor o igual a los con HbA1C&lt;7%. ")</f>
        <v/>
      </c>
      <c r="CX32" s="191" t="str">
        <f>IF($Y$32&lt;=$Y$30,"","* Pacientes 60 a 64 años (Hombres) con HbA1C&lt;7% - PA&lt;140/90mmHg debe ser menor o igual a los con HbA1C&lt;7%. ")</f>
        <v/>
      </c>
      <c r="CY32" s="191" t="str">
        <f>IF($Z$32&lt;=$Z$30,"","* Pacientes 60 a 64 años (Mujeres) con HbA1C&lt;7% - PA&lt;140/90mmHg debe ser menor o igual a los con HbA1C&lt;7%. ")</f>
        <v/>
      </c>
      <c r="CZ32" s="191" t="str">
        <f>IF($AA$32&lt;=$AA$30,"","* Pacientes 65 a 69 años (Hombres) con HbA1C&lt;7% - PA&lt;140/90mmHg debe ser menor o igual a los con HbA1C&lt;7%. ")</f>
        <v/>
      </c>
      <c r="DA32" s="191" t="str">
        <f>IF($AB$32&lt;=$AB$30,"","* Pacientes 65 a 69 años (Mujeres) con HbA1C&lt;7% - PA&lt;140/90mmHg debe ser menor o igual a los con HbA1C&lt;7%. ")</f>
        <v/>
      </c>
      <c r="DB32" s="191" t="str">
        <f>IF($AC$32&lt;=$AC$30,"","* Pacientes 70 a 74 años (Hombres) con HbA1C&lt;7% - PA&lt;140/90mmHg debe ser menor o igual a los con HbA1C&lt;7%. ")</f>
        <v/>
      </c>
      <c r="DC32" s="191" t="str">
        <f>IF($AD$32&lt;=$AD$30,"","* Pacientes 70 a 74 años (Mujeres) con HbA1C&lt;7% - PA&lt;140/90mmHg debe ser menor o igual a los con HbA1C&lt;7%. ")</f>
        <v/>
      </c>
      <c r="DD32" s="191" t="str">
        <f>IF($AE$32&lt;=$AE$30,"","* Pacientes 75 a 79 años (Hombres) con HbA1C&lt;7% - PA&lt;140/90mmHg debe ser menor o igual a los con HbA1C&lt;7%. ")</f>
        <v/>
      </c>
      <c r="DE32" s="191" t="str">
        <f>IF($AF$32&lt;=$AF$30,"","* Pacientes 75 a 79 años (Mujeres) con HbA1C&lt;7% - PA&lt;140/70mmHg debe ser menor o igual a los con HbA1C&lt;7%. ")</f>
        <v/>
      </c>
      <c r="DL32" s="1047">
        <f t="shared" si="19"/>
        <v>0</v>
      </c>
      <c r="DM32" s="1047">
        <f t="shared" si="20"/>
        <v>0</v>
      </c>
      <c r="DN32" s="1047">
        <f>IF($E$32&gt;=$AI$32,0,1)</f>
        <v>1</v>
      </c>
      <c r="DO32" s="1047">
        <f t="shared" si="21"/>
        <v>1</v>
      </c>
      <c r="DP32" s="1047">
        <f t="shared" si="11"/>
        <v>1</v>
      </c>
      <c r="DQ32" s="1047">
        <f t="shared" si="12"/>
        <v>1</v>
      </c>
      <c r="DR32" s="1047">
        <f t="shared" ref="DR32:EQ32" si="23">IF(G$32&lt;=G$30,0,1)</f>
        <v>0</v>
      </c>
      <c r="DS32" s="1047">
        <f t="shared" si="23"/>
        <v>0</v>
      </c>
      <c r="DT32" s="1047">
        <f t="shared" si="23"/>
        <v>0</v>
      </c>
      <c r="DU32" s="1047">
        <f t="shared" si="23"/>
        <v>0</v>
      </c>
      <c r="DV32" s="1047">
        <f t="shared" si="23"/>
        <v>0</v>
      </c>
      <c r="DW32" s="1047">
        <f t="shared" si="23"/>
        <v>0</v>
      </c>
      <c r="DX32" s="1047">
        <f t="shared" si="23"/>
        <v>0</v>
      </c>
      <c r="DY32" s="1047">
        <f t="shared" si="23"/>
        <v>0</v>
      </c>
      <c r="DZ32" s="1047">
        <f t="shared" si="23"/>
        <v>0</v>
      </c>
      <c r="EA32" s="1047">
        <f t="shared" si="23"/>
        <v>0</v>
      </c>
      <c r="EB32" s="1047">
        <f t="shared" si="23"/>
        <v>0</v>
      </c>
      <c r="EC32" s="1047">
        <f t="shared" si="23"/>
        <v>0</v>
      </c>
      <c r="ED32" s="1047">
        <f t="shared" si="23"/>
        <v>0</v>
      </c>
      <c r="EE32" s="1047">
        <f t="shared" si="23"/>
        <v>0</v>
      </c>
      <c r="EF32" s="1047">
        <f t="shared" si="23"/>
        <v>0</v>
      </c>
      <c r="EG32" s="1047">
        <f t="shared" si="23"/>
        <v>0</v>
      </c>
      <c r="EH32" s="1047">
        <f t="shared" si="23"/>
        <v>0</v>
      </c>
      <c r="EI32" s="1047">
        <f t="shared" si="23"/>
        <v>0</v>
      </c>
      <c r="EJ32" s="1047">
        <f t="shared" si="23"/>
        <v>0</v>
      </c>
      <c r="EK32" s="1047">
        <f t="shared" si="23"/>
        <v>0</v>
      </c>
      <c r="EL32" s="1047">
        <f t="shared" si="23"/>
        <v>0</v>
      </c>
      <c r="EM32" s="1047">
        <f t="shared" si="23"/>
        <v>0</v>
      </c>
      <c r="EN32" s="1047">
        <f t="shared" si="23"/>
        <v>0</v>
      </c>
      <c r="EO32" s="1047">
        <f t="shared" si="23"/>
        <v>0</v>
      </c>
      <c r="EP32" s="1047">
        <f t="shared" si="23"/>
        <v>0</v>
      </c>
      <c r="EQ32" s="1047">
        <f t="shared" si="23"/>
        <v>0</v>
      </c>
    </row>
    <row r="33" spans="1:149" ht="15" customHeight="1" x14ac:dyDescent="0.2">
      <c r="A33" s="1594" t="s">
        <v>1236</v>
      </c>
      <c r="B33" s="1606" t="s">
        <v>517</v>
      </c>
      <c r="C33" s="1607" t="s">
        <v>518</v>
      </c>
      <c r="D33" s="1144" t="s">
        <v>1616</v>
      </c>
      <c r="E33" s="540" t="s">
        <v>1617</v>
      </c>
      <c r="F33" s="879" t="s">
        <v>1618</v>
      </c>
      <c r="G33" s="413" t="s">
        <v>1619</v>
      </c>
      <c r="H33" s="414" t="s">
        <v>1620</v>
      </c>
      <c r="I33" s="413" t="s">
        <v>1621</v>
      </c>
      <c r="J33" s="414" t="s">
        <v>1622</v>
      </c>
      <c r="K33" s="413" t="s">
        <v>1623</v>
      </c>
      <c r="L33" s="414" t="s">
        <v>1624</v>
      </c>
      <c r="M33" s="413" t="s">
        <v>1625</v>
      </c>
      <c r="N33" s="414" t="s">
        <v>1626</v>
      </c>
      <c r="O33" s="413" t="s">
        <v>1627</v>
      </c>
      <c r="P33" s="414" t="s">
        <v>1628</v>
      </c>
      <c r="Q33" s="413" t="s">
        <v>1629</v>
      </c>
      <c r="R33" s="414" t="s">
        <v>1630</v>
      </c>
      <c r="S33" s="413" t="s">
        <v>1631</v>
      </c>
      <c r="T33" s="414" t="s">
        <v>1632</v>
      </c>
      <c r="U33" s="413" t="s">
        <v>1633</v>
      </c>
      <c r="V33" s="414" t="s">
        <v>1634</v>
      </c>
      <c r="W33" s="413" t="s">
        <v>1635</v>
      </c>
      <c r="X33" s="414" t="s">
        <v>1636</v>
      </c>
      <c r="Y33" s="413" t="s">
        <v>1637</v>
      </c>
      <c r="Z33" s="414" t="s">
        <v>1638</v>
      </c>
      <c r="AA33" s="413" t="s">
        <v>1639</v>
      </c>
      <c r="AB33" s="414" t="s">
        <v>1640</v>
      </c>
      <c r="AC33" s="413" t="s">
        <v>1641</v>
      </c>
      <c r="AD33" s="414" t="s">
        <v>1642</v>
      </c>
      <c r="AE33" s="413" t="s">
        <v>1643</v>
      </c>
      <c r="AF33" s="414" t="s">
        <v>1644</v>
      </c>
      <c r="AG33" s="463" t="s">
        <v>1645</v>
      </c>
      <c r="AH33" s="415" t="s">
        <v>1646</v>
      </c>
      <c r="AI33" s="467" t="s">
        <v>1647</v>
      </c>
      <c r="AJ33" s="414" t="s">
        <v>1648</v>
      </c>
      <c r="AK33" s="463" t="s">
        <v>1649</v>
      </c>
      <c r="AL33" s="414" t="s">
        <v>1650</v>
      </c>
      <c r="AM33" s="36" t="str">
        <f t="shared" si="1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3" s="191" t="str">
        <f t="shared" si="15"/>
        <v xml:space="preserve"> * La variable Pueblos Originarios Hombres no puede ser Mayor al Total Hombres.</v>
      </c>
      <c r="CC33" s="191" t="str">
        <f t="shared" si="16"/>
        <v xml:space="preserve"> * La variable Pueblos Originarios Mujeres no puede ser Mayor al Total Mujeres.</v>
      </c>
      <c r="CD33" s="191" t="str">
        <f t="shared" si="17"/>
        <v xml:space="preserve"> * La variable Migrantes Hombres no puede ser Mayor al Total Hombres.</v>
      </c>
      <c r="CE33" s="191" t="str">
        <f t="shared" si="18"/>
        <v xml:space="preserve"> * La variable Migrantes Mujeres no puede ser Mayor al Total Mujeres.</v>
      </c>
      <c r="CF33" s="191" t="str">
        <f>IF($G$33&lt;=$G$15,"","* Pacientes 15 a 19 años (Hombres) con RCV Alto con Colesterol LDL &lt;100 mg/dl no debe ser mayor al Total RCV Alto de Sección A. ")</f>
        <v/>
      </c>
      <c r="CG33" s="191" t="str">
        <f>IF($H$33&lt;=$H$15,"","* Pacientes 15 a 19 años (Mujeres) con RCV Alto con Colesterol LDL &lt;100 mg/dl no debe ser mayor al Total RCV Alto de Sección A. ")</f>
        <v/>
      </c>
      <c r="CH33" s="191" t="str">
        <f>IF($I$33&lt;=+$I$15,"","* Pacientes 20 a 24 años (Hombres) con RCV Alto con Colesterol LDL &lt;100 mg/dl no debe ser mayor al Total RCV Alto de Sección A. ")</f>
        <v/>
      </c>
      <c r="CI33" s="191" t="str">
        <f>IF($J$33&lt;=+$J$15,"","* Pacientes 20 a 24 años (Mujeres) con RCV Alto con Colesterol LDL &lt;100 mg/dl no debe ser mayor al Total RCV Alto de Sección A. ")</f>
        <v/>
      </c>
      <c r="CJ33" s="191" t="str">
        <f>IF($K$33&lt;=+$K$15,"","* Pacientes 25 a 29 años (Hombres) con RCV Alto con Colesterol LDL &lt;100 mg/dl no debe ser mayor al Total RCV Alto de Sección A. ")</f>
        <v/>
      </c>
      <c r="CK33" s="191" t="str">
        <f>IF($L$33&lt;=+$L$15,"","* Pacientes 25 a 29 años (Mujeres) con RCV Alto con Colesterol LDL &lt;100 mg/dl no debe ser mayor al Total RCV Alto de Sección A. ")</f>
        <v/>
      </c>
      <c r="CL33" s="191" t="str">
        <f>IF($M$33&lt;=+$M$15,"","* Pacientes 30 a 34 años (Hombres) con RCV Alto con Colesterol LDL &lt;100 mg/dl no debe ser mayor al Total RCV Alto de Sección A. ")</f>
        <v/>
      </c>
      <c r="CM33" s="191" t="str">
        <f>IF($N$33&lt;=+$N$15,"","* Pacientes 30 a 34 años (Mujeres) con RCV Alto con Colesterol LDL &lt;100 mg/dl no debe ser mayor al Total RCV Alto de Sección A. ")</f>
        <v/>
      </c>
      <c r="CN33" s="191" t="str">
        <f>IF($O$33&lt;=+$O$15,"","* Pacientes 35 a 39 años (Hombres) con RCV Alto con Colesterol LDL &lt;100 mg/dl no debe ser mayor al Total RCV Alto de Sección A. ")</f>
        <v/>
      </c>
      <c r="CO33" s="191" t="str">
        <f>IF($P$33&lt;=+$P$15,"","* Pacientes 35 a 39 años (Mujeres) con RCV Alto con Colesterol LDL &lt;100 mg/dl no debe ser mayor al Total RCV Alto de Sección A. ")</f>
        <v/>
      </c>
      <c r="CP33" s="191" t="str">
        <f>IF($Q$33&lt;=+$Q$15,"","* Pacientes 40 a 44 años (Hombres) con RCV Alto con Colesterol LDL &lt;100 mg/dl no debe ser mayor al Total RCV Alto de Sección A. ")</f>
        <v/>
      </c>
      <c r="CQ33" s="191" t="str">
        <f>IF($R$33&lt;=+$R$15,"","* Pacientes 40 a 44 años (Mujeres) con RCV Alto con Colesterol LDL &lt;100 mg/dl no debe ser mayor al Total RCV Alto de Sección A. ")</f>
        <v/>
      </c>
      <c r="CR33" s="191" t="str">
        <f>IF($S$33&lt;=+$S$15,"","* Pacientes 45 a 49 años (Hombres) con RCV Alto con Colesterol LDL &lt;100 mg/dl no debe ser mayor al Total RCV Alto de Sección A. ")</f>
        <v/>
      </c>
      <c r="CS33" s="191" t="str">
        <f>IF($T$33&lt;=+$T$15,"","* Pacientes 45 a 49 años (Mujeres) con RCV Alto con Colesterol LDL &lt;100 mg/dl no debe ser mayor al Total RCV Alto de Sección A. ")</f>
        <v/>
      </c>
      <c r="CT33" s="191" t="str">
        <f>IF($U$33&lt;=+$U$15,"","* Pacientes 50 a 54 años (Hombres) con RCV Alto con Colesterol LDL &lt;100 mg/dl no debe ser mayor al Total RCV Alto de Sección A. ")</f>
        <v/>
      </c>
      <c r="CU33" s="191" t="str">
        <f>IF($V$33&lt;=+$V$15,"","* Pacientes 50 a 54 años (Mujeres) con RCV Alto con Colesterol LDL &lt;100 mg/dl no debe ser mayor al Total RCV Alto de Sección A. ")</f>
        <v/>
      </c>
      <c r="CV33" s="191" t="str">
        <f>IF($W$33&lt;=+$W$15,"","* Pacientes 55 a 59 años (Hombres) con RCV Alto con Colesterol LDL &lt;100 mg/dl no debe ser mayor al Total RCV Alto de Sección A. ")</f>
        <v/>
      </c>
      <c r="CW33" s="191" t="str">
        <f>IF($X$33&lt;=+$X$15,"","* Pacientes 55 a 59 años (Mujeres) con RCV Alto con Colesterol LDL &lt;100 mg/dl no debe ser mayor al Total RCV Alto de Sección A. ")</f>
        <v/>
      </c>
      <c r="CX33" s="191" t="str">
        <f>IF($Y$33&lt;=+$Y$15,"","* Pacientes 60 a 64 años (Hombres) con RCV Alto con Colesterol LDL &lt;100 mg/dl no debe ser mayor al Total RCV Alto de Sección A. ")</f>
        <v/>
      </c>
      <c r="CY33" s="191" t="str">
        <f>IF($Z$33&lt;=+$Z$15,"","* Pacientes 60 a 64 años (Mujeres) con RCV Alto con Colesterol LDL &lt;100 mg/dl no debe ser mayor al Total RCV Alto de Sección A. ")</f>
        <v/>
      </c>
      <c r="CZ33" s="191" t="str">
        <f>IF($AA$33&lt;=+$AA$15,"","* Pacientes 65 a 69 años (Hombres) con RCV Alto con Colesterol LDL &lt;100 mg/dl no debe ser mayor al Total RCV Alto de Sección A. ")</f>
        <v/>
      </c>
      <c r="DA33" s="191" t="str">
        <f>IF($AB$33&lt;=+$AB$15,"","* Pacientes 65 a 69 años (Mujeres) con RCV Alto con Colesterol LDL &lt;100 mg/dl no debe ser mayor al Total RCV Alto de Sección A. ")</f>
        <v/>
      </c>
      <c r="DB33" s="191" t="str">
        <f>IF($AC$33&lt;=+$AC$15,"","* Pacientes 70 a 74 años (Hombres) con RCV Alto con Colesterol LDL &lt;100 mg/dl no debe ser mayor al Total RCV Alto de Sección A. ")</f>
        <v/>
      </c>
      <c r="DC33" s="191" t="str">
        <f>IF($AD$33&lt;=+$AD$15,"","* Pacientes 70 a 74 años (Mujeres) con RCV Alto con Colesterol LDL &lt;100 mg/dl no debe ser mayor al Total RCV Alto de Sección A. ")</f>
        <v/>
      </c>
      <c r="DD33" s="191" t="str">
        <f>IF($AE$33&lt;=+$AE$15,"","* Pacientes 75 a 79 años (Hombres) con RCV Alto con Colesterol LDL &lt;100 mg/dl no debe ser mayor al Total RCV Alto de Sección A. ")</f>
        <v/>
      </c>
      <c r="DE33" s="191" t="str">
        <f>IF($AF$33&lt;=+$AF$15,"","* Pacientes 75 a 79 años (Mujeres) con RCV Alto con Colesterol LDL &lt;100 mg/dl no debe ser mayor al Total RCV Alto de Sección A. ")</f>
        <v/>
      </c>
      <c r="DF33" s="191" t="str">
        <f>IF($AG$33&lt;=+$AG$15,"","* Pacientes 80 y más años (Hombres) con RCV Alto con Colesterol LDL &lt;100 mg/dl no debe ser mayor al Total RCV Alto de Sección A. ")</f>
        <v/>
      </c>
      <c r="DG33" s="191" t="str">
        <f>IF($AH$33&lt;=+$AH$15,"","* Pacientes 80 y más años (Mujeres) con RCV Alto con Colesterol LDL &lt;100 mg/dl no debe ser mayor al Total RCV Alto de Sección A. ")</f>
        <v/>
      </c>
      <c r="DL33" s="1047">
        <f t="shared" si="19"/>
        <v>0</v>
      </c>
      <c r="DM33" s="1047">
        <f t="shared" si="20"/>
        <v>0</v>
      </c>
      <c r="DN33" s="1047">
        <f>IF($E$33&gt;=$AI$33,0,1)</f>
        <v>1</v>
      </c>
      <c r="DO33" s="1047">
        <f t="shared" si="21"/>
        <v>1</v>
      </c>
      <c r="DP33" s="1047">
        <f t="shared" si="11"/>
        <v>1</v>
      </c>
      <c r="DQ33" s="1047">
        <f t="shared" si="12"/>
        <v>1</v>
      </c>
      <c r="DR33" s="1047">
        <f t="shared" ref="DR33:ES33" si="24">IF(G$33&lt;=+G$15,0,1)</f>
        <v>0</v>
      </c>
      <c r="DS33" s="1047">
        <f t="shared" si="24"/>
        <v>0</v>
      </c>
      <c r="DT33" s="1047">
        <f t="shared" si="24"/>
        <v>0</v>
      </c>
      <c r="DU33" s="1047">
        <f t="shared" si="24"/>
        <v>0</v>
      </c>
      <c r="DV33" s="1047">
        <f t="shared" si="24"/>
        <v>0</v>
      </c>
      <c r="DW33" s="1047">
        <f t="shared" si="24"/>
        <v>0</v>
      </c>
      <c r="DX33" s="1047">
        <f t="shared" si="24"/>
        <v>0</v>
      </c>
      <c r="DY33" s="1047">
        <f t="shared" si="24"/>
        <v>0</v>
      </c>
      <c r="DZ33" s="1047">
        <f t="shared" si="24"/>
        <v>0</v>
      </c>
      <c r="EA33" s="1047">
        <f t="shared" si="24"/>
        <v>0</v>
      </c>
      <c r="EB33" s="1047">
        <f t="shared" si="24"/>
        <v>0</v>
      </c>
      <c r="EC33" s="1047">
        <f t="shared" si="24"/>
        <v>0</v>
      </c>
      <c r="ED33" s="1047">
        <f t="shared" si="24"/>
        <v>0</v>
      </c>
      <c r="EE33" s="1047">
        <f t="shared" si="24"/>
        <v>0</v>
      </c>
      <c r="EF33" s="1047">
        <f t="shared" si="24"/>
        <v>0</v>
      </c>
      <c r="EG33" s="1047">
        <f t="shared" si="24"/>
        <v>0</v>
      </c>
      <c r="EH33" s="1047">
        <f t="shared" si="24"/>
        <v>0</v>
      </c>
      <c r="EI33" s="1047">
        <f t="shared" si="24"/>
        <v>0</v>
      </c>
      <c r="EJ33" s="1047">
        <f t="shared" si="24"/>
        <v>0</v>
      </c>
      <c r="EK33" s="1047">
        <f t="shared" si="24"/>
        <v>0</v>
      </c>
      <c r="EL33" s="1047">
        <f t="shared" si="24"/>
        <v>0</v>
      </c>
      <c r="EM33" s="1047">
        <f t="shared" si="24"/>
        <v>0</v>
      </c>
      <c r="EN33" s="1047">
        <f t="shared" si="24"/>
        <v>0</v>
      </c>
      <c r="EO33" s="1047">
        <f t="shared" si="24"/>
        <v>0</v>
      </c>
      <c r="EP33" s="1047">
        <f t="shared" si="24"/>
        <v>0</v>
      </c>
      <c r="EQ33" s="1047">
        <f t="shared" si="24"/>
        <v>0</v>
      </c>
      <c r="ER33" s="1047">
        <f t="shared" si="24"/>
        <v>0</v>
      </c>
      <c r="ES33" s="1047">
        <f t="shared" si="24"/>
        <v>0</v>
      </c>
    </row>
    <row r="34" spans="1:149" ht="15" customHeight="1" x14ac:dyDescent="0.2">
      <c r="A34" s="1589" t="s">
        <v>1237</v>
      </c>
      <c r="B34" s="2035" t="s">
        <v>906</v>
      </c>
      <c r="C34" s="707" t="s">
        <v>519</v>
      </c>
      <c r="D34" s="1142" t="s">
        <v>1616</v>
      </c>
      <c r="E34" s="387" t="s">
        <v>1617</v>
      </c>
      <c r="F34" s="454" t="s">
        <v>1618</v>
      </c>
      <c r="G34" s="417" t="s">
        <v>1619</v>
      </c>
      <c r="H34" s="418" t="s">
        <v>1620</v>
      </c>
      <c r="I34" s="417" t="s">
        <v>1621</v>
      </c>
      <c r="J34" s="418" t="s">
        <v>1622</v>
      </c>
      <c r="K34" s="417" t="s">
        <v>1623</v>
      </c>
      <c r="L34" s="418" t="s">
        <v>1624</v>
      </c>
      <c r="M34" s="417" t="s">
        <v>1625</v>
      </c>
      <c r="N34" s="418" t="s">
        <v>1626</v>
      </c>
      <c r="O34" s="417" t="s">
        <v>1627</v>
      </c>
      <c r="P34" s="418" t="s">
        <v>1628</v>
      </c>
      <c r="Q34" s="417" t="s">
        <v>1629</v>
      </c>
      <c r="R34" s="418" t="s">
        <v>1630</v>
      </c>
      <c r="S34" s="417" t="s">
        <v>1631</v>
      </c>
      <c r="T34" s="418" t="s">
        <v>1632</v>
      </c>
      <c r="U34" s="417" t="s">
        <v>1633</v>
      </c>
      <c r="V34" s="418" t="s">
        <v>1634</v>
      </c>
      <c r="W34" s="417" t="s">
        <v>1635</v>
      </c>
      <c r="X34" s="418" t="s">
        <v>1636</v>
      </c>
      <c r="Y34" s="417" t="s">
        <v>1637</v>
      </c>
      <c r="Z34" s="418" t="s">
        <v>1638</v>
      </c>
      <c r="AA34" s="417" t="s">
        <v>1639</v>
      </c>
      <c r="AB34" s="418" t="s">
        <v>1640</v>
      </c>
      <c r="AC34" s="417" t="s">
        <v>1641</v>
      </c>
      <c r="AD34" s="418" t="s">
        <v>1642</v>
      </c>
      <c r="AE34" s="417" t="s">
        <v>1643</v>
      </c>
      <c r="AF34" s="418" t="s">
        <v>1644</v>
      </c>
      <c r="AG34" s="468" t="s">
        <v>1645</v>
      </c>
      <c r="AH34" s="469" t="s">
        <v>1646</v>
      </c>
      <c r="AI34" s="412" t="s">
        <v>1647</v>
      </c>
      <c r="AJ34" s="395" t="s">
        <v>1648</v>
      </c>
      <c r="AK34" s="462" t="s">
        <v>1649</v>
      </c>
      <c r="AL34" s="395" t="s">
        <v>1650</v>
      </c>
      <c r="AM34" s="36" t="e">
        <f t="shared" si="14"/>
        <v>#VALUE!</v>
      </c>
      <c r="CB34" s="191" t="str">
        <f>IF(AND(E34&gt;0,OR(AI34=""))," * No olvide digitar la variable Pueblos Originarios Hombres. Digite Cero si no tiene.",IF(AI34&gt;E34," * La variable Pueblos Originarios Hombres no puede ser Mayor al Total Hombres.",""))</f>
        <v xml:space="preserve"> * La variable Pueblos Originarios Hombres no puede ser Mayor al Total Hombres.</v>
      </c>
      <c r="CC34" s="191" t="str">
        <f t="shared" si="16"/>
        <v xml:space="preserve"> * La variable Pueblos Originarios Mujeres no puede ser Mayor al Total Mujeres.</v>
      </c>
      <c r="CD34" s="191" t="str">
        <f t="shared" si="17"/>
        <v xml:space="preserve"> * La variable Migrantes Hombres no puede ser Mayor al Total Hombres.</v>
      </c>
      <c r="CE34" s="191" t="str">
        <f t="shared" si="18"/>
        <v xml:space="preserve"> * La variable Migrantes Mujeres no puede ser Mayor al Total Mujeres.</v>
      </c>
      <c r="CF34" s="191" t="e">
        <f>IF($G$34&lt;=$G$20+G21+$G$22,"","* Pacientes 15 a 19 años (Hombres) con antecedentes de ECV en Tratamiento con Antiagregante plaquetario no debe ser mayor a la suma de Personas con Antecedentes de IAM, ACV y ECV de Sección A. ")</f>
        <v>#VALUE!</v>
      </c>
      <c r="CG34" s="191" t="e">
        <f>IF($H$34&lt;=$H$20+$H$21+$H$22,"","* Pacientes 15 a 19 años (Mujeres) con antecedentes ECV en Tratamiento con Antiagregante plaquetario no debe ser mayor a la suma de Personas con Antecedentes de IAM, ACV y ECV de Sección A. ")</f>
        <v>#VALUE!</v>
      </c>
      <c r="CH34" s="191" t="e">
        <f>IF($I$34&lt;=$I$20+$I$21+$I$22,"","* Pacientes 20 a 24 años (Hombres) con antecedentes ECV en Tratamiento con Antiagregante plaquetario no debe ser mayor a la suma de Personas con Antecedentes de IAM, ACV y ECV de Sección A. ")</f>
        <v>#VALUE!</v>
      </c>
      <c r="CI34" s="191" t="e">
        <f>IF($J$34&lt;=$J$20+$J$21+$J$22,"","* Pacientes 20 a 24 años (Mujeres) con antecedentes ECV en Tratamiento con Antiagregante plaquetario no debe ser mayor a la suma de Personas con Antecedentes de IAM, ACV y ECV de Sección A. ")</f>
        <v>#VALUE!</v>
      </c>
      <c r="CJ34" s="191" t="e">
        <f>IF($K$34&lt;=$K$20+K21+$K$22,"","* Pacientes 25 a 29 años (Hombres) con antecedentes ECV en Tratamiento con Antiagregante plaquetario no debe ser mayor a la suma de Personas con Antecedentes de IAM, ACV y ECV de Sección A. ")</f>
        <v>#VALUE!</v>
      </c>
      <c r="CK34" s="191" t="e">
        <f>IF($L$34&lt;=$L$20+L21+$L$22,"","* Pacientes 25 a 29 años (Mujeres) con antecedentes ECV en Tratamiento con Antiagregante plaquetario no debe ser mayor a la suma de Personas con Antecedentes de IAM, ACV y ECV de Sección A. ")</f>
        <v>#VALUE!</v>
      </c>
      <c r="CL34" s="191" t="e">
        <f>IF($M$34&lt;=$M$20+M21+$M$22,"","* Pacientes 30 a 34 años (Hombres) con antecedentes ECV en Tratamiento con Antiagregante plaquetario no debe ser mayor a la suma de Personas con Antecedentes de IAM, ACV y ECV de Sección A. ")</f>
        <v>#VALUE!</v>
      </c>
      <c r="CM34" s="191" t="e">
        <f>IF($N$34&lt;=$N$20+$N$21+$N$22,"","* Pacientes 30 a 34 años (Mujeres) con antecedentes ECV en Tratamiento con Antiagregante plaquetario no debe ser mayor a la suma de Personas con Antecedentes de IAM, ACV y ECV de Sección A. ")</f>
        <v>#VALUE!</v>
      </c>
      <c r="CN34" s="191" t="e">
        <f>IF($O$34&lt;=$O$20+$O$21+$O$22,"","* Pacientes 35 a 39 años (Hombres) con antecedentes ECV en Tratamiento con Antiagregante plaquetario no debe ser mayor a la suma de Personas con Antecedentes de IAM, ACV y ECV de Sección A. ")</f>
        <v>#VALUE!</v>
      </c>
      <c r="CO34" s="191" t="e">
        <f>IF($P$34&lt;=$P$20+$P$21+$P$22,"","* Pacientes 35 a 39 años (Mujeres) con antecedentes ECV en Tratamiento con Antiagregante plaquetario no debe ser mayor a la suma de Personas con Antecedentes de IAM, ACV y ECV de Sección A. ")</f>
        <v>#VALUE!</v>
      </c>
      <c r="CP34" s="191" t="e">
        <f>IF($Q$34&lt;=$Q$20+$Q$21+$Q$22,"","* Pacientes 40 a 44 años (Hombres) con antecedentes ECV en Tratamiento conAntiagregante plaquetario no debe ser mayor a la suma de Personas con Antecedentes de IAM, ACV y ECV de Sección A. ")</f>
        <v>#VALUE!</v>
      </c>
      <c r="CQ34" s="191" t="e">
        <f>IF($R$34&lt;=$R$20+$R$21+$R$22,"","* Pacientes 40 a 44 años (Mujeres) con antecedentes ECV en Tratamiento con Antiagregante plaquetario no debe ser mayor a la suma de Personas con Antecedentes de IAM, ACV y ECV de Sección A. ")</f>
        <v>#VALUE!</v>
      </c>
      <c r="CR34" s="191" t="e">
        <f>IF($S$34&lt;=$S$20+$S$21+$S$22,"","* Pacientes 45 a 49 años (Hombres) con antecedentes ECV en Tratamiento conAntiagregante plaquetario no debe ser mayor a la suma de Personas con Antecedentes de IAM, ACV y ECV de Sección A. ")</f>
        <v>#VALUE!</v>
      </c>
      <c r="CS34" s="191" t="e">
        <f>IF($T$34&lt;=$T$20+$T$21+$T$22,"","* Pacientes 45 a 49 años (Mujeres) con antecedentes ECV en Tratamiento con Antiagregante plaquetario no debe ser mayor a la suma de Personas con Antecedentes de IAM, ACV y ECV de Sección A. ")</f>
        <v>#VALUE!</v>
      </c>
      <c r="CT34" s="191" t="e">
        <f>IF($U$34&lt;=$U$20+$U$21+$U$22,"","* Pacientes 50 a 54 años (Hombres) con antecedentes ECV en Tratamiento con Antiagregante plaquetario no debe ser mayor a la suma de Personas con Antecedentes de IAM, ACV y ECV de Sección A. ")</f>
        <v>#VALUE!</v>
      </c>
      <c r="CU34" s="191" t="e">
        <f>IF($V$34&lt;=$V$20+$V$21+$V$22,"","* Pacientes 50 a 54 años (Mujeres) con antecedentes ECV en Tratamiento con Antiagregante plaquetario no debe ser mayor a la suma de Personas con Antecedentes de IAM, ACV y ECV de Sección A. ")</f>
        <v>#VALUE!</v>
      </c>
      <c r="CV34" s="191" t="e">
        <f>IF($W$34&lt;=$W$20+$W$21+$W$22,"","* Pacientes 55 a 59 años (Hombres) con antecedentes ECV en Tratamiento con Antiagregante plaquetario no debe ser mayor a la suma de Personas con Antecedentes de IAM, ACV y ECV de Sección A. ")</f>
        <v>#VALUE!</v>
      </c>
      <c r="CW34" s="191" t="e">
        <f>IF($X$34&lt;=$X$20+$X$21+$X$22,"","* Pacientes 55 a 59 años (Mujeres) con antecedentes ECV en Tratamiento con Antiagregante plaquetario no debe ser mayor a la suma de Personas con Antecedentes de IAM, ACV y ECV de Sección A. ")</f>
        <v>#VALUE!</v>
      </c>
      <c r="CX34" s="191" t="e">
        <f>IF($Y$34&lt;=$Y$20+$Y$21+$Y$22,"","* Pacientes 60 a 64 años (Hombres) con antecedentes ECV en Tratamiento con Antiagregante plaquetario no debe ser mayor a la suma de Personas con Antecedentes de IAM, ACV y ECV de Sección A. ")</f>
        <v>#VALUE!</v>
      </c>
      <c r="CY34" s="191" t="e">
        <f>IF($Z$34&lt;=$Z$20+$Z$21+$Z$22,"","* Pacientes 60 a 64 años (Mujeres) con antecedentes ECV en Tratamiento con Antiagregante plaquetario no debe ser mayor a la suma de Personas con Antecedentes de IAM, ACV y ECV de Sección A. ")</f>
        <v>#VALUE!</v>
      </c>
      <c r="CZ34" s="191" t="e">
        <f>IF($AA$34&lt;=$AA$20+$AA$21+$AA$22,"","* Pacientes 65 a 69 años (Hombres) con antecedentes ECV en Tratamiento con Antiagregante plaquetario no debe ser mayor a la suma de Personas con Antecedentes de IAM, ACV y ECV de Sección A. ")</f>
        <v>#VALUE!</v>
      </c>
      <c r="DA34" s="191" t="e">
        <f>IF($AB$34&lt;=$AB$20+$AB$21+$AB$22,"","* Pacientes 65 a 69 años (Mujeres) con antecedentes ECV en Tratamiento con Antiagregante plaquetario no debe ser mayor a la suma de Personas con Antecedentes de IAM, ACV y ECV de Sección A. ")</f>
        <v>#VALUE!</v>
      </c>
      <c r="DB34" s="191" t="e">
        <f>IF($AC$34&lt;=$AC$20+$AC$21+$AC$22,"","* Pacientes 70 a 74 años (Hombres) con antecedentes ECV en Tratamiento con Antiagregante plaquetario no debe ser mayor a la suma de Personas con Antecedentes de IAM, ACV y ECV de Sección A. ")</f>
        <v>#VALUE!</v>
      </c>
      <c r="DC34" s="191" t="e">
        <f>IF($AD$34&lt;=$AD$20+$AD$21+$AD$22,"","* Pacientes 70 a 74 años (Mujeres) con antecedentes ECV en Tratamiento con Antiagregante plaquetario no debe ser mayor a la suma de Personas con Antecedentes de IAM, ACV y ECV de Sección A. ")</f>
        <v>#VALUE!</v>
      </c>
      <c r="DD34" s="191" t="e">
        <f>IF($AE$34&lt;=$AE$20+$AE$21+$AE$22,"","* Pacientes 75 a 79 años (Hombres) con antecedentes ECV en Tratamiento con Antiagregante plaquetario no debe ser mayor a la suma de Personas con Antecedentes de IAM, ACV y ECV de Sección A. ")</f>
        <v>#VALUE!</v>
      </c>
      <c r="DE34" s="191" t="e">
        <f>IF($AF$34&lt;=$AF$20+$AF$21+$AF$22,"","* Pacientes 75 a 79 años (Mujeres) con antecedentes ECV en Tratamiento con Antiagregante plaquetario no debe ser mayor a la suma de Personas con Antecedentes de IAM, ACV y ECV de Sección A. ")</f>
        <v>#VALUE!</v>
      </c>
      <c r="DF34" s="191" t="e">
        <f>IF($AG$34&lt;=$AG$20+$AG$21+$AG$22,"","* Pacientes 80 y más años (Hombres) con antecedentes ECV en Tratamiento con Antiagregante plaquetario no debe ser mayor a la suma de Personas con Antecedentes de IAM, ACV y ECV de Sección A. ")</f>
        <v>#VALUE!</v>
      </c>
      <c r="DG34" s="191" t="e">
        <f>IF($AH$34&lt;=$AH$20+$AH$21+$AH$22,"","* Pacientes 80 y más años (Mujeres) con antecedentes ECV en Tratamiento con Antiagregante plaquetario no debe ser mayor a la suma de Personas con Antecedentes de IAM, ACV y ECV de Sección A. ")</f>
        <v>#VALUE!</v>
      </c>
      <c r="DL34" s="1047">
        <f t="shared" si="19"/>
        <v>0</v>
      </c>
      <c r="DM34" s="1047">
        <f t="shared" si="20"/>
        <v>0</v>
      </c>
      <c r="DN34" s="1047">
        <f>IF($E$34&gt;=$AI$34,0,1)</f>
        <v>1</v>
      </c>
      <c r="DO34" s="1047">
        <f t="shared" si="21"/>
        <v>1</v>
      </c>
      <c r="DP34" s="1047">
        <f t="shared" si="11"/>
        <v>1</v>
      </c>
      <c r="DQ34" s="1047">
        <f t="shared" si="12"/>
        <v>1</v>
      </c>
      <c r="DR34" s="1047" t="e">
        <f>IF(G34&lt;=G$21+G22+G$23,0,1)</f>
        <v>#VALUE!</v>
      </c>
      <c r="DS34" s="1047" t="e">
        <f t="shared" ref="DS34:ES34" si="25">IF(H34&lt;=H$21+H22+H$23,0,1)</f>
        <v>#VALUE!</v>
      </c>
      <c r="DT34" s="1047" t="e">
        <f t="shared" si="25"/>
        <v>#VALUE!</v>
      </c>
      <c r="DU34" s="1047" t="e">
        <f t="shared" si="25"/>
        <v>#VALUE!</v>
      </c>
      <c r="DV34" s="1047" t="e">
        <f t="shared" si="25"/>
        <v>#VALUE!</v>
      </c>
      <c r="DW34" s="1047" t="e">
        <f t="shared" si="25"/>
        <v>#VALUE!</v>
      </c>
      <c r="DX34" s="1047" t="e">
        <f t="shared" si="25"/>
        <v>#VALUE!</v>
      </c>
      <c r="DY34" s="1047" t="e">
        <f t="shared" si="25"/>
        <v>#VALUE!</v>
      </c>
      <c r="DZ34" s="1047" t="e">
        <f t="shared" si="25"/>
        <v>#VALUE!</v>
      </c>
      <c r="EA34" s="1047" t="e">
        <f t="shared" si="25"/>
        <v>#VALUE!</v>
      </c>
      <c r="EB34" s="1047" t="e">
        <f t="shared" si="25"/>
        <v>#VALUE!</v>
      </c>
      <c r="EC34" s="1047" t="e">
        <f t="shared" si="25"/>
        <v>#VALUE!</v>
      </c>
      <c r="ED34" s="1047" t="e">
        <f t="shared" si="25"/>
        <v>#VALUE!</v>
      </c>
      <c r="EE34" s="1047" t="e">
        <f t="shared" si="25"/>
        <v>#VALUE!</v>
      </c>
      <c r="EF34" s="1047" t="e">
        <f t="shared" si="25"/>
        <v>#VALUE!</v>
      </c>
      <c r="EG34" s="1047" t="e">
        <f t="shared" si="25"/>
        <v>#VALUE!</v>
      </c>
      <c r="EH34" s="1047" t="e">
        <f t="shared" si="25"/>
        <v>#VALUE!</v>
      </c>
      <c r="EI34" s="1047" t="e">
        <f t="shared" si="25"/>
        <v>#VALUE!</v>
      </c>
      <c r="EJ34" s="1047" t="e">
        <f t="shared" si="25"/>
        <v>#VALUE!</v>
      </c>
      <c r="EK34" s="1047" t="e">
        <f t="shared" si="25"/>
        <v>#VALUE!</v>
      </c>
      <c r="EL34" s="1047" t="e">
        <f t="shared" si="25"/>
        <v>#VALUE!</v>
      </c>
      <c r="EM34" s="1047" t="e">
        <f t="shared" si="25"/>
        <v>#VALUE!</v>
      </c>
      <c r="EN34" s="1047" t="e">
        <f t="shared" si="25"/>
        <v>#VALUE!</v>
      </c>
      <c r="EO34" s="1047" t="e">
        <f t="shared" si="25"/>
        <v>#VALUE!</v>
      </c>
      <c r="EP34" s="1047" t="e">
        <f t="shared" si="25"/>
        <v>#VALUE!</v>
      </c>
      <c r="EQ34" s="1047" t="e">
        <f t="shared" si="25"/>
        <v>#VALUE!</v>
      </c>
      <c r="ER34" s="1047" t="e">
        <f t="shared" si="25"/>
        <v>#VALUE!</v>
      </c>
      <c r="ES34" s="1047" t="e">
        <f t="shared" si="25"/>
        <v>#VALUE!</v>
      </c>
    </row>
    <row r="35" spans="1:149" ht="15" customHeight="1" x14ac:dyDescent="0.2">
      <c r="A35" s="1589" t="s">
        <v>1238</v>
      </c>
      <c r="B35" s="2036"/>
      <c r="C35" s="707" t="s">
        <v>520</v>
      </c>
      <c r="D35" s="1376" t="s">
        <v>1616</v>
      </c>
      <c r="E35" s="389" t="s">
        <v>1617</v>
      </c>
      <c r="F35" s="869" t="s">
        <v>1618</v>
      </c>
      <c r="G35" s="450" t="s">
        <v>1619</v>
      </c>
      <c r="H35" s="451" t="s">
        <v>1620</v>
      </c>
      <c r="I35" s="450" t="s">
        <v>1621</v>
      </c>
      <c r="J35" s="451" t="s">
        <v>1622</v>
      </c>
      <c r="K35" s="450" t="s">
        <v>1623</v>
      </c>
      <c r="L35" s="451" t="s">
        <v>1624</v>
      </c>
      <c r="M35" s="450" t="s">
        <v>1625</v>
      </c>
      <c r="N35" s="451" t="s">
        <v>1626</v>
      </c>
      <c r="O35" s="450" t="s">
        <v>1627</v>
      </c>
      <c r="P35" s="451" t="s">
        <v>1628</v>
      </c>
      <c r="Q35" s="450" t="s">
        <v>1629</v>
      </c>
      <c r="R35" s="451" t="s">
        <v>1630</v>
      </c>
      <c r="S35" s="450" t="s">
        <v>1631</v>
      </c>
      <c r="T35" s="451" t="s">
        <v>1632</v>
      </c>
      <c r="U35" s="450" t="s">
        <v>1633</v>
      </c>
      <c r="V35" s="451" t="s">
        <v>1634</v>
      </c>
      <c r="W35" s="450" t="s">
        <v>1635</v>
      </c>
      <c r="X35" s="451" t="s">
        <v>1636</v>
      </c>
      <c r="Y35" s="450" t="s">
        <v>1637</v>
      </c>
      <c r="Z35" s="451" t="s">
        <v>1638</v>
      </c>
      <c r="AA35" s="450" t="s">
        <v>1639</v>
      </c>
      <c r="AB35" s="451" t="s">
        <v>1640</v>
      </c>
      <c r="AC35" s="450" t="s">
        <v>1641</v>
      </c>
      <c r="AD35" s="451" t="s">
        <v>1642</v>
      </c>
      <c r="AE35" s="450" t="s">
        <v>1643</v>
      </c>
      <c r="AF35" s="451" t="s">
        <v>1644</v>
      </c>
      <c r="AG35" s="666" t="s">
        <v>1645</v>
      </c>
      <c r="AH35" s="581" t="s">
        <v>1646</v>
      </c>
      <c r="AI35" s="880" t="s">
        <v>1647</v>
      </c>
      <c r="AJ35" s="451" t="s">
        <v>1648</v>
      </c>
      <c r="AK35" s="666" t="s">
        <v>1649</v>
      </c>
      <c r="AL35" s="451" t="s">
        <v>1650</v>
      </c>
      <c r="AM35" s="36" t="e">
        <f t="shared" si="14"/>
        <v>#VALUE!</v>
      </c>
      <c r="CB35" s="191" t="str">
        <f t="shared" si="15"/>
        <v xml:space="preserve"> * La variable Pueblos Originarios Hombres no puede ser Mayor al Total Hombres.</v>
      </c>
      <c r="CC35" s="191" t="str">
        <f t="shared" si="16"/>
        <v xml:space="preserve"> * La variable Pueblos Originarios Mujeres no puede ser Mayor al Total Mujeres.</v>
      </c>
      <c r="CD35" s="191" t="str">
        <f t="shared" si="17"/>
        <v xml:space="preserve"> * La variable Migrantes Hombres no puede ser Mayor al Total Hombres.</v>
      </c>
      <c r="CE35" s="191" t="str">
        <f t="shared" si="18"/>
        <v xml:space="preserve"> * La variable Migrantes Mujeres no puede ser Mayor al Total Mujeres.</v>
      </c>
      <c r="CF35" s="191" t="e">
        <f>IF($G35&lt;=$G$20+$G$21+$G$22,"","* Pacientes 15 a 19 años (Hombres) con con antecedentes ECV con Estatina no debe ser mayor a la suma de Personas con Antecedentes de IAM , ACV y ECV de Sección A. ")</f>
        <v>#VALUE!</v>
      </c>
      <c r="CG35" s="191" t="e">
        <f>IF($H35&lt;=$H$20+$H$21+$H$22,"","* Pacientes 15 a 19 años (Mujeres) con  antecedentes ECV en Tratamiento con Estatina no debe ser mayor a la suma de Personas con Antecedentes de IAM , ACV , ECV de Sección A. ")</f>
        <v>#VALUE!</v>
      </c>
      <c r="CH35" s="191" t="e">
        <f>IF($I35&lt;=$I$20+$I$21+$I$21,"","* Pacientes 20 a 24 años (Hombres) con  antecedentes ECV con Estatina no debe ser mayor a la suma de Personas con Antecedentes de IAM , ACV, ECV de Sección A. ")</f>
        <v>#VALUE!</v>
      </c>
      <c r="CI35" s="191" t="e">
        <f>IF($J35&lt;=$J$20+$J$21+ $J$22,"","* Pacientes 20 a 24 años (Mujeres) con antecedentes ECV en Tratamiento con Estatina no debe ser mayor a la suma de Personas con Antecedentes de IAM ,ACV,  ECV de Sección A. ")</f>
        <v>#VALUE!</v>
      </c>
      <c r="CJ35" s="191" t="e">
        <f>IF($K35&lt;=$K$20+$K$21+ $K$22,"","* Pacientes 25 a 29 años (Hombres) con  antecedentes ECV en Tratamiento con Estatina no debe ser mayor a la suma de Personas con Antecedentes de IAM, ACV,ECV de Sección A. ")</f>
        <v>#VALUE!</v>
      </c>
      <c r="CK35" s="191" t="e">
        <f>IF($L35&lt;=$L$20+$L$21+$L$22,"","* Pacientes 25 a 29 años (Mujeres) con antecedentes ECV en Tratamiento con Estatina no debe ser mayor a la suma de Personas con Antecedentes de IAM , ACV,ECV de Sección A. ")</f>
        <v>#VALUE!</v>
      </c>
      <c r="CL35" s="191" t="e">
        <f>IF($M35&lt;=$M$20+$M$21+$M$22,"","* Pacientes 30 a 34 años (Hombres) con antecedentes ECV en Tratamiento con Estatina no debe ser mayor a la suma de Personas con Antecedentes de IAM, ACV, ECV de Sección A. ")</f>
        <v>#VALUE!</v>
      </c>
      <c r="CM35" s="191" t="e">
        <f>IF($N35&lt;=$N$20+$N$21+ $N$22,"","* Pacientes 30 a 34 años (Mujeres) con antecedentes ECV en Tratamiento con Estatina no debe ser mayor a la suma de Personas con Antecedentes de IAM, ACV, ECV de Sección A. ")</f>
        <v>#VALUE!</v>
      </c>
      <c r="CN35" s="191" t="e">
        <f>IF($O35&lt;=$O$20+$O$21+$O$22,"","* Pacientes 35 a 39 años (Hombres) con antecedentes ECV en Tratamiento con Estatina no debe ser mayor a la suma de Personas con Antecedentes de IAM, ACV, ECV de Sección A. ")</f>
        <v>#VALUE!</v>
      </c>
      <c r="CO35" s="191" t="e">
        <f>IF($P35&lt;=$P$20+$P$21+$P$22,"","* Pacientes 35 a 39 años (Mujeres) con  antecedentes ECV en Tratamiento con Estatina no debe ser mayor a la suma de Personas con Antecedentes de IAM, ACV, ECV de Sección A. ")</f>
        <v>#VALUE!</v>
      </c>
      <c r="CP35" s="191" t="e">
        <f>IF($Q35&lt;=$Q$20+$Q$21+ $Q$22,"","* Pacientes 40 a 44 años (Hombres) con antecedentes ECV en Tratamiento con Estatina no debe ser mayor a la suma de Personas con Antecedentes de IAM, ACV, ECV de Sección A. ")</f>
        <v>#VALUE!</v>
      </c>
      <c r="CQ35" s="191" t="e">
        <f>IF($R35&lt;=$R$20+$R$21+$R$22,"","* Pacientes 40 a 44 años (Mujeres) con antecedentes ECV en Tratamiento con Estatina no debe ser mayor a la suma de Personas con Antecedentes de IAM, ACV, ECV de Sección A. ")</f>
        <v>#VALUE!</v>
      </c>
      <c r="CR35" s="191" t="e">
        <f>IF($S35&lt;=$S$20+$S$21+$S$22,"","* Pacientes 45 a 49 años (Hombres) con  antecedentes ECV en Tratamiento con Estatina no debe ser mayor a la suma de Personas con Antecedentes de IAM, ACV,ECV de Sección A. ")</f>
        <v>#VALUE!</v>
      </c>
      <c r="CS35" s="191" t="e">
        <f>IF($T35&lt;=$T$20+$T$21+$T$22,"","* Pacientes 45 a 49 años (Mujeres) con  antecedentes ECV en Tratamiento con Estatina no debe ser mayor a la suma de Personas con Antecedentes de IAM, ACV, ECV de Sección A. ")</f>
        <v>#VALUE!</v>
      </c>
      <c r="CT35" s="191" t="e">
        <f>IF($U35&lt;=$U$20+$U$21+$U$22,"","* Pacientes 50 a 54 años (Hombres) con  antecedentes ECV en Tratamiento con Estatina no debe ser mayor a la suma de Personas con Antecedentes de IAM, ACV, ECV de Sección A. ")</f>
        <v>#VALUE!</v>
      </c>
      <c r="CU35" s="191" t="e">
        <f>IF($V35&lt;=$V$20+$V$21+$V$22,"","* Pacientes 50 a 54 años (Mujeres) con antecedentes ECV en Tratamiento con Estatina no debe ser mayor a la suma de Personas con Antecedentes de IAM, ACV, ECV de Sección A. ")</f>
        <v>#VALUE!</v>
      </c>
      <c r="CV35" s="191" t="e">
        <f>IF($W35&lt;=$W$20+$W$21+$W$22,"","* Pacientes 55 a 59 años (Hombres) con  antecedentes ECV en Tratamiento con Estatina no debe ser mayor a la suma de Personas con Antecedentes de IAM,ACV, ECV de Sección A. ")</f>
        <v>#VALUE!</v>
      </c>
      <c r="CW35" s="191" t="e">
        <f>IF($X35&lt;=$X$20+$X$21+$X$22,"","* Pacientes 55 a 59 años (Mujeres) con antecedentes ECV en Tratamiento con Estatina no debe ser mayor a la suma de Personas con Antecedentes de IAM, ACV, ECV de Sección A. ")</f>
        <v>#VALUE!</v>
      </c>
      <c r="CX35" s="191" t="e">
        <f>IF($Y35&lt;=$Y$20+$Y$21+$Y$22,"","* Pacientes 60 a 64 años (Hombres) con antecedentes ECV en Tratamiento con Estatina no debe ser mayor a la suma de Personas con Antecedentes de IAM, ACV,  ECV de Sección A. ")</f>
        <v>#VALUE!</v>
      </c>
      <c r="CY35" s="191" t="e">
        <f>IF($Z35&lt;=$Z$20+$Z$21+$Z$22,"","* Pacientes 60 a 64 años (Mujeres) con  antecedentes ECV en Tratamiento con Estatina no debe ser mayor a la suma de Personas con Antecedentes de IAM, ACV, ECV de Sección A. ")</f>
        <v>#VALUE!</v>
      </c>
      <c r="CZ35" s="191" t="e">
        <f>IF($AA35&lt;=$AA$20+$AA$21+$AA$22,"","* Pacientes 65 a 69 años (Hombres) con antecedentes ECV en Tratamiento con Estatina no debe ser mayor a la suma de Personas con Antecedentes de IAM, ACV,ECV de Sección A. ")</f>
        <v>#VALUE!</v>
      </c>
      <c r="DA35" s="191" t="e">
        <f>IF($AB35&lt;=$AB$20+$AB$21+$AB$22,"","* Pacientes 65 a 69 años (Mujeres) con antecedentes ECV en Tratamiento con Estatina no debe ser mayor a la suma de Personas con Antecedentes de IAM, ACV, ECV de Sección A. ")</f>
        <v>#VALUE!</v>
      </c>
      <c r="DB35" s="191" t="e">
        <f>IF($AC35&lt;=$AC$20+$AC$21+$AC$22,"","* Pacientes 70 a 74 años (Hombres) con antecedentes ECV en Tratamiento con Estatina no debe ser mayor a la suma de Personas con Antecedentes de IAM, ACV, ECV de Sección A. ")</f>
        <v>#VALUE!</v>
      </c>
      <c r="DC35" s="191" t="e">
        <f>IF($AD35&lt;=$AD$20+$AD$21+$AD$22,"","* Pacientes 70 a 74 años (Mujeres) con  antecedentes ECV en Tratamiento con Estatina no debe ser mayor a la suma de Personas con Antecedentes de IAM y ECV de Sección A. ")</f>
        <v>#VALUE!</v>
      </c>
      <c r="DD35" s="191" t="e">
        <f>IF($AE35&lt;=$AE$20+$AE$21+$AE$22,"","* Pacientes 75 a 79 años (Hombres) con  antecedentes ECV en Tratamiento con Estatina no debe ser mayor a la suma de Personas con Antecedentes de IAM, ACV, ECV de Sección A. ")</f>
        <v>#VALUE!</v>
      </c>
      <c r="DE35" s="191" t="e">
        <f>IF($AF35&lt;=$AF$20+$AF$21+$AF$22,"","* Pacientes 75 a 79 años (Mujeres) con con antecedentes ECV en Tratamiento con Estatina no debe ser mayor a la suma de Personas con Antecedentes de IAM, ACV, ECV de Sección A. ")</f>
        <v>#VALUE!</v>
      </c>
      <c r="DF35" s="191" t="e">
        <f>IF($AG35&lt;=$AG$20+$AG$21+$AG$22,"","* Pacientes 80 y más años (Hombres) con antecedentes ECV en Tratamiento con Estatina no debe ser mayor a la suma de Personas con Antecedentes de IAM, ACV,ECV de Sección A. ")</f>
        <v>#VALUE!</v>
      </c>
      <c r="DG35" s="191" t="e">
        <f>IF($AH35&lt;=$AH$20+$AH$22,"","* Pacientes 80 y más años (Mujeres) con antecedentes ECV en Tratamiento con Estatina no debe ser mayor a la suma de Personas con Antecedentes de IAM y ECV de Sección A. ")</f>
        <v>#VALUE!</v>
      </c>
      <c r="DL35" s="1047">
        <f t="shared" si="19"/>
        <v>0</v>
      </c>
      <c r="DM35" s="1047">
        <f t="shared" si="20"/>
        <v>0</v>
      </c>
      <c r="DN35" s="1047">
        <f>IF($E$36&gt;=$AI$36,0,1)</f>
        <v>1</v>
      </c>
      <c r="DO35" s="1047">
        <f t="shared" si="21"/>
        <v>1</v>
      </c>
      <c r="DP35" s="1047">
        <f t="shared" si="11"/>
        <v>1</v>
      </c>
      <c r="DQ35" s="1047">
        <f t="shared" si="12"/>
        <v>1</v>
      </c>
      <c r="DR35" s="1047" t="e">
        <f>IF(G35&lt;=G$21+G22+G$23,0,1)</f>
        <v>#VALUE!</v>
      </c>
      <c r="DS35" s="1047" t="e">
        <f t="shared" ref="DS35:ES35" si="26">IF(H35&lt;=H$21+H22+H$23,0,1)</f>
        <v>#VALUE!</v>
      </c>
      <c r="DT35" s="1047" t="e">
        <f t="shared" si="26"/>
        <v>#VALUE!</v>
      </c>
      <c r="DU35" s="1047" t="e">
        <f t="shared" si="26"/>
        <v>#VALUE!</v>
      </c>
      <c r="DV35" s="1047" t="e">
        <f t="shared" si="26"/>
        <v>#VALUE!</v>
      </c>
      <c r="DW35" s="1047" t="e">
        <f t="shared" si="26"/>
        <v>#VALUE!</v>
      </c>
      <c r="DX35" s="1047" t="e">
        <f t="shared" si="26"/>
        <v>#VALUE!</v>
      </c>
      <c r="DY35" s="1047" t="e">
        <f t="shared" si="26"/>
        <v>#VALUE!</v>
      </c>
      <c r="DZ35" s="1047" t="e">
        <f t="shared" si="26"/>
        <v>#VALUE!</v>
      </c>
      <c r="EA35" s="1047" t="e">
        <f t="shared" si="26"/>
        <v>#VALUE!</v>
      </c>
      <c r="EB35" s="1047" t="e">
        <f t="shared" si="26"/>
        <v>#VALUE!</v>
      </c>
      <c r="EC35" s="1047" t="e">
        <f t="shared" si="26"/>
        <v>#VALUE!</v>
      </c>
      <c r="ED35" s="1047" t="e">
        <f t="shared" si="26"/>
        <v>#VALUE!</v>
      </c>
      <c r="EE35" s="1047" t="e">
        <f t="shared" si="26"/>
        <v>#VALUE!</v>
      </c>
      <c r="EF35" s="1047" t="e">
        <f t="shared" si="26"/>
        <v>#VALUE!</v>
      </c>
      <c r="EG35" s="1047" t="e">
        <f t="shared" si="26"/>
        <v>#VALUE!</v>
      </c>
      <c r="EH35" s="1047" t="e">
        <f t="shared" si="26"/>
        <v>#VALUE!</v>
      </c>
      <c r="EI35" s="1047" t="e">
        <f t="shared" si="26"/>
        <v>#VALUE!</v>
      </c>
      <c r="EJ35" s="1047" t="e">
        <f t="shared" si="26"/>
        <v>#VALUE!</v>
      </c>
      <c r="EK35" s="1047" t="e">
        <f t="shared" si="26"/>
        <v>#VALUE!</v>
      </c>
      <c r="EL35" s="1047" t="e">
        <f t="shared" si="26"/>
        <v>#VALUE!</v>
      </c>
      <c r="EM35" s="1047" t="e">
        <f t="shared" si="26"/>
        <v>#VALUE!</v>
      </c>
      <c r="EN35" s="1047" t="e">
        <f t="shared" si="26"/>
        <v>#VALUE!</v>
      </c>
      <c r="EO35" s="1047" t="e">
        <f t="shared" si="26"/>
        <v>#VALUE!</v>
      </c>
      <c r="EP35" s="1047" t="e">
        <f t="shared" si="26"/>
        <v>#VALUE!</v>
      </c>
      <c r="EQ35" s="1047" t="e">
        <f t="shared" si="26"/>
        <v>#VALUE!</v>
      </c>
      <c r="ER35" s="1047" t="e">
        <f t="shared" si="26"/>
        <v>#VALUE!</v>
      </c>
      <c r="ES35" s="1047" t="e">
        <f t="shared" si="26"/>
        <v>#VALUE!</v>
      </c>
    </row>
    <row r="36" spans="1:149" ht="15" customHeight="1" x14ac:dyDescent="0.2">
      <c r="A36" s="1589" t="s">
        <v>1239</v>
      </c>
      <c r="B36" s="2037"/>
      <c r="C36" s="729" t="s">
        <v>521</v>
      </c>
      <c r="D36" s="1143" t="s">
        <v>1616</v>
      </c>
      <c r="E36" s="391" t="s">
        <v>1617</v>
      </c>
      <c r="F36" s="458" t="s">
        <v>1618</v>
      </c>
      <c r="G36" s="403" t="s">
        <v>1619</v>
      </c>
      <c r="H36" s="404" t="s">
        <v>1620</v>
      </c>
      <c r="I36" s="403" t="s">
        <v>1621</v>
      </c>
      <c r="J36" s="404" t="s">
        <v>1622</v>
      </c>
      <c r="K36" s="403" t="s">
        <v>1623</v>
      </c>
      <c r="L36" s="404" t="s">
        <v>1624</v>
      </c>
      <c r="M36" s="403" t="s">
        <v>1625</v>
      </c>
      <c r="N36" s="404" t="s">
        <v>1626</v>
      </c>
      <c r="O36" s="403" t="s">
        <v>1627</v>
      </c>
      <c r="P36" s="404" t="s">
        <v>1628</v>
      </c>
      <c r="Q36" s="403" t="s">
        <v>1629</v>
      </c>
      <c r="R36" s="404" t="s">
        <v>1630</v>
      </c>
      <c r="S36" s="403" t="s">
        <v>1631</v>
      </c>
      <c r="T36" s="404" t="s">
        <v>1632</v>
      </c>
      <c r="U36" s="403" t="s">
        <v>1633</v>
      </c>
      <c r="V36" s="404" t="s">
        <v>1634</v>
      </c>
      <c r="W36" s="403" t="s">
        <v>1635</v>
      </c>
      <c r="X36" s="404" t="s">
        <v>1636</v>
      </c>
      <c r="Y36" s="403" t="s">
        <v>1637</v>
      </c>
      <c r="Z36" s="404" t="s">
        <v>1638</v>
      </c>
      <c r="AA36" s="403" t="s">
        <v>1639</v>
      </c>
      <c r="AB36" s="404" t="s">
        <v>1640</v>
      </c>
      <c r="AC36" s="403" t="s">
        <v>1641</v>
      </c>
      <c r="AD36" s="404" t="s">
        <v>1642</v>
      </c>
      <c r="AE36" s="403" t="s">
        <v>1643</v>
      </c>
      <c r="AF36" s="404" t="s">
        <v>1644</v>
      </c>
      <c r="AG36" s="464" t="s">
        <v>1645</v>
      </c>
      <c r="AH36" s="470" t="s">
        <v>1646</v>
      </c>
      <c r="AI36" s="416" t="s">
        <v>1647</v>
      </c>
      <c r="AJ36" s="404" t="s">
        <v>1648</v>
      </c>
      <c r="AK36" s="464" t="s">
        <v>1649</v>
      </c>
      <c r="AL36" s="404" t="s">
        <v>1650</v>
      </c>
      <c r="AM36" s="36" t="str">
        <f>CB36&amp;CC36&amp;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DD36 &amp; DF36 &amp; DG36 &amp;DE36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6" s="191" t="str">
        <f t="shared" si="15"/>
        <v xml:space="preserve"> * La variable Pueblos Originarios Hombres no puede ser Mayor al Total Hombres.</v>
      </c>
      <c r="CC36" s="191" t="str">
        <f t="shared" si="16"/>
        <v xml:space="preserve"> * La variable Pueblos Originarios Mujeres no puede ser Mayor al Total Mujeres.</v>
      </c>
      <c r="CD36" s="191" t="str">
        <f t="shared" si="17"/>
        <v xml:space="preserve"> * La variable Migrantes Hombres no puede ser Mayor al Total Hombres.</v>
      </c>
      <c r="CE36" s="191" t="str">
        <f t="shared" si="18"/>
        <v xml:space="preserve"> * La variable Migrantes Mujeres no puede ser Mayor al Total Mujeres.</v>
      </c>
      <c r="DL36" s="1047">
        <f t="shared" si="19"/>
        <v>0</v>
      </c>
      <c r="DM36" s="1047">
        <f t="shared" si="20"/>
        <v>0</v>
      </c>
      <c r="DN36" s="1047">
        <f>IF($E$36&gt;=$AI$36,0,1)</f>
        <v>1</v>
      </c>
      <c r="DO36" s="1047">
        <f t="shared" si="21"/>
        <v>1</v>
      </c>
      <c r="DP36" s="1047">
        <f t="shared" si="11"/>
        <v>1</v>
      </c>
      <c r="DQ36" s="1047">
        <f t="shared" si="12"/>
        <v>1</v>
      </c>
    </row>
    <row r="37" spans="1:149" ht="15" customHeight="1" x14ac:dyDescent="0.2">
      <c r="A37" s="1594" t="s">
        <v>1240</v>
      </c>
      <c r="B37" s="2075" t="s">
        <v>522</v>
      </c>
      <c r="C37" s="1604" t="s">
        <v>519</v>
      </c>
      <c r="D37" s="1142" t="s">
        <v>1616</v>
      </c>
      <c r="E37" s="387" t="s">
        <v>1617</v>
      </c>
      <c r="F37" s="454" t="s">
        <v>1618</v>
      </c>
      <c r="G37" s="417" t="s">
        <v>1619</v>
      </c>
      <c r="H37" s="418" t="s">
        <v>1620</v>
      </c>
      <c r="I37" s="417" t="s">
        <v>1621</v>
      </c>
      <c r="J37" s="418" t="s">
        <v>1622</v>
      </c>
      <c r="K37" s="417" t="s">
        <v>1623</v>
      </c>
      <c r="L37" s="418" t="s">
        <v>1624</v>
      </c>
      <c r="M37" s="417" t="s">
        <v>1625</v>
      </c>
      <c r="N37" s="418" t="s">
        <v>1626</v>
      </c>
      <c r="O37" s="417" t="s">
        <v>1627</v>
      </c>
      <c r="P37" s="418" t="s">
        <v>1628</v>
      </c>
      <c r="Q37" s="417" t="s">
        <v>1629</v>
      </c>
      <c r="R37" s="418" t="s">
        <v>1630</v>
      </c>
      <c r="S37" s="417" t="s">
        <v>1631</v>
      </c>
      <c r="T37" s="418" t="s">
        <v>1632</v>
      </c>
      <c r="U37" s="417" t="s">
        <v>1633</v>
      </c>
      <c r="V37" s="418" t="s">
        <v>1634</v>
      </c>
      <c r="W37" s="417" t="s">
        <v>1635</v>
      </c>
      <c r="X37" s="418" t="s">
        <v>1636</v>
      </c>
      <c r="Y37" s="417" t="s">
        <v>1637</v>
      </c>
      <c r="Z37" s="418" t="s">
        <v>1638</v>
      </c>
      <c r="AA37" s="417" t="s">
        <v>1639</v>
      </c>
      <c r="AB37" s="418" t="s">
        <v>1640</v>
      </c>
      <c r="AC37" s="417" t="s">
        <v>1641</v>
      </c>
      <c r="AD37" s="418" t="s">
        <v>1642</v>
      </c>
      <c r="AE37" s="417" t="s">
        <v>1643</v>
      </c>
      <c r="AF37" s="418" t="s">
        <v>1644</v>
      </c>
      <c r="AG37" s="468" t="s">
        <v>1645</v>
      </c>
      <c r="AH37" s="469" t="s">
        <v>1646</v>
      </c>
      <c r="AI37" s="412" t="s">
        <v>1647</v>
      </c>
      <c r="AJ37" s="395" t="s">
        <v>1648</v>
      </c>
      <c r="AK37" s="462" t="s">
        <v>1649</v>
      </c>
      <c r="AL37" s="395" t="s">
        <v>1650</v>
      </c>
      <c r="AM37" s="36" t="e">
        <f t="shared" si="14"/>
        <v>#VALUE!</v>
      </c>
      <c r="CB37" s="191" t="str">
        <f t="shared" si="15"/>
        <v xml:space="preserve"> * La variable Pueblos Originarios Hombres no puede ser Mayor al Total Hombres.</v>
      </c>
      <c r="CC37" s="191" t="str">
        <f t="shared" si="16"/>
        <v xml:space="preserve"> * La variable Pueblos Originarios Mujeres no puede ser Mayor al Total Mujeres.</v>
      </c>
      <c r="CD37" s="191" t="str">
        <f t="shared" si="17"/>
        <v xml:space="preserve"> * La variable Migrantes Hombres no puede ser Mayor al Total Hombres.</v>
      </c>
      <c r="CE37" s="191" t="str">
        <f t="shared" si="18"/>
        <v xml:space="preserve"> * La variable Migrantes Mujeres no puede ser Mayor al Total Mujeres.</v>
      </c>
      <c r="CF37" s="191" t="str">
        <f>IF($G$37&lt;=$G$20,"","* Personas de 15 a 19 años Hombres, con antecedentes IAM En Tratamiento con Antiagregante plaquetario no debe ser mayor a Personas mismo grupo de edad con Antecedentes de IAM de Sección A. ")</f>
        <v/>
      </c>
      <c r="CG37" s="191" t="str">
        <f>IF($H$37&lt;=$H$20,"","* Personas de 15 a 19 años Mujeres, con con antecedentes IAM En Tratamiento con Antiagregante plaquetario no debe ser mayor a Personas mismo grupo de edad con Antecedentes de IAM y ECV de Sección A. ")</f>
        <v/>
      </c>
      <c r="CH37" s="191" t="str">
        <f>IF($I$37&lt;=$I$20,"","* Personas de 20 a 24 años Hombres, con antecedentes IAM En Tratamiento con Antiagregante plaquetario no debe ser mayor a Personas mismo grupo de edad con Antecedentes de IAM de Sección A. ")</f>
        <v/>
      </c>
      <c r="CI37" s="191" t="str">
        <f>IF($J$37&lt;=$J$20,"","* Personas de 20 a 24 años Mujeres,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Hombres, con antecedentes IAM En Tratamiento con Antiagregante plaquetario no debe ser mayor a Personas mismo grupo de edad con Antecedentes de IAM de Sección A. ")</f>
        <v/>
      </c>
      <c r="CK37" s="191" t="str">
        <f>IF($L$37&lt;=$L$20,"","* Personas de 25 a 29 años Mujeres, con antecedentes IAM En Tratamiento con Antiagregante plaquetario no debe ser mayor a Personas mismo grupo de edad con Antecedentes de IAM de Sección A. ")</f>
        <v/>
      </c>
      <c r="CL37" s="191" t="str">
        <f>IF($M$37&lt;=$M$20,"","* personas de 30 a 34 años Hombres, con antecedentes IAM En Tratamiento con Antiagregante plaquetario no debe ser mayor a Personas mismo grupo de edad con Antecedentes de IAM de Sección A. ")</f>
        <v/>
      </c>
      <c r="CM37" s="191" t="e">
        <f>IF($N$37&lt;=$N$20+$N$22,"","* Personas de 30 a 34 años Mujeres, con antecedentes IAM En Tratamiento con Antiagregante plaquetario no debe ser mayor a Personas mismo grupo de edad con Antecedentes de IAM de Sección A. ")</f>
        <v>#VALUE!</v>
      </c>
      <c r="CN37" s="191" t="e">
        <f>IF($O$37&lt;=$O$20+$O$22,"","* Personas de 35 a 39 años Hombres, con antecedentes IAM En Tratamiento con Antiagregante plaquetario no debe ser mayor a Personas mismo grupo de edad con Antecedentes de IAM de Sección A. ")</f>
        <v>#VALUE!</v>
      </c>
      <c r="CO37" s="191" t="e">
        <f>IF($P$37&lt;=$P$20+$P$22,"","* Personas de 35 a 39 años Mujeres, con antecedentes IAM En Tratamiento con Antiagregante plaquetario no debe ser mayor a Personas mismo grupo de edad con Antecedentes de IAM de Sección A. ")</f>
        <v>#VALUE!</v>
      </c>
      <c r="CP37" s="191" t="e">
        <f>IF($Q$37&lt;=$Q$20+$Q$22,"","* Personas de 40 a 44 años Hombres, con antecedentes IAM En Tratamiento con Antiagregante plaquetario no debe ser mayor a Personas mismo grupo de edad con Antecedentes de IAM de Sección A. ")</f>
        <v>#VALUE!</v>
      </c>
      <c r="CQ37" s="191" t="e">
        <f>IF($R$37&lt;=$R$20+$R$22,"","* Personas de 40 a 44 años Mujeres, con antecedentes IAM En Tratamiento con Antiagregante plaquetario no debe ser mayor a Personas mismo grupo de edad con Antecedentes de IAM de Sección A. ")</f>
        <v>#VALUE!</v>
      </c>
      <c r="CR37" s="191" t="e">
        <f>IF($S$37&lt;=$S$20+$S$22,"","* Personas de 45 a 49 años Hombres, con antecedentes IAM En Tratamiento con Antiagregante plaquetario no debe ser mayor a Personas mismo grupo de edad con Antecedentes de IAM de Sección A. ")</f>
        <v>#VALUE!</v>
      </c>
      <c r="CS37" s="191" t="e">
        <f>IF($T$37&lt;=$T$20+$T$22,"","* Personas de 45 a 49 años Mujeres, con antecedentes IAM En Tratamiento con Antiagregante plaquetario no debe ser mayor a Personas mismo grupo de edad con Antecedentes de IAM de Sección A. ")</f>
        <v>#VALUE!</v>
      </c>
      <c r="CT37" s="191" t="e">
        <f>IF($U$37&lt;=$U$20+$U$22,"","* Personas de 50 a 54 años Hombres, con antecedentes IAM En Tratamiento con Antiagregante plaquetario no debe ser mayor a Personas mismo grupo de edad con Antecedentes de IAM de Sección A. ")</f>
        <v>#VALUE!</v>
      </c>
      <c r="CU37" s="191" t="e">
        <f>IF($V$37&lt;=$V$20+$V$22,"","* Personas de 50 a 54 años Mujeres, con antecedentes IAM En Tratamiento con Antiagregante plaquetario no debe ser mayor a Personas mismo grupo de edad con Antecedentes de IAM de Sección A. ")</f>
        <v>#VALUE!</v>
      </c>
      <c r="CV37" s="191" t="e">
        <f>IF($W$37&lt;=$W$20+$W$22,"","* Personas de 55 a 59 años Hombres, con antecedentes IAM En Tratamiento con Antiagregante plaquetario no debe ser mayor a Personas mismo grupo de edad con Antecedentes de IAM de Sección A. ")</f>
        <v>#VALUE!</v>
      </c>
      <c r="CW37" s="191" t="e">
        <f>IF($X$37&lt;=$X$20+$X$22,"","* Personas de 55 a 59 años Mujeres, con antecedentes IAM En Tratamiento con Antiagregante plaquetario no debe ser mayor a Personas mismo grupo de edad con Antecedentes de IAM de Sección A. ")</f>
        <v>#VALUE!</v>
      </c>
      <c r="CX37" s="191" t="e">
        <f>IF($Y$37&lt;=$Y$20+$Y$22,"","* Personas de 60 a 64 años Hombres, con antecedentes IAM En Tratamiento con Antiagregante plaquetario no debe ser mayor a Personas mismo grupo de edad con Antecedentes de IAM de Sección A. ")</f>
        <v>#VALUE!</v>
      </c>
      <c r="CY37" s="191" t="e">
        <f>IF($Z$37&lt;=$Z$20+$Z$22,"","* Personas de 60 a 64 años Mujeres, con antecedentes IAM En Tratamiento con Antiagregante plaquetario no debe ser mayor a Personas mismo grupo de edad con Antecedentes de IAM de Sección A. ")</f>
        <v>#VALUE!</v>
      </c>
      <c r="CZ37" s="191" t="e">
        <f>IF($AA$37&lt;=$AA$20+$AA$22,"","* Personas de 65 a 69 años Hombres, con antecedentes IAM En Tratamiento con Antiagregante plaquetario no debe ser mayor a Personas mismo grupo de edad con Antecedentes de IAM de Sección A. ")</f>
        <v>#VALUE!</v>
      </c>
      <c r="DA37" s="191" t="e">
        <f>IF($AB$37&lt;=$AB$20+$AB$22,"","* Personas de 65 a 69 años Mujeres, con antecedentes IAM En Tratamiento con Antiagregante plaquetario no debe ser mayor a Personas mismo grupo de edad con Antecedentes de IAM de Sección A. ")</f>
        <v>#VALUE!</v>
      </c>
      <c r="DB37" s="191" t="e">
        <f>IF($AC$37&lt;=$AC$20+$AC$22,"","* Perdonas de 70 a 74 años Hombres, con antecedentes IAM En Tratamiento con Antiagregante plaquetario no debe ser mayor a Personas mismo grupo de edad con Antecedentes de IAM  de Sección A. ")</f>
        <v>#VALUE!</v>
      </c>
      <c r="DC37" s="191" t="str">
        <f>IF($AD$37&lt;=$AD$20,"","* Personas de 70 a 74 años Mujeres,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Hombres, con antecedentes IAM En Tratamiento con Antiagregante plaquetario no debe ser mayor a Personas mismo grupo de edad con Antecedentes de IAM de Sección A. ")</f>
        <v/>
      </c>
      <c r="DE37" s="191" t="str">
        <f>IF($AF$37&lt;=$AF$20,"","* Personas de 75 a 79 años Mujeres,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Hombres, con antecedentes IAM En Tratamiento con Antiagregante plaquetario no debe ser mayor a Personas mismo grupo de edad con Antecedentes de IAM de Sección A. ")</f>
        <v/>
      </c>
      <c r="DG37" s="191" t="str">
        <f>IF($AH$37&lt;=$AH$20,"","* Personas de 80 y más años Mujeres, con antecedentes IAM En Tratamiento con Antiagregante plaquetario no debe ser mayor a Personas mismo grupo de edad con Antecedentes de IAM de Sección A. ")</f>
        <v/>
      </c>
      <c r="DL37" s="1047">
        <f t="shared" si="19"/>
        <v>0</v>
      </c>
      <c r="DM37" s="1047">
        <f t="shared" si="20"/>
        <v>0</v>
      </c>
      <c r="DN37" s="1047">
        <f>IF($E$34&gt;=$AI$34,0,1)</f>
        <v>1</v>
      </c>
      <c r="DO37" s="1047">
        <f t="shared" si="21"/>
        <v>1</v>
      </c>
      <c r="DP37" s="1047">
        <f t="shared" si="11"/>
        <v>1</v>
      </c>
      <c r="DQ37" s="1047">
        <f t="shared" si="12"/>
        <v>1</v>
      </c>
      <c r="DR37" s="1047">
        <f>IF(G37&lt;=G$20,0,1)</f>
        <v>0</v>
      </c>
      <c r="DS37" s="1047">
        <f t="shared" ref="DS37:ES38" si="27">IF(H37&lt;=H$20,0,1)</f>
        <v>0</v>
      </c>
      <c r="DT37" s="1047">
        <f t="shared" si="27"/>
        <v>0</v>
      </c>
      <c r="DU37" s="1047">
        <f t="shared" si="27"/>
        <v>0</v>
      </c>
      <c r="DV37" s="1047">
        <f t="shared" si="27"/>
        <v>0</v>
      </c>
      <c r="DW37" s="1047">
        <f t="shared" si="27"/>
        <v>0</v>
      </c>
      <c r="DX37" s="1047">
        <f t="shared" si="27"/>
        <v>0</v>
      </c>
      <c r="DY37" s="1047">
        <f t="shared" si="27"/>
        <v>0</v>
      </c>
      <c r="DZ37" s="1047">
        <f t="shared" si="27"/>
        <v>0</v>
      </c>
      <c r="EA37" s="1047">
        <f t="shared" si="27"/>
        <v>0</v>
      </c>
      <c r="EB37" s="1047">
        <f t="shared" si="27"/>
        <v>0</v>
      </c>
      <c r="EC37" s="1047">
        <f t="shared" si="27"/>
        <v>0</v>
      </c>
      <c r="ED37" s="1047">
        <f t="shared" si="27"/>
        <v>0</v>
      </c>
      <c r="EE37" s="1047">
        <f t="shared" si="27"/>
        <v>0</v>
      </c>
      <c r="EF37" s="1047">
        <f t="shared" si="27"/>
        <v>0</v>
      </c>
      <c r="EG37" s="1047">
        <f t="shared" si="27"/>
        <v>0</v>
      </c>
      <c r="EH37" s="1047">
        <f t="shared" si="27"/>
        <v>0</v>
      </c>
      <c r="EI37" s="1047">
        <f t="shared" si="27"/>
        <v>0</v>
      </c>
      <c r="EJ37" s="1047">
        <f t="shared" si="27"/>
        <v>0</v>
      </c>
      <c r="EK37" s="1047">
        <f t="shared" si="27"/>
        <v>0</v>
      </c>
      <c r="EL37" s="1047">
        <f t="shared" si="27"/>
        <v>0</v>
      </c>
      <c r="EM37" s="1047">
        <f t="shared" si="27"/>
        <v>0</v>
      </c>
      <c r="EN37" s="1047">
        <f t="shared" si="27"/>
        <v>0</v>
      </c>
      <c r="EO37" s="1047">
        <f t="shared" si="27"/>
        <v>0</v>
      </c>
      <c r="EP37" s="1047">
        <f t="shared" si="27"/>
        <v>0</v>
      </c>
      <c r="EQ37" s="1047">
        <f t="shared" si="27"/>
        <v>0</v>
      </c>
      <c r="ER37" s="1047">
        <f>IF(AG37&lt;=AG$20,0,1)</f>
        <v>0</v>
      </c>
      <c r="ES37" s="1047">
        <f t="shared" si="27"/>
        <v>0</v>
      </c>
    </row>
    <row r="38" spans="1:149" ht="15" customHeight="1" x14ac:dyDescent="0.2">
      <c r="A38" s="1594" t="s">
        <v>1241</v>
      </c>
      <c r="B38" s="2076"/>
      <c r="C38" s="1604" t="s">
        <v>520</v>
      </c>
      <c r="D38" s="1376" t="s">
        <v>1616</v>
      </c>
      <c r="E38" s="389" t="s">
        <v>1617</v>
      </c>
      <c r="F38" s="869" t="s">
        <v>1618</v>
      </c>
      <c r="G38" s="450" t="s">
        <v>1619</v>
      </c>
      <c r="H38" s="451" t="s">
        <v>1620</v>
      </c>
      <c r="I38" s="450" t="s">
        <v>1621</v>
      </c>
      <c r="J38" s="451" t="s">
        <v>1622</v>
      </c>
      <c r="K38" s="450" t="s">
        <v>1623</v>
      </c>
      <c r="L38" s="451" t="s">
        <v>1624</v>
      </c>
      <c r="M38" s="450" t="s">
        <v>1625</v>
      </c>
      <c r="N38" s="451" t="s">
        <v>1626</v>
      </c>
      <c r="O38" s="450" t="s">
        <v>1627</v>
      </c>
      <c r="P38" s="451" t="s">
        <v>1628</v>
      </c>
      <c r="Q38" s="450" t="s">
        <v>1629</v>
      </c>
      <c r="R38" s="451" t="s">
        <v>1630</v>
      </c>
      <c r="S38" s="450" t="s">
        <v>1631</v>
      </c>
      <c r="T38" s="451" t="s">
        <v>1632</v>
      </c>
      <c r="U38" s="450" t="s">
        <v>1633</v>
      </c>
      <c r="V38" s="451" t="s">
        <v>1634</v>
      </c>
      <c r="W38" s="450" t="s">
        <v>1635</v>
      </c>
      <c r="X38" s="451" t="s">
        <v>1636</v>
      </c>
      <c r="Y38" s="450" t="s">
        <v>1637</v>
      </c>
      <c r="Z38" s="451" t="s">
        <v>1638</v>
      </c>
      <c r="AA38" s="450" t="s">
        <v>1639</v>
      </c>
      <c r="AB38" s="451" t="s">
        <v>1640</v>
      </c>
      <c r="AC38" s="450" t="s">
        <v>1641</v>
      </c>
      <c r="AD38" s="451" t="s">
        <v>1642</v>
      </c>
      <c r="AE38" s="450" t="s">
        <v>1643</v>
      </c>
      <c r="AF38" s="451" t="s">
        <v>1644</v>
      </c>
      <c r="AG38" s="666" t="s">
        <v>1645</v>
      </c>
      <c r="AH38" s="581" t="s">
        <v>1646</v>
      </c>
      <c r="AI38" s="880" t="s">
        <v>1647</v>
      </c>
      <c r="AJ38" s="451" t="s">
        <v>1648</v>
      </c>
      <c r="AK38" s="666" t="s">
        <v>1649</v>
      </c>
      <c r="AL38" s="451" t="s">
        <v>1650</v>
      </c>
      <c r="AM38" s="36" t="e">
        <f t="shared" si="14"/>
        <v>#VALUE!</v>
      </c>
      <c r="CB38" s="191" t="str">
        <f t="shared" si="15"/>
        <v xml:space="preserve"> * La variable Pueblos Originarios Hombres no puede ser Mayor al Total Hombres.</v>
      </c>
      <c r="CC38" s="191" t="str">
        <f t="shared" si="16"/>
        <v xml:space="preserve"> * La variable Pueblos Originarios Mujeres no puede ser Mayor al Total Mujeres.</v>
      </c>
      <c r="CD38" s="191" t="str">
        <f t="shared" si="17"/>
        <v xml:space="preserve"> * La variable Migrantes Hombres no puede ser Mayor al Total Hombres.</v>
      </c>
      <c r="CE38" s="191" t="str">
        <f t="shared" si="18"/>
        <v xml:space="preserve"> * La variable Migrantes Mujeres no puede ser Mayor al Total Mujeres.</v>
      </c>
      <c r="CF38" s="191" t="str">
        <f>IF($G38&lt;=$G$20,"","* Personas de 15 a 19 años Hombres, con antecedentes IAM En tratamiento con Estatina no debe ser mayor a Personas mismo grupo de edad con Antecedentes de IAM de Sección A. ")</f>
        <v/>
      </c>
      <c r="CG38" s="191" t="str">
        <f>IF($H38&lt;=$H$20,"","* Personas de 15 a 19 años Mujeres, con antecedentes IAM En Tratamiento con Estatina no debe ser mayor a Personas mismo grupo de edad con Antecedentes de IAM y ECV de Sección A. ")</f>
        <v/>
      </c>
      <c r="CH38" s="191" t="str">
        <f>IF($I38&lt;=$I$20,"","* Personas de 20 a 24 años Hombres, con con antecedentes IAM En Tratamiento con Estatina no debe ser mayor a Personas mismo grupo de edad con Antecedentes de IAM de Sección A. ")</f>
        <v/>
      </c>
      <c r="CI38" s="191" t="str">
        <f>IF($J38&lt;=$J$20,"","* Personas de 20 a 24 años Mujeres, con antecedentes IAM En Tratamiento con Estatina no debe ser mayor a Personas mismo grupo de edad con Antecedentes de IAM de Sección A. ")</f>
        <v/>
      </c>
      <c r="CJ38" s="191" t="str">
        <f>IF($K38&lt;=$K$20,"","* Personas de 25 a 29 años Hombres, con antecedentes IAM En Tratamiento con Estatina no debe ser mayor a Personas mismo grupo de edad con Antecedentes de IAM de Sección A. ")</f>
        <v/>
      </c>
      <c r="CK38" s="191" t="str">
        <f>IF($L38&lt;=$L$20,"","* Personas de 25 a 29 años Mujeres, con antecedentes IAM En Tratamiento con Estatina no debe ser mayor a Personas mismo grupo de edad con Antecedentes de IAM de Sección A. ")</f>
        <v/>
      </c>
      <c r="CL38" s="191" t="str">
        <f>IF($M38&lt;=$M$20,"","* Personas de 30 a 34 años Hombres, con antecedentes IAM En Tratamiento con Estatina no debe ser mayor a Personas mismo grupo de edad con Antecedentes de IAM de Sección A. ")</f>
        <v/>
      </c>
      <c r="CM38" s="191" t="e">
        <f>IF($N38&lt;=$N$20+$N$22,"","* Personas de 30 a 34 años Mujeres, con antecedentes IAM En Tratamiento con Estatina no debe ser mayor a Personas mismo grupo de edad con Antecedentes de IAM de Sección A. ")</f>
        <v>#VALUE!</v>
      </c>
      <c r="CN38" s="191" t="e">
        <f>IF($O38&lt;=$O$20+$O$22,"","* Personas de 35 a 39 años Hombres, con antecedentes IAM En Tratamiento con Estatina no debe ser mayor a Personas mismo grupo de edad con Antecedentes de IAM de Sección A. ")</f>
        <v>#VALUE!</v>
      </c>
      <c r="CO38" s="191" t="e">
        <f>IF($P38&lt;=$P$20+$P$22,"","* Persona de 35 a 39 años Mujeres, con antecedentes IAM En Tratamiento con Estatina no debe ser mayor a Personas mismo grupo de edad con Antecedentes de IAM de Sección A. ")</f>
        <v>#VALUE!</v>
      </c>
      <c r="CP38" s="191" t="e">
        <f>IF($Q38&lt;=$Q$20+$Q$22,"","* Personas de 40 a 44 años Hombres, con antecedentes IAM En Tratamiento con Estatina no debe ser mayor a Personas mismo grupo de edad con Antecedentes de IAM de Sección A. ")</f>
        <v>#VALUE!</v>
      </c>
      <c r="CQ38" s="191" t="e">
        <f>IF($R38&lt;=$R$20+$R$22,"","* Personas de 40 a 44 años Mujeres, con antecedentes IAM En Tratamiento con Estatina no debe ser mayor a Personas mismo grupo de edad con Antecedentes de IAM de Sección A. ")</f>
        <v>#VALUE!</v>
      </c>
      <c r="CR38" s="191" t="e">
        <f>IF($S38&lt;=$S$20+$S$22,"","* Personas de 45 a 49 años Hombres, con antecedentes IAM En Tratamiento con Estatina no debe ser mayor a Personas mismo grupo de edad con Antecedentes de IAM de Sección A. ")</f>
        <v>#VALUE!</v>
      </c>
      <c r="CS38" s="191" t="e">
        <f>IF($T38&lt;=$T$20+$T$22,"","* Personas de 45 a 49 años Mujeres, con antecedentes IAM En Tratamiento con Estatina no debe ser mayor a Personas mismo grupo de edad con Antecedentes de IAM de Sección A. ")</f>
        <v>#VALUE!</v>
      </c>
      <c r="CT38" s="191" t="e">
        <f>IF($U38&lt;=$U$20+$U$22,"","* Personas de 50 a 54 años Hombres, con antecedentes IAM En Tratamiento con Estatina no debe ser mayor a Personas mismo grupo de edad con Antecedentes de IAM de Sección A. ")</f>
        <v>#VALUE!</v>
      </c>
      <c r="CU38" s="191" t="e">
        <f>IF($V38&lt;=$V$20+$V$22,"","* Personas de 50 a 54 años Mujeres, con antecedentes IAM En Tratamiento con Estatina no debe ser mayor a Personas mismo grupo de edad con Antecedentes de IAM de Sección A. ")</f>
        <v>#VALUE!</v>
      </c>
      <c r="CV38" s="191" t="e">
        <f>IF($W38&lt;=$W$20+$W$22,"","* Personas de 55 a 59 años Hombres, con antecedentes IAM En Tratamiento con Estatina no debe ser mayor a Personas mismo grupo de edad con Antecedentes de IAM de Sección A. ")</f>
        <v>#VALUE!</v>
      </c>
      <c r="CW38" s="191" t="e">
        <f>IF($X38&lt;=$X$20+$X$22,"","* Personas de 55 a 59 años Mujeres, con antecedentes IAM En Tratamiento con Estatina no debe ser mayor a Personas mismo grupo de edad con Antecedentes de IAM de Sección A. ")</f>
        <v>#VALUE!</v>
      </c>
      <c r="CX38" s="191" t="e">
        <f>IF($Y38&lt;=$Y$20+$Y$22,"","* Personas de 60 a 64 años Hombres, con antecedentes IAM En Tratamiento con Estatina no debe ser mayor a Personas mismo grupo de edad con Antecedentes de IAM de Sección A. ")</f>
        <v>#VALUE!</v>
      </c>
      <c r="CY38" s="191" t="e">
        <f>IF($Z38&lt;=$Z$20+$Z$22,"","* Personas de 60 a 64 años Mujeres, con antecedentes IAM En Tratamiento con Estatina no debe ser mayor a Personas mismo grupo de edad con Antecedentes de IAM de Sección A. ")</f>
        <v>#VALUE!</v>
      </c>
      <c r="CZ38" s="191" t="e">
        <f>IF($AA38&lt;=$AA$20+$AA$22,"","* Personas de 65 a 69 años Hombres, con antecedentes IAM En Tratamiento con Estatina no debe ser mayor a Personas mismo grupo de edad con Antecedentes de IAM de Sección A. ")</f>
        <v>#VALUE!</v>
      </c>
      <c r="DA38" s="191" t="e">
        <f>IF($AB38&lt;=$AB$20+$AB$22,"","* Personas de 65 a 69 años Mujeres, con antecedentes IAM En Tratamiento con Estatina no debe ser mayor a Personas mismo grupo de edad con Antecedentes de IAM de Sección A. ")</f>
        <v>#VALUE!</v>
      </c>
      <c r="DB38" s="191" t="e">
        <f>IF($AC38&lt;=$AC$20+$AC$22,"","* Personas de 70 a 74 años Hombres, con antecedentes IAM En Tratamiento con Estatina no debe ser mayor a Personas mismo grupo de edad con Antecedentes de IAM de Sección A. ")</f>
        <v>#VALUE!</v>
      </c>
      <c r="DC38" s="191" t="str">
        <f>IF($AD38&lt;=$AD$20,"","* Personas de 70 a 74 años Mujeres, con antecedentes IAM En Tratamiento con Estatina no debe ser mayor a Personas mismo grupo de edad con Antecedentes de IAM de Sección A. ")</f>
        <v/>
      </c>
      <c r="DD38" s="191" t="str">
        <f>IF($AE38&lt;=$AE$20,"","* personas de 75 a 79 años Hombres, con antecedentes IAM En Tratamiento con Estatina no debe ser mayor a Personas mismo grupo de edad con Antecedentes de IAM de Sección A. ")</f>
        <v/>
      </c>
      <c r="DE38" s="191" t="str">
        <f>IF($AF38&lt;=$AF$20,"","* Personas de 75 a 79 años Mujeres, con antecedentes IAM En Tratamiento con Estatina no debe ser mayor a Personas mismo grupo de edad con Antecedentes de IAM de Sección A. ")</f>
        <v/>
      </c>
      <c r="DF38" s="191" t="str">
        <f>IF($AG38&lt;=$AG$20,"","* Personas de 80 y más años Hombres, con antecedentes IAM En Tratamiento con Estatina no debe ser mayor a Personas mismo grupo de edad con Antecedentes de IAM de Sección A. ")</f>
        <v/>
      </c>
      <c r="DG38" s="191" t="str">
        <f>IF($AH38&lt;=$AH$20,"","* Personas de 80 y más años Mujeres, con antecedentes IAM En Tratamiento con Estatina no debe ser mayor a Personas mismo grupo de edad con Antecedentes de IAM de Sección A. ")</f>
        <v/>
      </c>
      <c r="DL38" s="1047">
        <f t="shared" si="19"/>
        <v>0</v>
      </c>
      <c r="DM38" s="1047">
        <f t="shared" si="20"/>
        <v>0</v>
      </c>
      <c r="DN38" s="1047">
        <f>IF($E$36&gt;=$AI$36,0,1)</f>
        <v>1</v>
      </c>
      <c r="DO38" s="1047">
        <f t="shared" si="21"/>
        <v>1</v>
      </c>
      <c r="DP38" s="1047">
        <f t="shared" si="11"/>
        <v>1</v>
      </c>
      <c r="DQ38" s="1047">
        <f t="shared" si="12"/>
        <v>1</v>
      </c>
      <c r="DR38" s="1047">
        <f>IF(G38&lt;=G$20,0,1)</f>
        <v>0</v>
      </c>
      <c r="DS38" s="1047">
        <f t="shared" si="27"/>
        <v>0</v>
      </c>
      <c r="DT38" s="1047">
        <f t="shared" si="27"/>
        <v>0</v>
      </c>
      <c r="DU38" s="1047">
        <f t="shared" si="27"/>
        <v>0</v>
      </c>
      <c r="DV38" s="1047">
        <f t="shared" si="27"/>
        <v>0</v>
      </c>
      <c r="DW38" s="1047">
        <f t="shared" si="27"/>
        <v>0</v>
      </c>
      <c r="DX38" s="1047">
        <f t="shared" si="27"/>
        <v>0</v>
      </c>
      <c r="DY38" s="1047">
        <f t="shared" si="27"/>
        <v>0</v>
      </c>
      <c r="DZ38" s="1047">
        <f t="shared" si="27"/>
        <v>0</v>
      </c>
      <c r="EA38" s="1047">
        <f t="shared" si="27"/>
        <v>0</v>
      </c>
      <c r="EB38" s="1047">
        <f t="shared" si="27"/>
        <v>0</v>
      </c>
      <c r="EC38" s="1047">
        <f t="shared" si="27"/>
        <v>0</v>
      </c>
      <c r="ED38" s="1047">
        <f t="shared" si="27"/>
        <v>0</v>
      </c>
      <c r="EE38" s="1047">
        <f t="shared" si="27"/>
        <v>0</v>
      </c>
      <c r="EF38" s="1047">
        <f t="shared" si="27"/>
        <v>0</v>
      </c>
      <c r="EG38" s="1047">
        <f t="shared" si="27"/>
        <v>0</v>
      </c>
      <c r="EH38" s="1047">
        <f t="shared" si="27"/>
        <v>0</v>
      </c>
      <c r="EI38" s="1047">
        <f t="shared" si="27"/>
        <v>0</v>
      </c>
      <c r="EJ38" s="1047">
        <f t="shared" si="27"/>
        <v>0</v>
      </c>
      <c r="EK38" s="1047">
        <f t="shared" si="27"/>
        <v>0</v>
      </c>
      <c r="EL38" s="1047">
        <f t="shared" si="27"/>
        <v>0</v>
      </c>
      <c r="EM38" s="1047">
        <f t="shared" si="27"/>
        <v>0</v>
      </c>
      <c r="EN38" s="1047">
        <f t="shared" si="27"/>
        <v>0</v>
      </c>
      <c r="EO38" s="1047">
        <f t="shared" si="27"/>
        <v>0</v>
      </c>
      <c r="EP38" s="1047">
        <f t="shared" si="27"/>
        <v>0</v>
      </c>
      <c r="EQ38" s="1047">
        <f t="shared" si="27"/>
        <v>0</v>
      </c>
      <c r="ER38" s="1047">
        <f t="shared" si="27"/>
        <v>0</v>
      </c>
      <c r="ES38" s="1047">
        <f t="shared" si="27"/>
        <v>0</v>
      </c>
    </row>
    <row r="39" spans="1:149" ht="15" customHeight="1" x14ac:dyDescent="0.2">
      <c r="A39" s="1594" t="s">
        <v>1242</v>
      </c>
      <c r="B39" s="2077"/>
      <c r="C39" s="1605" t="s">
        <v>521</v>
      </c>
      <c r="D39" s="1143" t="s">
        <v>1616</v>
      </c>
      <c r="E39" s="391" t="s">
        <v>1617</v>
      </c>
      <c r="F39" s="458" t="s">
        <v>1618</v>
      </c>
      <c r="G39" s="403" t="s">
        <v>1619</v>
      </c>
      <c r="H39" s="404" t="s">
        <v>1620</v>
      </c>
      <c r="I39" s="403" t="s">
        <v>1621</v>
      </c>
      <c r="J39" s="404" t="s">
        <v>1622</v>
      </c>
      <c r="K39" s="403" t="s">
        <v>1623</v>
      </c>
      <c r="L39" s="404" t="s">
        <v>1624</v>
      </c>
      <c r="M39" s="403" t="s">
        <v>1625</v>
      </c>
      <c r="N39" s="404" t="s">
        <v>1626</v>
      </c>
      <c r="O39" s="403" t="s">
        <v>1627</v>
      </c>
      <c r="P39" s="404" t="s">
        <v>1628</v>
      </c>
      <c r="Q39" s="403" t="s">
        <v>1629</v>
      </c>
      <c r="R39" s="404" t="s">
        <v>1630</v>
      </c>
      <c r="S39" s="403" t="s">
        <v>1631</v>
      </c>
      <c r="T39" s="404" t="s">
        <v>1632</v>
      </c>
      <c r="U39" s="403" t="s">
        <v>1633</v>
      </c>
      <c r="V39" s="404" t="s">
        <v>1634</v>
      </c>
      <c r="W39" s="403" t="s">
        <v>1635</v>
      </c>
      <c r="X39" s="404" t="s">
        <v>1636</v>
      </c>
      <c r="Y39" s="403" t="s">
        <v>1637</v>
      </c>
      <c r="Z39" s="404" t="s">
        <v>1638</v>
      </c>
      <c r="AA39" s="403" t="s">
        <v>1639</v>
      </c>
      <c r="AB39" s="404" t="s">
        <v>1640</v>
      </c>
      <c r="AC39" s="403" t="s">
        <v>1641</v>
      </c>
      <c r="AD39" s="404" t="s">
        <v>1642</v>
      </c>
      <c r="AE39" s="403" t="s">
        <v>1643</v>
      </c>
      <c r="AF39" s="404" t="s">
        <v>1644</v>
      </c>
      <c r="AG39" s="464" t="s">
        <v>1645</v>
      </c>
      <c r="AH39" s="470" t="s">
        <v>1646</v>
      </c>
      <c r="AI39" s="416" t="s">
        <v>1647</v>
      </c>
      <c r="AJ39" s="404" t="s">
        <v>1648</v>
      </c>
      <c r="AK39" s="464" t="s">
        <v>1649</v>
      </c>
      <c r="AL39" s="404" t="s">
        <v>1650</v>
      </c>
      <c r="AM39" s="36" t="str">
        <f t="shared" si="1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9" s="191" t="str">
        <f t="shared" si="15"/>
        <v xml:space="preserve"> * La variable Pueblos Originarios Hombres no puede ser Mayor al Total Hombres.</v>
      </c>
      <c r="CC39" s="191" t="str">
        <f t="shared" si="16"/>
        <v xml:space="preserve"> * La variable Pueblos Originarios Mujeres no puede ser Mayor al Total Mujeres.</v>
      </c>
      <c r="CD39" s="191" t="str">
        <f t="shared" si="17"/>
        <v xml:space="preserve"> * La variable Migrantes Hombres no puede ser Mayor al Total Hombres.</v>
      </c>
      <c r="CE39" s="191" t="str">
        <f t="shared" si="18"/>
        <v xml:space="preserve"> * La variable Migrantes Mujeres no puede ser Mayor al Total Mujeres.</v>
      </c>
      <c r="DL39" s="1047">
        <f t="shared" si="19"/>
        <v>0</v>
      </c>
      <c r="DM39" s="1047">
        <f t="shared" si="20"/>
        <v>0</v>
      </c>
      <c r="DN39" s="1047">
        <f>IF($E$36&gt;=$AI$36,0,1)</f>
        <v>1</v>
      </c>
      <c r="DO39" s="1047">
        <f t="shared" si="21"/>
        <v>1</v>
      </c>
      <c r="DP39" s="1047">
        <f t="shared" si="11"/>
        <v>1</v>
      </c>
      <c r="DQ39" s="1047">
        <f t="shared" si="12"/>
        <v>1</v>
      </c>
    </row>
    <row r="40" spans="1:149" ht="15" customHeight="1" x14ac:dyDescent="0.2">
      <c r="A40" s="1594" t="s">
        <v>1243</v>
      </c>
      <c r="B40" s="2075" t="s">
        <v>523</v>
      </c>
      <c r="C40" s="1604" t="s">
        <v>519</v>
      </c>
      <c r="D40" s="1142" t="s">
        <v>1616</v>
      </c>
      <c r="E40" s="387" t="s">
        <v>1617</v>
      </c>
      <c r="F40" s="454" t="s">
        <v>1618</v>
      </c>
      <c r="G40" s="417" t="s">
        <v>1619</v>
      </c>
      <c r="H40" s="418" t="s">
        <v>1620</v>
      </c>
      <c r="I40" s="417" t="s">
        <v>1621</v>
      </c>
      <c r="J40" s="418" t="s">
        <v>1622</v>
      </c>
      <c r="K40" s="417" t="s">
        <v>1623</v>
      </c>
      <c r="L40" s="418" t="s">
        <v>1624</v>
      </c>
      <c r="M40" s="417" t="s">
        <v>1625</v>
      </c>
      <c r="N40" s="418" t="s">
        <v>1626</v>
      </c>
      <c r="O40" s="417" t="s">
        <v>1627</v>
      </c>
      <c r="P40" s="418" t="s">
        <v>1628</v>
      </c>
      <c r="Q40" s="417" t="s">
        <v>1629</v>
      </c>
      <c r="R40" s="418" t="s">
        <v>1630</v>
      </c>
      <c r="S40" s="417" t="s">
        <v>1631</v>
      </c>
      <c r="T40" s="418" t="s">
        <v>1632</v>
      </c>
      <c r="U40" s="417" t="s">
        <v>1633</v>
      </c>
      <c r="V40" s="418" t="s">
        <v>1634</v>
      </c>
      <c r="W40" s="417" t="s">
        <v>1635</v>
      </c>
      <c r="X40" s="418" t="s">
        <v>1636</v>
      </c>
      <c r="Y40" s="417" t="s">
        <v>1637</v>
      </c>
      <c r="Z40" s="418" t="s">
        <v>1638</v>
      </c>
      <c r="AA40" s="417" t="s">
        <v>1639</v>
      </c>
      <c r="AB40" s="418" t="s">
        <v>1640</v>
      </c>
      <c r="AC40" s="417" t="s">
        <v>1641</v>
      </c>
      <c r="AD40" s="418" t="s">
        <v>1642</v>
      </c>
      <c r="AE40" s="417" t="s">
        <v>1643</v>
      </c>
      <c r="AF40" s="418" t="s">
        <v>1644</v>
      </c>
      <c r="AG40" s="468" t="s">
        <v>1645</v>
      </c>
      <c r="AH40" s="469" t="s">
        <v>1646</v>
      </c>
      <c r="AI40" s="412" t="s">
        <v>1647</v>
      </c>
      <c r="AJ40" s="395" t="s">
        <v>1648</v>
      </c>
      <c r="AK40" s="462" t="s">
        <v>1649</v>
      </c>
      <c r="AL40" s="395" t="s">
        <v>1650</v>
      </c>
      <c r="AM40" s="36" t="str">
        <f t="shared" si="1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40" s="191" t="str">
        <f t="shared" si="15"/>
        <v xml:space="preserve"> * La variable Pueblos Originarios Hombres no puede ser Mayor al Total Hombres.</v>
      </c>
      <c r="CC40" s="191" t="str">
        <f t="shared" si="16"/>
        <v xml:space="preserve"> * La variable Pueblos Originarios Mujeres no puede ser Mayor al Total Mujeres.</v>
      </c>
      <c r="CD40" s="191" t="str">
        <f t="shared" si="17"/>
        <v xml:space="preserve"> * La variable Migrantes Hombres no puede ser Mayor al Total Hombres.</v>
      </c>
      <c r="CE40" s="191" t="str">
        <f t="shared" si="18"/>
        <v xml:space="preserve"> * La variable Migrantes Mujeres no puede ser Mayor al Total Mujeres.</v>
      </c>
      <c r="CF40" s="191" t="str">
        <f>IF(G$40&lt;=G$21,"","* Personas de 15 a 19 años Hombres, con antecedentes ACV En Tratamiento con Antiagregante plaquetario no debe ser mayor a la suma de Personas con Antecedentes de ACV de Sección A. ")</f>
        <v/>
      </c>
      <c r="CG40" s="191" t="str">
        <f t="shared" ref="CG40:DF40" si="28">IF(H$40&lt;=H$21,"","* Personas de 15 a 19 años Hombres, con antecedentes ACV En Tratamiento con Antiagregante plaquetario no debe ser mayor a la suma de Personas con Antecedentes de ACV de Sección A. ")</f>
        <v/>
      </c>
      <c r="CH40" s="191" t="str">
        <f t="shared" si="28"/>
        <v/>
      </c>
      <c r="CI40" s="191" t="str">
        <f t="shared" si="28"/>
        <v/>
      </c>
      <c r="CJ40" s="191" t="str">
        <f t="shared" si="28"/>
        <v/>
      </c>
      <c r="CK40" s="191" t="str">
        <f t="shared" si="28"/>
        <v/>
      </c>
      <c r="CL40" s="191" t="str">
        <f t="shared" si="28"/>
        <v/>
      </c>
      <c r="CM40" s="191" t="str">
        <f t="shared" si="28"/>
        <v/>
      </c>
      <c r="CN40" s="191" t="str">
        <f t="shared" si="28"/>
        <v/>
      </c>
      <c r="CO40" s="191" t="str">
        <f t="shared" si="28"/>
        <v/>
      </c>
      <c r="CP40" s="191" t="str">
        <f t="shared" si="28"/>
        <v/>
      </c>
      <c r="CQ40" s="191" t="str">
        <f t="shared" si="28"/>
        <v/>
      </c>
      <c r="CR40" s="191" t="str">
        <f t="shared" si="28"/>
        <v/>
      </c>
      <c r="CS40" s="191" t="str">
        <f t="shared" si="28"/>
        <v/>
      </c>
      <c r="CT40" s="191" t="str">
        <f t="shared" si="28"/>
        <v/>
      </c>
      <c r="CU40" s="191" t="str">
        <f t="shared" si="28"/>
        <v/>
      </c>
      <c r="CV40" s="191" t="str">
        <f t="shared" si="28"/>
        <v/>
      </c>
      <c r="CW40" s="191" t="str">
        <f t="shared" si="28"/>
        <v/>
      </c>
      <c r="CX40" s="191" t="str">
        <f t="shared" si="28"/>
        <v/>
      </c>
      <c r="CY40" s="191" t="str">
        <f t="shared" si="28"/>
        <v/>
      </c>
      <c r="CZ40" s="191" t="str">
        <f t="shared" si="28"/>
        <v/>
      </c>
      <c r="DA40" s="191" t="str">
        <f t="shared" si="28"/>
        <v/>
      </c>
      <c r="DB40" s="191" t="str">
        <f t="shared" si="28"/>
        <v/>
      </c>
      <c r="DC40" s="191" t="str">
        <f t="shared" si="28"/>
        <v/>
      </c>
      <c r="DD40" s="191" t="str">
        <f t="shared" si="28"/>
        <v/>
      </c>
      <c r="DE40" s="191" t="str">
        <f t="shared" si="28"/>
        <v/>
      </c>
      <c r="DF40" s="191" t="str">
        <f t="shared" si="28"/>
        <v/>
      </c>
      <c r="DG40" s="191" t="str">
        <f>IF(AH$40&lt;=AH$21,"","* Personas de 15 a 19 años Hombres, con antecedentes ACV En Tratamiento con Antiagregante plaquetario no debe ser mayor a la suma de Personas con Antecedentes de ACV de Sección A. ")</f>
        <v/>
      </c>
      <c r="DL40" s="1047">
        <f t="shared" si="19"/>
        <v>0</v>
      </c>
      <c r="DM40" s="1047">
        <f t="shared" si="20"/>
        <v>0</v>
      </c>
      <c r="DN40" s="1047">
        <f>IF($E$34&gt;=$AI$34,0,1)</f>
        <v>1</v>
      </c>
      <c r="DO40" s="1047">
        <f t="shared" si="21"/>
        <v>1</v>
      </c>
      <c r="DP40" s="1047">
        <f t="shared" si="11"/>
        <v>1</v>
      </c>
      <c r="DQ40" s="1047">
        <f t="shared" si="12"/>
        <v>1</v>
      </c>
      <c r="DR40" s="1047">
        <f>IF(G40&lt;=G$21,0,1)</f>
        <v>0</v>
      </c>
      <c r="DS40" s="1047">
        <f t="shared" ref="DS40:ES41" si="29">IF(H40&lt;=H$21,0,1)</f>
        <v>0</v>
      </c>
      <c r="DT40" s="1047">
        <f t="shared" si="29"/>
        <v>0</v>
      </c>
      <c r="DU40" s="1047">
        <f t="shared" si="29"/>
        <v>0</v>
      </c>
      <c r="DV40" s="1047">
        <f t="shared" si="29"/>
        <v>0</v>
      </c>
      <c r="DW40" s="1047">
        <f t="shared" si="29"/>
        <v>0</v>
      </c>
      <c r="DX40" s="1047">
        <f t="shared" si="29"/>
        <v>0</v>
      </c>
      <c r="DY40" s="1047">
        <f t="shared" si="29"/>
        <v>0</v>
      </c>
      <c r="DZ40" s="1047">
        <f t="shared" si="29"/>
        <v>0</v>
      </c>
      <c r="EA40" s="1047">
        <f t="shared" si="29"/>
        <v>0</v>
      </c>
      <c r="EB40" s="1047">
        <f t="shared" si="29"/>
        <v>0</v>
      </c>
      <c r="EC40" s="1047">
        <f t="shared" si="29"/>
        <v>0</v>
      </c>
      <c r="ED40" s="1047">
        <f t="shared" si="29"/>
        <v>0</v>
      </c>
      <c r="EE40" s="1047">
        <f t="shared" si="29"/>
        <v>0</v>
      </c>
      <c r="EF40" s="1047">
        <f t="shared" si="29"/>
        <v>0</v>
      </c>
      <c r="EG40" s="1047">
        <f t="shared" si="29"/>
        <v>0</v>
      </c>
      <c r="EH40" s="1047">
        <f t="shared" si="29"/>
        <v>0</v>
      </c>
      <c r="EI40" s="1047">
        <f t="shared" si="29"/>
        <v>0</v>
      </c>
      <c r="EJ40" s="1047">
        <f t="shared" si="29"/>
        <v>0</v>
      </c>
      <c r="EK40" s="1047">
        <f t="shared" si="29"/>
        <v>0</v>
      </c>
      <c r="EL40" s="1047">
        <f t="shared" si="29"/>
        <v>0</v>
      </c>
      <c r="EM40" s="1047">
        <f t="shared" si="29"/>
        <v>0</v>
      </c>
      <c r="EN40" s="1047">
        <f t="shared" si="29"/>
        <v>0</v>
      </c>
      <c r="EO40" s="1047">
        <f t="shared" si="29"/>
        <v>0</v>
      </c>
      <c r="EP40" s="1047">
        <f t="shared" si="29"/>
        <v>0</v>
      </c>
      <c r="EQ40" s="1047">
        <f t="shared" si="29"/>
        <v>0</v>
      </c>
      <c r="ER40" s="1047">
        <f t="shared" si="29"/>
        <v>0</v>
      </c>
      <c r="ES40" s="1047">
        <f t="shared" si="29"/>
        <v>0</v>
      </c>
    </row>
    <row r="41" spans="1:149" ht="15" customHeight="1" x14ac:dyDescent="0.2">
      <c r="A41" s="1594" t="s">
        <v>1244</v>
      </c>
      <c r="B41" s="2076"/>
      <c r="C41" s="1604" t="s">
        <v>520</v>
      </c>
      <c r="D41" s="1376" t="s">
        <v>1616</v>
      </c>
      <c r="E41" s="389" t="s">
        <v>1617</v>
      </c>
      <c r="F41" s="869" t="s">
        <v>1618</v>
      </c>
      <c r="G41" s="450" t="s">
        <v>1619</v>
      </c>
      <c r="H41" s="451" t="s">
        <v>1620</v>
      </c>
      <c r="I41" s="450" t="s">
        <v>1621</v>
      </c>
      <c r="J41" s="451" t="s">
        <v>1622</v>
      </c>
      <c r="K41" s="450" t="s">
        <v>1623</v>
      </c>
      <c r="L41" s="451" t="s">
        <v>1624</v>
      </c>
      <c r="M41" s="450" t="s">
        <v>1625</v>
      </c>
      <c r="N41" s="451" t="s">
        <v>1626</v>
      </c>
      <c r="O41" s="450" t="s">
        <v>1627</v>
      </c>
      <c r="P41" s="451" t="s">
        <v>1628</v>
      </c>
      <c r="Q41" s="450" t="s">
        <v>1629</v>
      </c>
      <c r="R41" s="451" t="s">
        <v>1630</v>
      </c>
      <c r="S41" s="450" t="s">
        <v>1631</v>
      </c>
      <c r="T41" s="451" t="s">
        <v>1632</v>
      </c>
      <c r="U41" s="450" t="s">
        <v>1633</v>
      </c>
      <c r="V41" s="451" t="s">
        <v>1634</v>
      </c>
      <c r="W41" s="450" t="s">
        <v>1635</v>
      </c>
      <c r="X41" s="451" t="s">
        <v>1636</v>
      </c>
      <c r="Y41" s="450" t="s">
        <v>1637</v>
      </c>
      <c r="Z41" s="451" t="s">
        <v>1638</v>
      </c>
      <c r="AA41" s="450" t="s">
        <v>1639</v>
      </c>
      <c r="AB41" s="451" t="s">
        <v>1640</v>
      </c>
      <c r="AC41" s="450" t="s">
        <v>1641</v>
      </c>
      <c r="AD41" s="451" t="s">
        <v>1642</v>
      </c>
      <c r="AE41" s="450" t="s">
        <v>1643</v>
      </c>
      <c r="AF41" s="451" t="s">
        <v>1644</v>
      </c>
      <c r="AG41" s="666" t="s">
        <v>1645</v>
      </c>
      <c r="AH41" s="581" t="s">
        <v>1646</v>
      </c>
      <c r="AI41" s="880" t="s">
        <v>1647</v>
      </c>
      <c r="AJ41" s="451" t="s">
        <v>1648</v>
      </c>
      <c r="AK41" s="666" t="s">
        <v>1649</v>
      </c>
      <c r="AL41" s="451" t="s">
        <v>1650</v>
      </c>
      <c r="AM41" s="36" t="str">
        <f t="shared" si="1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41" s="191" t="str">
        <f t="shared" si="15"/>
        <v xml:space="preserve"> * La variable Pueblos Originarios Hombres no puede ser Mayor al Total Hombres.</v>
      </c>
      <c r="CC41" s="191" t="str">
        <f t="shared" si="16"/>
        <v xml:space="preserve"> * La variable Pueblos Originarios Mujeres no puede ser Mayor al Total Mujeres.</v>
      </c>
      <c r="CD41" s="191" t="str">
        <f t="shared" si="17"/>
        <v xml:space="preserve"> * La variable Migrantes Hombres no puede ser Mayor al Total Hombres.</v>
      </c>
      <c r="CE41" s="191" t="str">
        <f t="shared" si="18"/>
        <v xml:space="preserve"> * La variable Migrantes Mujeres no puede ser Mayor al Total Mujeres.</v>
      </c>
      <c r="CF41" s="191" t="str">
        <f>IF(G41&lt;=G$21,"","* Personas de 15 a 19 años Hombres, con antecedentes ACV En Tratamiento con Estatina no debe ser mayor a la suma de Personas con Antecedentes de ACV de Sección A. ")</f>
        <v/>
      </c>
      <c r="CG41" s="191" t="str">
        <f t="shared" ref="CG41:DG41" si="30">IF(H41&lt;=H$21,"","* Personas de 15 a 19 años Hombres, con antecedentes ACV En Tratamiento con Estatina no debe ser mayor a la suma de Personas con Antecedentes de ACV de Sección A. ")</f>
        <v/>
      </c>
      <c r="CH41" s="191" t="str">
        <f t="shared" si="30"/>
        <v/>
      </c>
      <c r="CI41" s="191" t="str">
        <f t="shared" si="30"/>
        <v/>
      </c>
      <c r="CJ41" s="191" t="str">
        <f t="shared" si="30"/>
        <v/>
      </c>
      <c r="CK41" s="191" t="str">
        <f t="shared" si="30"/>
        <v/>
      </c>
      <c r="CL41" s="191" t="str">
        <f t="shared" si="30"/>
        <v/>
      </c>
      <c r="CM41" s="191" t="str">
        <f t="shared" si="30"/>
        <v/>
      </c>
      <c r="CN41" s="191" t="str">
        <f t="shared" si="30"/>
        <v/>
      </c>
      <c r="CO41" s="191" t="str">
        <f t="shared" si="30"/>
        <v/>
      </c>
      <c r="CP41" s="191" t="str">
        <f t="shared" si="30"/>
        <v/>
      </c>
      <c r="CQ41" s="191" t="str">
        <f t="shared" si="30"/>
        <v/>
      </c>
      <c r="CR41" s="191" t="str">
        <f t="shared" si="30"/>
        <v/>
      </c>
      <c r="CS41" s="191" t="str">
        <f t="shared" si="30"/>
        <v/>
      </c>
      <c r="CT41" s="191" t="str">
        <f t="shared" si="30"/>
        <v/>
      </c>
      <c r="CU41" s="191" t="str">
        <f t="shared" si="30"/>
        <v/>
      </c>
      <c r="CV41" s="191" t="str">
        <f t="shared" si="30"/>
        <v/>
      </c>
      <c r="CW41" s="191" t="str">
        <f t="shared" si="30"/>
        <v/>
      </c>
      <c r="CX41" s="191" t="str">
        <f t="shared" si="30"/>
        <v/>
      </c>
      <c r="CY41" s="191" t="str">
        <f t="shared" si="30"/>
        <v/>
      </c>
      <c r="CZ41" s="191" t="str">
        <f t="shared" si="30"/>
        <v/>
      </c>
      <c r="DA41" s="191" t="str">
        <f t="shared" si="30"/>
        <v/>
      </c>
      <c r="DB41" s="191" t="str">
        <f t="shared" si="30"/>
        <v/>
      </c>
      <c r="DC41" s="191" t="str">
        <f t="shared" si="30"/>
        <v/>
      </c>
      <c r="DD41" s="191" t="str">
        <f t="shared" si="30"/>
        <v/>
      </c>
      <c r="DE41" s="191" t="str">
        <f t="shared" si="30"/>
        <v/>
      </c>
      <c r="DF41" s="191" t="str">
        <f>IF(AG41&lt;=AG$21,"","* Personas de 15 a 19 años Hombres, con antecedentes ACV En Tratamiento con Estatina no debe ser mayor a la suma de Personas con Antecedentes de ACV de Sección A. ")</f>
        <v/>
      </c>
      <c r="DG41" s="191" t="str">
        <f t="shared" si="30"/>
        <v/>
      </c>
      <c r="DL41" s="1047">
        <f t="shared" si="19"/>
        <v>0</v>
      </c>
      <c r="DM41" s="1047">
        <f t="shared" si="20"/>
        <v>0</v>
      </c>
      <c r="DN41" s="1047">
        <f>IF($E$36&gt;=$AI$36,0,1)</f>
        <v>1</v>
      </c>
      <c r="DO41" s="1047">
        <f t="shared" si="21"/>
        <v>1</v>
      </c>
      <c r="DP41" s="1047">
        <f t="shared" si="11"/>
        <v>1</v>
      </c>
      <c r="DQ41" s="1047">
        <f t="shared" si="12"/>
        <v>1</v>
      </c>
      <c r="DR41" s="1047">
        <f>IF(G41&lt;=G$21,0,1)</f>
        <v>0</v>
      </c>
      <c r="DS41" s="1047">
        <f t="shared" si="29"/>
        <v>0</v>
      </c>
      <c r="DT41" s="1047">
        <f t="shared" si="29"/>
        <v>0</v>
      </c>
      <c r="DU41" s="1047">
        <f t="shared" si="29"/>
        <v>0</v>
      </c>
      <c r="DV41" s="1047">
        <f t="shared" si="29"/>
        <v>0</v>
      </c>
      <c r="DW41" s="1047">
        <f t="shared" si="29"/>
        <v>0</v>
      </c>
      <c r="DX41" s="1047">
        <f t="shared" si="29"/>
        <v>0</v>
      </c>
      <c r="DY41" s="1047">
        <f t="shared" si="29"/>
        <v>0</v>
      </c>
      <c r="DZ41" s="1047">
        <f t="shared" si="29"/>
        <v>0</v>
      </c>
      <c r="EA41" s="1047">
        <f t="shared" si="29"/>
        <v>0</v>
      </c>
      <c r="EB41" s="1047">
        <f t="shared" si="29"/>
        <v>0</v>
      </c>
      <c r="EC41" s="1047">
        <f t="shared" si="29"/>
        <v>0</v>
      </c>
      <c r="ED41" s="1047">
        <f t="shared" si="29"/>
        <v>0</v>
      </c>
      <c r="EE41" s="1047">
        <f t="shared" si="29"/>
        <v>0</v>
      </c>
      <c r="EF41" s="1047">
        <f t="shared" si="29"/>
        <v>0</v>
      </c>
      <c r="EG41" s="1047">
        <f t="shared" si="29"/>
        <v>0</v>
      </c>
      <c r="EH41" s="1047">
        <f t="shared" si="29"/>
        <v>0</v>
      </c>
      <c r="EI41" s="1047">
        <f t="shared" si="29"/>
        <v>0</v>
      </c>
      <c r="EJ41" s="1047">
        <f t="shared" si="29"/>
        <v>0</v>
      </c>
      <c r="EK41" s="1047">
        <f t="shared" si="29"/>
        <v>0</v>
      </c>
      <c r="EL41" s="1047">
        <f t="shared" si="29"/>
        <v>0</v>
      </c>
      <c r="EM41" s="1047">
        <f t="shared" si="29"/>
        <v>0</v>
      </c>
      <c r="EN41" s="1047">
        <f t="shared" si="29"/>
        <v>0</v>
      </c>
      <c r="EO41" s="1047">
        <f t="shared" si="29"/>
        <v>0</v>
      </c>
      <c r="EP41" s="1047">
        <f t="shared" si="29"/>
        <v>0</v>
      </c>
      <c r="EQ41" s="1047">
        <f t="shared" si="29"/>
        <v>0</v>
      </c>
      <c r="ER41" s="1047">
        <f t="shared" si="29"/>
        <v>0</v>
      </c>
      <c r="ES41" s="1047">
        <f t="shared" si="29"/>
        <v>0</v>
      </c>
    </row>
    <row r="42" spans="1:149" ht="15" customHeight="1" x14ac:dyDescent="0.2">
      <c r="A42" s="1594" t="s">
        <v>1245</v>
      </c>
      <c r="B42" s="2077"/>
      <c r="C42" s="1605" t="s">
        <v>521</v>
      </c>
      <c r="D42" s="1143" t="s">
        <v>1616</v>
      </c>
      <c r="E42" s="391" t="s">
        <v>1617</v>
      </c>
      <c r="F42" s="458" t="s">
        <v>1618</v>
      </c>
      <c r="G42" s="403" t="s">
        <v>1619</v>
      </c>
      <c r="H42" s="404" t="s">
        <v>1620</v>
      </c>
      <c r="I42" s="403" t="s">
        <v>1621</v>
      </c>
      <c r="J42" s="404" t="s">
        <v>1622</v>
      </c>
      <c r="K42" s="403" t="s">
        <v>1623</v>
      </c>
      <c r="L42" s="404" t="s">
        <v>1624</v>
      </c>
      <c r="M42" s="403" t="s">
        <v>1625</v>
      </c>
      <c r="N42" s="404" t="s">
        <v>1626</v>
      </c>
      <c r="O42" s="403" t="s">
        <v>1627</v>
      </c>
      <c r="P42" s="404" t="s">
        <v>1628</v>
      </c>
      <c r="Q42" s="403" t="s">
        <v>1629</v>
      </c>
      <c r="R42" s="404" t="s">
        <v>1630</v>
      </c>
      <c r="S42" s="403" t="s">
        <v>1631</v>
      </c>
      <c r="T42" s="404" t="s">
        <v>1632</v>
      </c>
      <c r="U42" s="403" t="s">
        <v>1633</v>
      </c>
      <c r="V42" s="404" t="s">
        <v>1634</v>
      </c>
      <c r="W42" s="403" t="s">
        <v>1635</v>
      </c>
      <c r="X42" s="404" t="s">
        <v>1636</v>
      </c>
      <c r="Y42" s="403" t="s">
        <v>1637</v>
      </c>
      <c r="Z42" s="404" t="s">
        <v>1638</v>
      </c>
      <c r="AA42" s="403" t="s">
        <v>1639</v>
      </c>
      <c r="AB42" s="404" t="s">
        <v>1640</v>
      </c>
      <c r="AC42" s="403" t="s">
        <v>1641</v>
      </c>
      <c r="AD42" s="404" t="s">
        <v>1642</v>
      </c>
      <c r="AE42" s="403" t="s">
        <v>1643</v>
      </c>
      <c r="AF42" s="404" t="s">
        <v>1644</v>
      </c>
      <c r="AG42" s="464" t="s">
        <v>1645</v>
      </c>
      <c r="AH42" s="470" t="s">
        <v>1646</v>
      </c>
      <c r="AI42" s="416" t="s">
        <v>1647</v>
      </c>
      <c r="AJ42" s="404" t="s">
        <v>1648</v>
      </c>
      <c r="AK42" s="464" t="s">
        <v>1649</v>
      </c>
      <c r="AL42" s="404" t="s">
        <v>1650</v>
      </c>
      <c r="AM42" s="36" t="str">
        <f>CB42&amp;CC42&amp;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DD42 &amp; DF42 &amp; DG42 &amp;DE42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42" s="191" t="str">
        <f t="shared" si="15"/>
        <v xml:space="preserve"> * La variable Pueblos Originarios Hombres no puede ser Mayor al Total Hombres.</v>
      </c>
      <c r="CC42" s="191" t="str">
        <f t="shared" si="16"/>
        <v xml:space="preserve"> * La variable Pueblos Originarios Mujeres no puede ser Mayor al Total Mujeres.</v>
      </c>
      <c r="CD42" s="191" t="str">
        <f t="shared" si="17"/>
        <v xml:space="preserve"> * La variable Migrantes Hombres no puede ser Mayor al Total Hombres.</v>
      </c>
      <c r="CE42" s="191" t="str">
        <f t="shared" si="18"/>
        <v xml:space="preserve"> * La variable Migrantes Mujeres no puede ser Mayor al Total Mujeres.</v>
      </c>
      <c r="DL42" s="1047">
        <f t="shared" si="19"/>
        <v>0</v>
      </c>
      <c r="DM42" s="1047">
        <f t="shared" si="20"/>
        <v>0</v>
      </c>
      <c r="DN42" s="1047">
        <f>IF($E$36&gt;=$AI$36,0,1)</f>
        <v>1</v>
      </c>
      <c r="DO42" s="1047">
        <f t="shared" si="21"/>
        <v>1</v>
      </c>
      <c r="DP42" s="1047">
        <f t="shared" si="11"/>
        <v>1</v>
      </c>
      <c r="DQ42" s="1047">
        <f t="shared" si="12"/>
        <v>1</v>
      </c>
    </row>
    <row r="43" spans="1:149" ht="17.100000000000001" customHeight="1" x14ac:dyDescent="0.15">
      <c r="B43" s="1072" t="s">
        <v>524</v>
      </c>
      <c r="C43" s="607"/>
      <c r="D43" s="868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AL43" s="1223"/>
    </row>
    <row r="44" spans="1:149" ht="20.25" customHeight="1" x14ac:dyDescent="0.15">
      <c r="B44" s="2039" t="s">
        <v>525</v>
      </c>
      <c r="C44" s="2040"/>
      <c r="D44" s="2011" t="s">
        <v>497</v>
      </c>
      <c r="E44" s="2012"/>
      <c r="F44" s="2013"/>
      <c r="G44" s="2017" t="s">
        <v>376</v>
      </c>
      <c r="H44" s="2006"/>
      <c r="I44" s="2006"/>
      <c r="J44" s="2006"/>
      <c r="K44" s="2006"/>
      <c r="L44" s="2006"/>
      <c r="M44" s="2006"/>
      <c r="N44" s="2006"/>
      <c r="O44" s="2006"/>
      <c r="P44" s="2006"/>
      <c r="Q44" s="2006"/>
      <c r="R44" s="2006"/>
      <c r="S44" s="2006"/>
      <c r="T44" s="2006"/>
      <c r="U44" s="2006"/>
      <c r="V44" s="2006"/>
      <c r="W44" s="2006"/>
      <c r="X44" s="2006"/>
      <c r="Y44" s="2006"/>
      <c r="Z44" s="2006"/>
      <c r="AA44" s="2006"/>
      <c r="AB44" s="2006"/>
      <c r="AC44" s="2006"/>
      <c r="AD44" s="2006"/>
      <c r="AE44" s="2006"/>
      <c r="AF44" s="2006"/>
      <c r="AG44" s="2006"/>
      <c r="AH44" s="1939"/>
      <c r="AI44" s="1748" t="s">
        <v>51</v>
      </c>
      <c r="AJ44" s="1753"/>
      <c r="AK44" s="1752" t="s">
        <v>52</v>
      </c>
      <c r="AL44" s="1753"/>
      <c r="CB44" s="2053"/>
      <c r="CC44" s="2053"/>
      <c r="CD44" s="2053"/>
      <c r="CE44" s="2053"/>
      <c r="CJ44" s="2053"/>
      <c r="CK44" s="2053"/>
      <c r="DL44" s="2053"/>
      <c r="DM44" s="2053"/>
      <c r="DN44" s="2053"/>
      <c r="DO44" s="2053"/>
      <c r="DV44" s="184"/>
      <c r="DW44" s="184"/>
    </row>
    <row r="45" spans="1:149" ht="18.75" customHeight="1" x14ac:dyDescent="0.15">
      <c r="B45" s="2041"/>
      <c r="C45" s="2042"/>
      <c r="D45" s="2014"/>
      <c r="E45" s="2015"/>
      <c r="F45" s="2016"/>
      <c r="G45" s="2033" t="s">
        <v>57</v>
      </c>
      <c r="H45" s="2034"/>
      <c r="I45" s="2073" t="s">
        <v>58</v>
      </c>
      <c r="J45" s="2074"/>
      <c r="K45" s="1931" t="s">
        <v>59</v>
      </c>
      <c r="L45" s="1931"/>
      <c r="M45" s="1937" t="s">
        <v>60</v>
      </c>
      <c r="N45" s="1853"/>
      <c r="O45" s="1931" t="s">
        <v>61</v>
      </c>
      <c r="P45" s="1931"/>
      <c r="Q45" s="1937" t="s">
        <v>62</v>
      </c>
      <c r="R45" s="1853"/>
      <c r="S45" s="1931" t="s">
        <v>63</v>
      </c>
      <c r="T45" s="1931"/>
      <c r="U45" s="1937" t="s">
        <v>64</v>
      </c>
      <c r="V45" s="1853"/>
      <c r="W45" s="1931" t="s">
        <v>65</v>
      </c>
      <c r="X45" s="1931"/>
      <c r="Y45" s="1937" t="s">
        <v>66</v>
      </c>
      <c r="Z45" s="1853"/>
      <c r="AA45" s="1932" t="s">
        <v>67</v>
      </c>
      <c r="AB45" s="1933"/>
      <c r="AC45" s="1932" t="s">
        <v>406</v>
      </c>
      <c r="AD45" s="1933"/>
      <c r="AE45" s="1932" t="s">
        <v>407</v>
      </c>
      <c r="AF45" s="1933"/>
      <c r="AG45" s="1932" t="s">
        <v>408</v>
      </c>
      <c r="AH45" s="1933"/>
      <c r="AI45" s="1750"/>
      <c r="AJ45" s="1706"/>
      <c r="AK45" s="1754"/>
      <c r="AL45" s="1706"/>
      <c r="CB45" s="2053"/>
      <c r="CC45" s="2053"/>
      <c r="CD45" s="2053"/>
      <c r="CE45" s="2053"/>
      <c r="CJ45" s="2053"/>
      <c r="CK45" s="2053"/>
      <c r="DL45" s="2053"/>
      <c r="DM45" s="2053"/>
      <c r="DN45" s="2053"/>
      <c r="DO45" s="2053"/>
      <c r="DV45" s="184"/>
      <c r="DW45" s="184"/>
    </row>
    <row r="46" spans="1:149" ht="32.25" customHeight="1" x14ac:dyDescent="0.15">
      <c r="B46" s="2043"/>
      <c r="C46" s="2044"/>
      <c r="D46" s="1471" t="s">
        <v>409</v>
      </c>
      <c r="E46" s="1485" t="s">
        <v>86</v>
      </c>
      <c r="F46" s="1486" t="s">
        <v>227</v>
      </c>
      <c r="G46" s="1575" t="s">
        <v>86</v>
      </c>
      <c r="H46" s="1486" t="s">
        <v>227</v>
      </c>
      <c r="I46" s="1264" t="s">
        <v>86</v>
      </c>
      <c r="J46" s="1486" t="s">
        <v>227</v>
      </c>
      <c r="K46" s="1264" t="s">
        <v>86</v>
      </c>
      <c r="L46" s="1486" t="s">
        <v>227</v>
      </c>
      <c r="M46" s="1264" t="s">
        <v>86</v>
      </c>
      <c r="N46" s="1486" t="s">
        <v>227</v>
      </c>
      <c r="O46" s="1264" t="s">
        <v>86</v>
      </c>
      <c r="P46" s="1486" t="s">
        <v>227</v>
      </c>
      <c r="Q46" s="1264" t="s">
        <v>86</v>
      </c>
      <c r="R46" s="1486" t="s">
        <v>227</v>
      </c>
      <c r="S46" s="1264" t="s">
        <v>86</v>
      </c>
      <c r="T46" s="1486" t="s">
        <v>227</v>
      </c>
      <c r="U46" s="1264" t="s">
        <v>86</v>
      </c>
      <c r="V46" s="1486" t="s">
        <v>227</v>
      </c>
      <c r="W46" s="1264" t="s">
        <v>86</v>
      </c>
      <c r="X46" s="1486" t="s">
        <v>227</v>
      </c>
      <c r="Y46" s="1264" t="s">
        <v>86</v>
      </c>
      <c r="Z46" s="1486" t="s">
        <v>227</v>
      </c>
      <c r="AA46" s="1264" t="s">
        <v>410</v>
      </c>
      <c r="AB46" s="1486" t="s">
        <v>227</v>
      </c>
      <c r="AC46" s="1264" t="s">
        <v>410</v>
      </c>
      <c r="AD46" s="1486" t="s">
        <v>227</v>
      </c>
      <c r="AE46" s="1264" t="s">
        <v>410</v>
      </c>
      <c r="AF46" s="1486" t="s">
        <v>227</v>
      </c>
      <c r="AG46" s="1260" t="s">
        <v>410</v>
      </c>
      <c r="AH46" s="874" t="s">
        <v>227</v>
      </c>
      <c r="AI46" s="876" t="s">
        <v>86</v>
      </c>
      <c r="AJ46" s="875" t="s">
        <v>227</v>
      </c>
      <c r="AK46" s="1267" t="s">
        <v>86</v>
      </c>
      <c r="AL46" s="875" t="s">
        <v>227</v>
      </c>
      <c r="CB46" s="101"/>
      <c r="CC46" s="101"/>
      <c r="CD46" s="101"/>
      <c r="CE46" s="101"/>
      <c r="CJ46" s="1064"/>
      <c r="CK46" s="1064"/>
      <c r="DL46" s="101"/>
      <c r="DM46" s="101"/>
      <c r="DN46" s="101"/>
      <c r="DO46" s="101"/>
      <c r="DV46" s="1064"/>
      <c r="DW46" s="1064"/>
    </row>
    <row r="47" spans="1:149" ht="15" customHeight="1" x14ac:dyDescent="0.15">
      <c r="A47" s="1578"/>
      <c r="B47" s="1490" t="s">
        <v>526</v>
      </c>
      <c r="C47" s="1491"/>
      <c r="D47" s="2061"/>
      <c r="E47" s="2062"/>
      <c r="F47" s="2062"/>
      <c r="G47" s="2062"/>
      <c r="H47" s="2062"/>
      <c r="I47" s="2062"/>
      <c r="J47" s="2062"/>
      <c r="K47" s="2062"/>
      <c r="L47" s="2062"/>
      <c r="M47" s="2062"/>
      <c r="N47" s="2062"/>
      <c r="O47" s="2062"/>
      <c r="P47" s="2062"/>
      <c r="Q47" s="2062"/>
      <c r="R47" s="2062"/>
      <c r="S47" s="2062"/>
      <c r="T47" s="2062"/>
      <c r="U47" s="2062"/>
      <c r="V47" s="2062"/>
      <c r="W47" s="2062"/>
      <c r="X47" s="2062"/>
      <c r="Y47" s="2062"/>
      <c r="Z47" s="2062"/>
      <c r="AA47" s="2062"/>
      <c r="AB47" s="2062"/>
      <c r="AC47" s="2062"/>
      <c r="AD47" s="2062"/>
      <c r="AE47" s="2062"/>
      <c r="AF47" s="2062"/>
      <c r="AG47" s="2062"/>
      <c r="AH47" s="2062"/>
      <c r="AI47" s="2062"/>
      <c r="AJ47" s="2062"/>
      <c r="AK47" s="2062"/>
      <c r="AL47" s="2063"/>
    </row>
    <row r="48" spans="1:149" ht="15" customHeight="1" x14ac:dyDescent="0.2">
      <c r="A48" s="1589" t="s">
        <v>1246</v>
      </c>
      <c r="B48" s="2025" t="s">
        <v>527</v>
      </c>
      <c r="C48" s="2026"/>
      <c r="D48" s="1145" t="s">
        <v>1616</v>
      </c>
      <c r="E48" s="392" t="s">
        <v>1617</v>
      </c>
      <c r="F48" s="877" t="s">
        <v>1618</v>
      </c>
      <c r="G48" s="394" t="s">
        <v>1619</v>
      </c>
      <c r="H48" s="395" t="s">
        <v>1620</v>
      </c>
      <c r="I48" s="417" t="s">
        <v>1621</v>
      </c>
      <c r="J48" s="418" t="s">
        <v>1622</v>
      </c>
      <c r="K48" s="417" t="s">
        <v>1623</v>
      </c>
      <c r="L48" s="418" t="s">
        <v>1624</v>
      </c>
      <c r="M48" s="417" t="s">
        <v>1625</v>
      </c>
      <c r="N48" s="418" t="s">
        <v>1626</v>
      </c>
      <c r="O48" s="417" t="s">
        <v>1627</v>
      </c>
      <c r="P48" s="418" t="s">
        <v>1628</v>
      </c>
      <c r="Q48" s="417" t="s">
        <v>1629</v>
      </c>
      <c r="R48" s="418" t="s">
        <v>1630</v>
      </c>
      <c r="S48" s="417" t="s">
        <v>1631</v>
      </c>
      <c r="T48" s="418" t="s">
        <v>1632</v>
      </c>
      <c r="U48" s="417" t="s">
        <v>1633</v>
      </c>
      <c r="V48" s="418" t="s">
        <v>1634</v>
      </c>
      <c r="W48" s="417" t="s">
        <v>1635</v>
      </c>
      <c r="X48" s="418" t="s">
        <v>1636</v>
      </c>
      <c r="Y48" s="417" t="s">
        <v>1637</v>
      </c>
      <c r="Z48" s="418" t="s">
        <v>1638</v>
      </c>
      <c r="AA48" s="417" t="s">
        <v>1639</v>
      </c>
      <c r="AB48" s="418" t="s">
        <v>1640</v>
      </c>
      <c r="AC48" s="417" t="s">
        <v>1641</v>
      </c>
      <c r="AD48" s="418" t="s">
        <v>1642</v>
      </c>
      <c r="AE48" s="417" t="s">
        <v>1643</v>
      </c>
      <c r="AF48" s="418" t="s">
        <v>1644</v>
      </c>
      <c r="AG48" s="468" t="s">
        <v>1645</v>
      </c>
      <c r="AH48" s="406" t="s">
        <v>1646</v>
      </c>
      <c r="AI48" s="468" t="s">
        <v>1647</v>
      </c>
      <c r="AJ48" s="418" t="s">
        <v>1648</v>
      </c>
      <c r="AK48" s="468" t="s">
        <v>1649</v>
      </c>
      <c r="AL48" s="418" t="s">
        <v>1650</v>
      </c>
      <c r="AM48" s="108" t="str">
        <f>CB48&amp;CC48&amp;CD48&amp;CE48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48" s="191" t="str">
        <f>IF(AND(E48&gt;0,OR(AI48=""))," * No olvide digitar la variable Pueblos Originarios Hombres. Digite Cero si no tiene.",IF(AI48&gt;E48," * La variable Pueblos Originarios Hombres no puede ser Mayor al Total Hombres.",""))</f>
        <v xml:space="preserve"> * La variable Pueblos Originarios Hombres no puede ser Mayor al Total Hombres.</v>
      </c>
      <c r="CC48" s="191" t="str">
        <f>IF(AND(F48&gt;0,OR(AJ48=""))," * No olvide digitar la variable Pueblos Originarios Mujeres. Digite Cero si no tiene.",IF(AJ48&gt;F48," * La variable Pueblos Originarios Mujeres no puede ser Mayor al Total Mujeres.",""))</f>
        <v xml:space="preserve"> * La variable Pueblos Originarios Mujeres no puede ser Mayor al Total Mujeres.</v>
      </c>
      <c r="CD48" s="191" t="str">
        <f>IF(AND($E48&gt;0,OR(AK48=""))," * No olvide digitar la variable Migrantes Hombres. Digite Cero si no tiene.",IF(AK48&gt;$E48," * La variable Migrantes Hombres no puede ser Mayor al Total Hombres.",""))</f>
        <v xml:space="preserve"> * La variable Migrantes Hombres no puede ser Mayor al Total Hombres.</v>
      </c>
      <c r="CE48" s="191" t="str">
        <f>IF(AND(F48&gt;0,OR(AL48=""))," * No olvide digitar la variable Migrantes Mujeres. Digite Cero si no tiene.",IF(AL48&gt;F48," * La variable Migrantes Mujeres no puede ser Mayor al Total Mujeres.",""))</f>
        <v xml:space="preserve"> * La variable Migrantes Mujeres no puede ser Mayor al Total Mujeres.</v>
      </c>
      <c r="DL48" s="1047">
        <f t="shared" ref="DL48:DL95" si="31">IF(AND(E48&gt;0,OR(AI48="")),1,IF(AI48&gt;E48,1,0))</f>
        <v>1</v>
      </c>
      <c r="DM48" s="1047">
        <f t="shared" ref="DM48:DM95" si="32">IF(AND(F48&gt;0,OR(AJ48="")),1,IF(AJ48&gt;F48,1,0))</f>
        <v>1</v>
      </c>
      <c r="DN48" s="1047">
        <f t="shared" ref="DN48:DN95" si="33">IF(AND(E48&gt;0,OR(AK48="")),1,IF(AK48&gt;E48,1,0))</f>
        <v>1</v>
      </c>
      <c r="DO48" s="1047">
        <f t="shared" ref="DO48:DO95" si="34">IF(AND(F48&gt;0,OR(AL48="")),1,IF(AL48&gt;F48,1,0))</f>
        <v>1</v>
      </c>
    </row>
    <row r="49" spans="1:119" ht="15" customHeight="1" x14ac:dyDescent="0.2">
      <c r="A49" s="1589" t="s">
        <v>1247</v>
      </c>
      <c r="B49" s="2018" t="s">
        <v>528</v>
      </c>
      <c r="C49" s="2019"/>
      <c r="D49" s="1147" t="s">
        <v>1616</v>
      </c>
      <c r="E49" s="397" t="s">
        <v>1617</v>
      </c>
      <c r="F49" s="444" t="s">
        <v>1618</v>
      </c>
      <c r="G49" s="398" t="s">
        <v>1619</v>
      </c>
      <c r="H49" s="399" t="s">
        <v>1620</v>
      </c>
      <c r="I49" s="398" t="s">
        <v>1621</v>
      </c>
      <c r="J49" s="399" t="s">
        <v>1622</v>
      </c>
      <c r="K49" s="398" t="s">
        <v>1623</v>
      </c>
      <c r="L49" s="399" t="s">
        <v>1624</v>
      </c>
      <c r="M49" s="398" t="s">
        <v>1625</v>
      </c>
      <c r="N49" s="399" t="s">
        <v>1626</v>
      </c>
      <c r="O49" s="398" t="s">
        <v>1627</v>
      </c>
      <c r="P49" s="399" t="s">
        <v>1628</v>
      </c>
      <c r="Q49" s="398" t="s">
        <v>1629</v>
      </c>
      <c r="R49" s="399" t="s">
        <v>1630</v>
      </c>
      <c r="S49" s="398" t="s">
        <v>1631</v>
      </c>
      <c r="T49" s="399" t="s">
        <v>1632</v>
      </c>
      <c r="U49" s="398" t="s">
        <v>1633</v>
      </c>
      <c r="V49" s="399" t="s">
        <v>1634</v>
      </c>
      <c r="W49" s="398" t="s">
        <v>1635</v>
      </c>
      <c r="X49" s="399" t="s">
        <v>1636</v>
      </c>
      <c r="Y49" s="398" t="s">
        <v>1637</v>
      </c>
      <c r="Z49" s="399" t="s">
        <v>1638</v>
      </c>
      <c r="AA49" s="398" t="s">
        <v>1639</v>
      </c>
      <c r="AB49" s="399" t="s">
        <v>1640</v>
      </c>
      <c r="AC49" s="398" t="s">
        <v>1641</v>
      </c>
      <c r="AD49" s="399" t="s">
        <v>1642</v>
      </c>
      <c r="AE49" s="398" t="s">
        <v>1643</v>
      </c>
      <c r="AF49" s="399" t="s">
        <v>1644</v>
      </c>
      <c r="AG49" s="465" t="s">
        <v>1645</v>
      </c>
      <c r="AH49" s="407" t="s">
        <v>1646</v>
      </c>
      <c r="AI49" s="468" t="s">
        <v>1647</v>
      </c>
      <c r="AJ49" s="418" t="s">
        <v>1648</v>
      </c>
      <c r="AK49" s="468" t="s">
        <v>1649</v>
      </c>
      <c r="AL49" s="418" t="s">
        <v>1650</v>
      </c>
      <c r="AM49" s="108" t="str">
        <f t="shared" ref="AM49:AM95" si="35">CB49&amp;CC49&amp;CD49&amp;CE49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49" s="191" t="str">
        <f t="shared" ref="CB49:CB73" si="36">IF(AND(E49&gt;0,OR(AI49=""))," * No olvide digitar la variable Pueblos Originarios Hombres. Digite Cero si no tiene.",IF(AI49&gt;E49," * La variable Pueblos Originarios Hombres no puede ser Mayor al Total Hombres.",""))</f>
        <v xml:space="preserve"> * La variable Pueblos Originarios Hombres no puede ser Mayor al Total Hombres.</v>
      </c>
      <c r="CC49" s="191" t="str">
        <f t="shared" ref="CC49:CC73" si="37">IF(AND(F49&gt;0,OR(AJ49=""))," * No olvide digitar la variable Pueblos Originarios Mujeres. Digite Cero si no tiene.",IF(AJ49&gt;F49," * La variable Pueblos Originarios Mujeres no puede ser Mayor al Total Mujeres.",""))</f>
        <v xml:space="preserve"> * La variable Pueblos Originarios Mujeres no puede ser Mayor al Total Mujeres.</v>
      </c>
      <c r="CD49" s="191" t="str">
        <f t="shared" ref="CD49:CD73" si="38">IF(AND($E49&gt;0,OR(AK49=""))," * No olvide digitar la variable Migrantes Hombres. Digite Cero si no tiene.",IF(AK49&gt;$E49," * La variable Migrantes Hombres no puede ser Mayor al Total Hombres.",""))</f>
        <v xml:space="preserve"> * La variable Migrantes Hombres no puede ser Mayor al Total Hombres.</v>
      </c>
      <c r="CE49" s="191" t="str">
        <f t="shared" ref="CE49:CE73" si="39">IF(AND(F49&gt;0,OR(AL49=""))," * No olvide digitar la variable Migrantes Mujeres. Digite Cero si no tiene.",IF(AL49&gt;F49," * La variable Migrantes Mujeres no puede ser Mayor al Total Mujeres.",""))</f>
        <v xml:space="preserve"> * La variable Migrantes Mujeres no puede ser Mayor al Total Mujeres.</v>
      </c>
      <c r="DL49" s="1047">
        <f t="shared" si="31"/>
        <v>1</v>
      </c>
      <c r="DM49" s="1047">
        <f t="shared" si="32"/>
        <v>1</v>
      </c>
      <c r="DN49" s="1047">
        <f t="shared" si="33"/>
        <v>1</v>
      </c>
      <c r="DO49" s="1047">
        <f t="shared" si="34"/>
        <v>1</v>
      </c>
    </row>
    <row r="50" spans="1:119" ht="15" customHeight="1" x14ac:dyDescent="0.2">
      <c r="A50" s="1589" t="s">
        <v>1248</v>
      </c>
      <c r="B50" s="2009" t="s">
        <v>529</v>
      </c>
      <c r="C50" s="2010"/>
      <c r="D50" s="1142" t="s">
        <v>1616</v>
      </c>
      <c r="E50" s="387" t="s">
        <v>1617</v>
      </c>
      <c r="F50" s="454" t="s">
        <v>1618</v>
      </c>
      <c r="G50" s="398" t="s">
        <v>1619</v>
      </c>
      <c r="H50" s="399" t="s">
        <v>1620</v>
      </c>
      <c r="I50" s="398" t="s">
        <v>1621</v>
      </c>
      <c r="J50" s="399" t="s">
        <v>1622</v>
      </c>
      <c r="K50" s="398" t="s">
        <v>1623</v>
      </c>
      <c r="L50" s="399" t="s">
        <v>1624</v>
      </c>
      <c r="M50" s="398" t="s">
        <v>1625</v>
      </c>
      <c r="N50" s="399" t="s">
        <v>1626</v>
      </c>
      <c r="O50" s="398" t="s">
        <v>1627</v>
      </c>
      <c r="P50" s="399" t="s">
        <v>1628</v>
      </c>
      <c r="Q50" s="398" t="s">
        <v>1629</v>
      </c>
      <c r="R50" s="399" t="s">
        <v>1630</v>
      </c>
      <c r="S50" s="398" t="s">
        <v>1631</v>
      </c>
      <c r="T50" s="399" t="s">
        <v>1632</v>
      </c>
      <c r="U50" s="398" t="s">
        <v>1633</v>
      </c>
      <c r="V50" s="399" t="s">
        <v>1634</v>
      </c>
      <c r="W50" s="398" t="s">
        <v>1635</v>
      </c>
      <c r="X50" s="399" t="s">
        <v>1636</v>
      </c>
      <c r="Y50" s="398" t="s">
        <v>1637</v>
      </c>
      <c r="Z50" s="399" t="s">
        <v>1638</v>
      </c>
      <c r="AA50" s="398" t="s">
        <v>1639</v>
      </c>
      <c r="AB50" s="399" t="s">
        <v>1640</v>
      </c>
      <c r="AC50" s="398" t="s">
        <v>1641</v>
      </c>
      <c r="AD50" s="399" t="s">
        <v>1642</v>
      </c>
      <c r="AE50" s="398" t="s">
        <v>1643</v>
      </c>
      <c r="AF50" s="399" t="s">
        <v>1644</v>
      </c>
      <c r="AG50" s="465" t="s">
        <v>1645</v>
      </c>
      <c r="AH50" s="407" t="s">
        <v>1646</v>
      </c>
      <c r="AI50" s="468" t="s">
        <v>1647</v>
      </c>
      <c r="AJ50" s="418" t="s">
        <v>1648</v>
      </c>
      <c r="AK50" s="468" t="s">
        <v>1649</v>
      </c>
      <c r="AL50" s="418" t="s">
        <v>1650</v>
      </c>
      <c r="AM50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0" s="191" t="str">
        <f t="shared" si="36"/>
        <v xml:space="preserve"> * La variable Pueblos Originarios Hombres no puede ser Mayor al Total Hombres.</v>
      </c>
      <c r="CC50" s="191" t="str">
        <f t="shared" si="37"/>
        <v xml:space="preserve"> * La variable Pueblos Originarios Mujeres no puede ser Mayor al Total Mujeres.</v>
      </c>
      <c r="CD50" s="191" t="str">
        <f t="shared" si="38"/>
        <v xml:space="preserve"> * La variable Migrantes Hombres no puede ser Mayor al Total Hombres.</v>
      </c>
      <c r="CE50" s="191" t="str">
        <f t="shared" si="39"/>
        <v xml:space="preserve"> * La variable Migrantes Mujeres no puede ser Mayor al Total Mujeres.</v>
      </c>
      <c r="DL50" s="1047">
        <f t="shared" si="31"/>
        <v>1</v>
      </c>
      <c r="DM50" s="1047">
        <f t="shared" si="32"/>
        <v>1</v>
      </c>
      <c r="DN50" s="1047">
        <f t="shared" si="33"/>
        <v>1</v>
      </c>
      <c r="DO50" s="1047">
        <f t="shared" si="34"/>
        <v>1</v>
      </c>
    </row>
    <row r="51" spans="1:119" ht="15" customHeight="1" x14ac:dyDescent="0.2">
      <c r="A51" s="1589" t="s">
        <v>1249</v>
      </c>
      <c r="B51" s="2009" t="s">
        <v>530</v>
      </c>
      <c r="C51" s="2010"/>
      <c r="D51" s="1142" t="s">
        <v>1616</v>
      </c>
      <c r="E51" s="387" t="s">
        <v>1617</v>
      </c>
      <c r="F51" s="454" t="s">
        <v>1618</v>
      </c>
      <c r="G51" s="398" t="s">
        <v>1619</v>
      </c>
      <c r="H51" s="399" t="s">
        <v>1620</v>
      </c>
      <c r="I51" s="398" t="s">
        <v>1621</v>
      </c>
      <c r="J51" s="399" t="s">
        <v>1622</v>
      </c>
      <c r="K51" s="398" t="s">
        <v>1623</v>
      </c>
      <c r="L51" s="399" t="s">
        <v>1624</v>
      </c>
      <c r="M51" s="398" t="s">
        <v>1625</v>
      </c>
      <c r="N51" s="399" t="s">
        <v>1626</v>
      </c>
      <c r="O51" s="398" t="s">
        <v>1627</v>
      </c>
      <c r="P51" s="399" t="s">
        <v>1628</v>
      </c>
      <c r="Q51" s="398" t="s">
        <v>1629</v>
      </c>
      <c r="R51" s="399" t="s">
        <v>1630</v>
      </c>
      <c r="S51" s="398" t="s">
        <v>1631</v>
      </c>
      <c r="T51" s="399" t="s">
        <v>1632</v>
      </c>
      <c r="U51" s="398" t="s">
        <v>1633</v>
      </c>
      <c r="V51" s="399" t="s">
        <v>1634</v>
      </c>
      <c r="W51" s="398" t="s">
        <v>1635</v>
      </c>
      <c r="X51" s="399" t="s">
        <v>1636</v>
      </c>
      <c r="Y51" s="398" t="s">
        <v>1637</v>
      </c>
      <c r="Z51" s="399" t="s">
        <v>1638</v>
      </c>
      <c r="AA51" s="398" t="s">
        <v>1639</v>
      </c>
      <c r="AB51" s="399" t="s">
        <v>1640</v>
      </c>
      <c r="AC51" s="398" t="s">
        <v>1641</v>
      </c>
      <c r="AD51" s="399" t="s">
        <v>1642</v>
      </c>
      <c r="AE51" s="398" t="s">
        <v>1643</v>
      </c>
      <c r="AF51" s="399" t="s">
        <v>1644</v>
      </c>
      <c r="AG51" s="465" t="s">
        <v>1645</v>
      </c>
      <c r="AH51" s="407" t="s">
        <v>1646</v>
      </c>
      <c r="AI51" s="468" t="s">
        <v>1647</v>
      </c>
      <c r="AJ51" s="418" t="s">
        <v>1648</v>
      </c>
      <c r="AK51" s="468" t="s">
        <v>1649</v>
      </c>
      <c r="AL51" s="418" t="s">
        <v>1650</v>
      </c>
      <c r="AM51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1" s="191" t="str">
        <f t="shared" si="36"/>
        <v xml:space="preserve"> * La variable Pueblos Originarios Hombres no puede ser Mayor al Total Hombres.</v>
      </c>
      <c r="CC51" s="191" t="str">
        <f t="shared" si="37"/>
        <v xml:space="preserve"> * La variable Pueblos Originarios Mujeres no puede ser Mayor al Total Mujeres.</v>
      </c>
      <c r="CD51" s="191" t="str">
        <f t="shared" si="38"/>
        <v xml:space="preserve"> * La variable Migrantes Hombres no puede ser Mayor al Total Hombres.</v>
      </c>
      <c r="CE51" s="191" t="str">
        <f t="shared" si="39"/>
        <v xml:space="preserve"> * La variable Migrantes Mujeres no puede ser Mayor al Total Mujeres.</v>
      </c>
      <c r="DL51" s="1047">
        <f t="shared" si="31"/>
        <v>1</v>
      </c>
      <c r="DM51" s="1047">
        <f t="shared" si="32"/>
        <v>1</v>
      </c>
      <c r="DN51" s="1047">
        <f t="shared" si="33"/>
        <v>1</v>
      </c>
      <c r="DO51" s="1047">
        <f t="shared" si="34"/>
        <v>1</v>
      </c>
    </row>
    <row r="52" spans="1:119" ht="15" customHeight="1" x14ac:dyDescent="0.2">
      <c r="A52" s="1589" t="s">
        <v>1250</v>
      </c>
      <c r="B52" s="2018" t="s">
        <v>531</v>
      </c>
      <c r="C52" s="2019"/>
      <c r="D52" s="1376" t="s">
        <v>1616</v>
      </c>
      <c r="E52" s="389" t="s">
        <v>1617</v>
      </c>
      <c r="F52" s="869" t="s">
        <v>1618</v>
      </c>
      <c r="G52" s="398" t="s">
        <v>1619</v>
      </c>
      <c r="H52" s="399" t="s">
        <v>1620</v>
      </c>
      <c r="I52" s="398" t="s">
        <v>1621</v>
      </c>
      <c r="J52" s="399" t="s">
        <v>1622</v>
      </c>
      <c r="K52" s="398" t="s">
        <v>1623</v>
      </c>
      <c r="L52" s="399" t="s">
        <v>1624</v>
      </c>
      <c r="M52" s="398" t="s">
        <v>1625</v>
      </c>
      <c r="N52" s="399" t="s">
        <v>1626</v>
      </c>
      <c r="O52" s="398" t="s">
        <v>1627</v>
      </c>
      <c r="P52" s="399" t="s">
        <v>1628</v>
      </c>
      <c r="Q52" s="398" t="s">
        <v>1629</v>
      </c>
      <c r="R52" s="399" t="s">
        <v>1630</v>
      </c>
      <c r="S52" s="398" t="s">
        <v>1631</v>
      </c>
      <c r="T52" s="399" t="s">
        <v>1632</v>
      </c>
      <c r="U52" s="398" t="s">
        <v>1633</v>
      </c>
      <c r="V52" s="399" t="s">
        <v>1634</v>
      </c>
      <c r="W52" s="398" t="s">
        <v>1635</v>
      </c>
      <c r="X52" s="399" t="s">
        <v>1636</v>
      </c>
      <c r="Y52" s="398" t="s">
        <v>1637</v>
      </c>
      <c r="Z52" s="399" t="s">
        <v>1638</v>
      </c>
      <c r="AA52" s="398" t="s">
        <v>1639</v>
      </c>
      <c r="AB52" s="399" t="s">
        <v>1640</v>
      </c>
      <c r="AC52" s="398" t="s">
        <v>1641</v>
      </c>
      <c r="AD52" s="399" t="s">
        <v>1642</v>
      </c>
      <c r="AE52" s="398" t="s">
        <v>1643</v>
      </c>
      <c r="AF52" s="399" t="s">
        <v>1644</v>
      </c>
      <c r="AG52" s="465" t="s">
        <v>1645</v>
      </c>
      <c r="AH52" s="407" t="s">
        <v>1646</v>
      </c>
      <c r="AI52" s="468" t="s">
        <v>1647</v>
      </c>
      <c r="AJ52" s="418" t="s">
        <v>1648</v>
      </c>
      <c r="AK52" s="468" t="s">
        <v>1649</v>
      </c>
      <c r="AL52" s="418" t="s">
        <v>1650</v>
      </c>
      <c r="AM52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2" s="191" t="str">
        <f t="shared" si="36"/>
        <v xml:space="preserve"> * La variable Pueblos Originarios Hombres no puede ser Mayor al Total Hombres.</v>
      </c>
      <c r="CC52" s="191" t="str">
        <f t="shared" si="37"/>
        <v xml:space="preserve"> * La variable Pueblos Originarios Mujeres no puede ser Mayor al Total Mujeres.</v>
      </c>
      <c r="CD52" s="191" t="str">
        <f t="shared" si="38"/>
        <v xml:space="preserve"> * La variable Migrantes Hombres no puede ser Mayor al Total Hombres.</v>
      </c>
      <c r="CE52" s="191" t="str">
        <f t="shared" si="39"/>
        <v xml:space="preserve"> * La variable Migrantes Mujeres no puede ser Mayor al Total Mujeres.</v>
      </c>
      <c r="DL52" s="1047">
        <f t="shared" si="31"/>
        <v>1</v>
      </c>
      <c r="DM52" s="1047">
        <f t="shared" si="32"/>
        <v>1</v>
      </c>
      <c r="DN52" s="1047">
        <f t="shared" si="33"/>
        <v>1</v>
      </c>
      <c r="DO52" s="1047">
        <f t="shared" si="34"/>
        <v>1</v>
      </c>
    </row>
    <row r="53" spans="1:119" ht="15" customHeight="1" x14ac:dyDescent="0.2">
      <c r="A53" s="1589" t="s">
        <v>1251</v>
      </c>
      <c r="B53" s="2018" t="s">
        <v>532</v>
      </c>
      <c r="C53" s="2019"/>
      <c r="D53" s="1147" t="s">
        <v>1616</v>
      </c>
      <c r="E53" s="397" t="s">
        <v>1617</v>
      </c>
      <c r="F53" s="448" t="s">
        <v>1618</v>
      </c>
      <c r="G53" s="398" t="s">
        <v>1619</v>
      </c>
      <c r="H53" s="399" t="s">
        <v>1620</v>
      </c>
      <c r="I53" s="398" t="s">
        <v>1621</v>
      </c>
      <c r="J53" s="399" t="s">
        <v>1622</v>
      </c>
      <c r="K53" s="398" t="s">
        <v>1623</v>
      </c>
      <c r="L53" s="399" t="s">
        <v>1624</v>
      </c>
      <c r="M53" s="398" t="s">
        <v>1625</v>
      </c>
      <c r="N53" s="399" t="s">
        <v>1626</v>
      </c>
      <c r="O53" s="398" t="s">
        <v>1627</v>
      </c>
      <c r="P53" s="399" t="s">
        <v>1628</v>
      </c>
      <c r="Q53" s="398" t="s">
        <v>1629</v>
      </c>
      <c r="R53" s="399" t="s">
        <v>1630</v>
      </c>
      <c r="S53" s="398" t="s">
        <v>1631</v>
      </c>
      <c r="T53" s="399" t="s">
        <v>1632</v>
      </c>
      <c r="U53" s="398" t="s">
        <v>1633</v>
      </c>
      <c r="V53" s="399" t="s">
        <v>1634</v>
      </c>
      <c r="W53" s="398" t="s">
        <v>1635</v>
      </c>
      <c r="X53" s="399" t="s">
        <v>1636</v>
      </c>
      <c r="Y53" s="398" t="s">
        <v>1637</v>
      </c>
      <c r="Z53" s="399" t="s">
        <v>1638</v>
      </c>
      <c r="AA53" s="398" t="s">
        <v>1639</v>
      </c>
      <c r="AB53" s="399" t="s">
        <v>1640</v>
      </c>
      <c r="AC53" s="398" t="s">
        <v>1641</v>
      </c>
      <c r="AD53" s="399" t="s">
        <v>1642</v>
      </c>
      <c r="AE53" s="398" t="s">
        <v>1643</v>
      </c>
      <c r="AF53" s="399" t="s">
        <v>1644</v>
      </c>
      <c r="AG53" s="465" t="s">
        <v>1645</v>
      </c>
      <c r="AH53" s="407" t="s">
        <v>1646</v>
      </c>
      <c r="AI53" s="468" t="s">
        <v>1647</v>
      </c>
      <c r="AJ53" s="418" t="s">
        <v>1648</v>
      </c>
      <c r="AK53" s="468" t="s">
        <v>1649</v>
      </c>
      <c r="AL53" s="418" t="s">
        <v>1650</v>
      </c>
      <c r="AM53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3" s="191" t="str">
        <f t="shared" si="36"/>
        <v xml:space="preserve"> * La variable Pueblos Originarios Hombres no puede ser Mayor al Total Hombres.</v>
      </c>
      <c r="CC53" s="191" t="str">
        <f t="shared" si="37"/>
        <v xml:space="preserve"> * La variable Pueblos Originarios Mujeres no puede ser Mayor al Total Mujeres.</v>
      </c>
      <c r="CD53" s="191" t="str">
        <f t="shared" si="38"/>
        <v xml:space="preserve"> * La variable Migrantes Hombres no puede ser Mayor al Total Hombres.</v>
      </c>
      <c r="CE53" s="191" t="str">
        <f t="shared" si="39"/>
        <v xml:space="preserve"> * La variable Migrantes Mujeres no puede ser Mayor al Total Mujeres.</v>
      </c>
      <c r="DL53" s="1047">
        <f t="shared" si="31"/>
        <v>1</v>
      </c>
      <c r="DM53" s="1047">
        <f t="shared" si="32"/>
        <v>1</v>
      </c>
      <c r="DN53" s="1047">
        <f t="shared" si="33"/>
        <v>1</v>
      </c>
      <c r="DO53" s="1047">
        <f t="shared" si="34"/>
        <v>1</v>
      </c>
    </row>
    <row r="54" spans="1:119" ht="15" customHeight="1" x14ac:dyDescent="0.2">
      <c r="A54" s="1589" t="s">
        <v>1252</v>
      </c>
      <c r="B54" s="2018" t="s">
        <v>533</v>
      </c>
      <c r="C54" s="2019"/>
      <c r="D54" s="1147" t="s">
        <v>1616</v>
      </c>
      <c r="E54" s="397" t="s">
        <v>1617</v>
      </c>
      <c r="F54" s="448" t="s">
        <v>1618</v>
      </c>
      <c r="G54" s="398" t="s">
        <v>1619</v>
      </c>
      <c r="H54" s="399" t="s">
        <v>1620</v>
      </c>
      <c r="I54" s="398" t="s">
        <v>1621</v>
      </c>
      <c r="J54" s="399" t="s">
        <v>1622</v>
      </c>
      <c r="K54" s="398" t="s">
        <v>1623</v>
      </c>
      <c r="L54" s="399" t="s">
        <v>1624</v>
      </c>
      <c r="M54" s="398" t="s">
        <v>1625</v>
      </c>
      <c r="N54" s="399" t="s">
        <v>1626</v>
      </c>
      <c r="O54" s="398" t="s">
        <v>1627</v>
      </c>
      <c r="P54" s="399" t="s">
        <v>1628</v>
      </c>
      <c r="Q54" s="398" t="s">
        <v>1629</v>
      </c>
      <c r="R54" s="399" t="s">
        <v>1630</v>
      </c>
      <c r="S54" s="398" t="s">
        <v>1631</v>
      </c>
      <c r="T54" s="399" t="s">
        <v>1632</v>
      </c>
      <c r="U54" s="398" t="s">
        <v>1633</v>
      </c>
      <c r="V54" s="399" t="s">
        <v>1634</v>
      </c>
      <c r="W54" s="398" t="s">
        <v>1635</v>
      </c>
      <c r="X54" s="399" t="s">
        <v>1636</v>
      </c>
      <c r="Y54" s="398" t="s">
        <v>1637</v>
      </c>
      <c r="Z54" s="399" t="s">
        <v>1638</v>
      </c>
      <c r="AA54" s="398" t="s">
        <v>1639</v>
      </c>
      <c r="AB54" s="399" t="s">
        <v>1640</v>
      </c>
      <c r="AC54" s="398" t="s">
        <v>1641</v>
      </c>
      <c r="AD54" s="399" t="s">
        <v>1642</v>
      </c>
      <c r="AE54" s="398" t="s">
        <v>1643</v>
      </c>
      <c r="AF54" s="399" t="s">
        <v>1644</v>
      </c>
      <c r="AG54" s="465" t="s">
        <v>1645</v>
      </c>
      <c r="AH54" s="407" t="s">
        <v>1646</v>
      </c>
      <c r="AI54" s="468" t="s">
        <v>1647</v>
      </c>
      <c r="AJ54" s="418" t="s">
        <v>1648</v>
      </c>
      <c r="AK54" s="468" t="s">
        <v>1649</v>
      </c>
      <c r="AL54" s="418" t="s">
        <v>1650</v>
      </c>
      <c r="AM54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4" s="191" t="str">
        <f t="shared" si="36"/>
        <v xml:space="preserve"> * La variable Pueblos Originarios Hombres no puede ser Mayor al Total Hombres.</v>
      </c>
      <c r="CC54" s="191" t="str">
        <f t="shared" si="37"/>
        <v xml:space="preserve"> * La variable Pueblos Originarios Mujeres no puede ser Mayor al Total Mujeres.</v>
      </c>
      <c r="CD54" s="191" t="str">
        <f t="shared" si="38"/>
        <v xml:space="preserve"> * La variable Migrantes Hombres no puede ser Mayor al Total Hombres.</v>
      </c>
      <c r="CE54" s="191" t="str">
        <f t="shared" si="39"/>
        <v xml:space="preserve"> * La variable Migrantes Mujeres no puede ser Mayor al Total Mujeres.</v>
      </c>
      <c r="DL54" s="1047">
        <f t="shared" si="31"/>
        <v>1</v>
      </c>
      <c r="DM54" s="1047">
        <f t="shared" si="32"/>
        <v>1</v>
      </c>
      <c r="DN54" s="1047">
        <f t="shared" si="33"/>
        <v>1</v>
      </c>
      <c r="DO54" s="1047">
        <f t="shared" si="34"/>
        <v>1</v>
      </c>
    </row>
    <row r="55" spans="1:119" ht="15" customHeight="1" x14ac:dyDescent="0.2">
      <c r="A55" s="1589" t="s">
        <v>1253</v>
      </c>
      <c r="B55" s="2018" t="s">
        <v>534</v>
      </c>
      <c r="C55" s="2019"/>
      <c r="D55" s="1142" t="s">
        <v>1616</v>
      </c>
      <c r="E55" s="387" t="s">
        <v>1617</v>
      </c>
      <c r="F55" s="454" t="s">
        <v>1618</v>
      </c>
      <c r="G55" s="417" t="s">
        <v>1619</v>
      </c>
      <c r="H55" s="418" t="s">
        <v>1620</v>
      </c>
      <c r="I55" s="417" t="s">
        <v>1621</v>
      </c>
      <c r="J55" s="418" t="s">
        <v>1622</v>
      </c>
      <c r="K55" s="417" t="s">
        <v>1623</v>
      </c>
      <c r="L55" s="418" t="s">
        <v>1624</v>
      </c>
      <c r="M55" s="417" t="s">
        <v>1625</v>
      </c>
      <c r="N55" s="418" t="s">
        <v>1626</v>
      </c>
      <c r="O55" s="417" t="s">
        <v>1627</v>
      </c>
      <c r="P55" s="418" t="s">
        <v>1628</v>
      </c>
      <c r="Q55" s="417" t="s">
        <v>1629</v>
      </c>
      <c r="R55" s="418" t="s">
        <v>1630</v>
      </c>
      <c r="S55" s="417" t="s">
        <v>1631</v>
      </c>
      <c r="T55" s="418" t="s">
        <v>1632</v>
      </c>
      <c r="U55" s="417" t="s">
        <v>1633</v>
      </c>
      <c r="V55" s="418" t="s">
        <v>1634</v>
      </c>
      <c r="W55" s="417" t="s">
        <v>1635</v>
      </c>
      <c r="X55" s="418" t="s">
        <v>1636</v>
      </c>
      <c r="Y55" s="417" t="s">
        <v>1637</v>
      </c>
      <c r="Z55" s="418" t="s">
        <v>1638</v>
      </c>
      <c r="AA55" s="417" t="s">
        <v>1639</v>
      </c>
      <c r="AB55" s="418" t="s">
        <v>1640</v>
      </c>
      <c r="AC55" s="417" t="s">
        <v>1641</v>
      </c>
      <c r="AD55" s="418" t="s">
        <v>1642</v>
      </c>
      <c r="AE55" s="417" t="s">
        <v>1643</v>
      </c>
      <c r="AF55" s="418" t="s">
        <v>1644</v>
      </c>
      <c r="AG55" s="468" t="s">
        <v>1645</v>
      </c>
      <c r="AH55" s="419" t="s">
        <v>1646</v>
      </c>
      <c r="AI55" s="468" t="s">
        <v>1647</v>
      </c>
      <c r="AJ55" s="418" t="s">
        <v>1648</v>
      </c>
      <c r="AK55" s="468" t="s">
        <v>1649</v>
      </c>
      <c r="AL55" s="418" t="s">
        <v>1650</v>
      </c>
      <c r="AM55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5" s="191" t="str">
        <f t="shared" si="36"/>
        <v xml:space="preserve"> * La variable Pueblos Originarios Hombres no puede ser Mayor al Total Hombres.</v>
      </c>
      <c r="CC55" s="191" t="str">
        <f t="shared" si="37"/>
        <v xml:space="preserve"> * La variable Pueblos Originarios Mujeres no puede ser Mayor al Total Mujeres.</v>
      </c>
      <c r="CD55" s="191" t="str">
        <f t="shared" si="38"/>
        <v xml:space="preserve"> * La variable Migrantes Hombres no puede ser Mayor al Total Hombres.</v>
      </c>
      <c r="CE55" s="191" t="str">
        <f t="shared" si="39"/>
        <v xml:space="preserve"> * La variable Migrantes Mujeres no puede ser Mayor al Total Mujeres.</v>
      </c>
      <c r="DL55" s="1047">
        <f t="shared" si="31"/>
        <v>1</v>
      </c>
      <c r="DM55" s="1047">
        <f t="shared" si="32"/>
        <v>1</v>
      </c>
      <c r="DN55" s="1047">
        <f t="shared" si="33"/>
        <v>1</v>
      </c>
      <c r="DO55" s="1047">
        <f t="shared" si="34"/>
        <v>1</v>
      </c>
    </row>
    <row r="56" spans="1:119" ht="15" customHeight="1" x14ac:dyDescent="0.2">
      <c r="A56" s="1589" t="s">
        <v>1254</v>
      </c>
      <c r="B56" s="2065" t="s">
        <v>535</v>
      </c>
      <c r="C56" s="2066"/>
      <c r="D56" s="1147" t="s">
        <v>1616</v>
      </c>
      <c r="E56" s="397" t="s">
        <v>1617</v>
      </c>
      <c r="F56" s="448" t="s">
        <v>1618</v>
      </c>
      <c r="G56" s="398" t="s">
        <v>1619</v>
      </c>
      <c r="H56" s="399" t="s">
        <v>1620</v>
      </c>
      <c r="I56" s="398" t="s">
        <v>1621</v>
      </c>
      <c r="J56" s="399" t="s">
        <v>1622</v>
      </c>
      <c r="K56" s="398" t="s">
        <v>1623</v>
      </c>
      <c r="L56" s="399" t="s">
        <v>1624</v>
      </c>
      <c r="M56" s="398" t="s">
        <v>1625</v>
      </c>
      <c r="N56" s="399" t="s">
        <v>1626</v>
      </c>
      <c r="O56" s="398" t="s">
        <v>1627</v>
      </c>
      <c r="P56" s="399" t="s">
        <v>1628</v>
      </c>
      <c r="Q56" s="398" t="s">
        <v>1629</v>
      </c>
      <c r="R56" s="399" t="s">
        <v>1630</v>
      </c>
      <c r="S56" s="398" t="s">
        <v>1631</v>
      </c>
      <c r="T56" s="399" t="s">
        <v>1632</v>
      </c>
      <c r="U56" s="398" t="s">
        <v>1633</v>
      </c>
      <c r="V56" s="399" t="s">
        <v>1634</v>
      </c>
      <c r="W56" s="398" t="s">
        <v>1635</v>
      </c>
      <c r="X56" s="399" t="s">
        <v>1636</v>
      </c>
      <c r="Y56" s="398" t="s">
        <v>1637</v>
      </c>
      <c r="Z56" s="399" t="s">
        <v>1638</v>
      </c>
      <c r="AA56" s="398" t="s">
        <v>1639</v>
      </c>
      <c r="AB56" s="399" t="s">
        <v>1640</v>
      </c>
      <c r="AC56" s="398" t="s">
        <v>1641</v>
      </c>
      <c r="AD56" s="399" t="s">
        <v>1642</v>
      </c>
      <c r="AE56" s="398" t="s">
        <v>1643</v>
      </c>
      <c r="AF56" s="399" t="s">
        <v>1644</v>
      </c>
      <c r="AG56" s="465" t="s">
        <v>1645</v>
      </c>
      <c r="AH56" s="407" t="s">
        <v>1646</v>
      </c>
      <c r="AI56" s="468" t="s">
        <v>1647</v>
      </c>
      <c r="AJ56" s="418" t="s">
        <v>1648</v>
      </c>
      <c r="AK56" s="468" t="s">
        <v>1649</v>
      </c>
      <c r="AL56" s="418" t="s">
        <v>1650</v>
      </c>
      <c r="AM56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6" s="191" t="str">
        <f t="shared" si="36"/>
        <v xml:space="preserve"> * La variable Pueblos Originarios Hombres no puede ser Mayor al Total Hombres.</v>
      </c>
      <c r="CC56" s="191" t="str">
        <f t="shared" si="37"/>
        <v xml:space="preserve"> * La variable Pueblos Originarios Mujeres no puede ser Mayor al Total Mujeres.</v>
      </c>
      <c r="CD56" s="191" t="str">
        <f t="shared" si="38"/>
        <v xml:space="preserve"> * La variable Migrantes Hombres no puede ser Mayor al Total Hombres.</v>
      </c>
      <c r="CE56" s="191" t="str">
        <f t="shared" si="39"/>
        <v xml:space="preserve"> * La variable Migrantes Mujeres no puede ser Mayor al Total Mujeres.</v>
      </c>
      <c r="DL56" s="1047">
        <f t="shared" si="31"/>
        <v>1</v>
      </c>
      <c r="DM56" s="1047">
        <f t="shared" si="32"/>
        <v>1</v>
      </c>
      <c r="DN56" s="1047">
        <f t="shared" si="33"/>
        <v>1</v>
      </c>
      <c r="DO56" s="1047">
        <f t="shared" si="34"/>
        <v>1</v>
      </c>
    </row>
    <row r="57" spans="1:119" ht="15" customHeight="1" x14ac:dyDescent="0.2">
      <c r="A57" s="1589" t="s">
        <v>1255</v>
      </c>
      <c r="B57" s="2065" t="s">
        <v>521</v>
      </c>
      <c r="C57" s="2066"/>
      <c r="D57" s="1142" t="s">
        <v>1616</v>
      </c>
      <c r="E57" s="387" t="s">
        <v>1617</v>
      </c>
      <c r="F57" s="454" t="s">
        <v>1618</v>
      </c>
      <c r="G57" s="417" t="s">
        <v>1619</v>
      </c>
      <c r="H57" s="418" t="s">
        <v>1620</v>
      </c>
      <c r="I57" s="417" t="s">
        <v>1621</v>
      </c>
      <c r="J57" s="418" t="s">
        <v>1622</v>
      </c>
      <c r="K57" s="417" t="s">
        <v>1623</v>
      </c>
      <c r="L57" s="418" t="s">
        <v>1624</v>
      </c>
      <c r="M57" s="417" t="s">
        <v>1625</v>
      </c>
      <c r="N57" s="418" t="s">
        <v>1626</v>
      </c>
      <c r="O57" s="417" t="s">
        <v>1627</v>
      </c>
      <c r="P57" s="418" t="s">
        <v>1628</v>
      </c>
      <c r="Q57" s="417" t="s">
        <v>1629</v>
      </c>
      <c r="R57" s="418" t="s">
        <v>1630</v>
      </c>
      <c r="S57" s="417" t="s">
        <v>1631</v>
      </c>
      <c r="T57" s="418" t="s">
        <v>1632</v>
      </c>
      <c r="U57" s="417" t="s">
        <v>1633</v>
      </c>
      <c r="V57" s="418" t="s">
        <v>1634</v>
      </c>
      <c r="W57" s="417" t="s">
        <v>1635</v>
      </c>
      <c r="X57" s="418" t="s">
        <v>1636</v>
      </c>
      <c r="Y57" s="417" t="s">
        <v>1637</v>
      </c>
      <c r="Z57" s="418" t="s">
        <v>1638</v>
      </c>
      <c r="AA57" s="417" t="s">
        <v>1639</v>
      </c>
      <c r="AB57" s="418" t="s">
        <v>1640</v>
      </c>
      <c r="AC57" s="417" t="s">
        <v>1641</v>
      </c>
      <c r="AD57" s="418" t="s">
        <v>1642</v>
      </c>
      <c r="AE57" s="417" t="s">
        <v>1643</v>
      </c>
      <c r="AF57" s="418" t="s">
        <v>1644</v>
      </c>
      <c r="AG57" s="468" t="s">
        <v>1645</v>
      </c>
      <c r="AH57" s="419" t="s">
        <v>1646</v>
      </c>
      <c r="AI57" s="468" t="s">
        <v>1647</v>
      </c>
      <c r="AJ57" s="418" t="s">
        <v>1648</v>
      </c>
      <c r="AK57" s="468" t="s">
        <v>1649</v>
      </c>
      <c r="AL57" s="418" t="s">
        <v>1650</v>
      </c>
      <c r="AM57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7" s="191" t="str">
        <f t="shared" si="36"/>
        <v xml:space="preserve"> * La variable Pueblos Originarios Hombres no puede ser Mayor al Total Hombres.</v>
      </c>
      <c r="CC57" s="191" t="str">
        <f t="shared" si="37"/>
        <v xml:space="preserve"> * La variable Pueblos Originarios Mujeres no puede ser Mayor al Total Mujeres.</v>
      </c>
      <c r="CD57" s="191" t="str">
        <f t="shared" si="38"/>
        <v xml:space="preserve"> * La variable Migrantes Hombres no puede ser Mayor al Total Hombres.</v>
      </c>
      <c r="CE57" s="191" t="str">
        <f t="shared" si="39"/>
        <v xml:space="preserve"> * La variable Migrantes Mujeres no puede ser Mayor al Total Mujeres.</v>
      </c>
      <c r="DL57" s="1047">
        <f t="shared" si="31"/>
        <v>1</v>
      </c>
      <c r="DM57" s="1047">
        <f t="shared" si="32"/>
        <v>1</v>
      </c>
      <c r="DN57" s="1047">
        <f t="shared" si="33"/>
        <v>1</v>
      </c>
      <c r="DO57" s="1047">
        <f t="shared" si="34"/>
        <v>1</v>
      </c>
    </row>
    <row r="58" spans="1:119" ht="15" customHeight="1" x14ac:dyDescent="0.2">
      <c r="A58" s="1594" t="s">
        <v>1256</v>
      </c>
      <c r="B58" s="2023" t="s">
        <v>536</v>
      </c>
      <c r="C58" s="2024"/>
      <c r="D58" s="1142" t="s">
        <v>1616</v>
      </c>
      <c r="E58" s="387" t="s">
        <v>1617</v>
      </c>
      <c r="F58" s="443" t="s">
        <v>1618</v>
      </c>
      <c r="G58" s="417" t="s">
        <v>1619</v>
      </c>
      <c r="H58" s="418" t="s">
        <v>1620</v>
      </c>
      <c r="I58" s="417" t="s">
        <v>1621</v>
      </c>
      <c r="J58" s="418" t="s">
        <v>1622</v>
      </c>
      <c r="K58" s="417" t="s">
        <v>1623</v>
      </c>
      <c r="L58" s="418" t="s">
        <v>1624</v>
      </c>
      <c r="M58" s="417" t="s">
        <v>1625</v>
      </c>
      <c r="N58" s="418" t="s">
        <v>1626</v>
      </c>
      <c r="O58" s="417" t="s">
        <v>1627</v>
      </c>
      <c r="P58" s="418" t="s">
        <v>1628</v>
      </c>
      <c r="Q58" s="417" t="s">
        <v>1629</v>
      </c>
      <c r="R58" s="418" t="s">
        <v>1630</v>
      </c>
      <c r="S58" s="417" t="s">
        <v>1631</v>
      </c>
      <c r="T58" s="418" t="s">
        <v>1632</v>
      </c>
      <c r="U58" s="417" t="s">
        <v>1633</v>
      </c>
      <c r="V58" s="418" t="s">
        <v>1634</v>
      </c>
      <c r="W58" s="417" t="s">
        <v>1635</v>
      </c>
      <c r="X58" s="418" t="s">
        <v>1636</v>
      </c>
      <c r="Y58" s="417" t="s">
        <v>1637</v>
      </c>
      <c r="Z58" s="418" t="s">
        <v>1638</v>
      </c>
      <c r="AA58" s="417" t="s">
        <v>1639</v>
      </c>
      <c r="AB58" s="418" t="s">
        <v>1640</v>
      </c>
      <c r="AC58" s="417" t="s">
        <v>1641</v>
      </c>
      <c r="AD58" s="418" t="s">
        <v>1642</v>
      </c>
      <c r="AE58" s="417" t="s">
        <v>1643</v>
      </c>
      <c r="AF58" s="418" t="s">
        <v>1644</v>
      </c>
      <c r="AG58" s="468" t="s">
        <v>1645</v>
      </c>
      <c r="AH58" s="419" t="s">
        <v>1646</v>
      </c>
      <c r="AI58" s="468" t="s">
        <v>1647</v>
      </c>
      <c r="AJ58" s="418" t="s">
        <v>1648</v>
      </c>
      <c r="AK58" s="468" t="s">
        <v>1649</v>
      </c>
      <c r="AL58" s="418" t="s">
        <v>1650</v>
      </c>
      <c r="AM58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8" s="191" t="str">
        <f t="shared" si="36"/>
        <v xml:space="preserve"> * La variable Pueblos Originarios Hombres no puede ser Mayor al Total Hombres.</v>
      </c>
      <c r="CC58" s="191" t="str">
        <f t="shared" si="37"/>
        <v xml:space="preserve"> * La variable Pueblos Originarios Mujeres no puede ser Mayor al Total Mujeres.</v>
      </c>
      <c r="CD58" s="191" t="str">
        <f t="shared" si="38"/>
        <v xml:space="preserve"> * La variable Migrantes Hombres no puede ser Mayor al Total Hombres.</v>
      </c>
      <c r="CE58" s="191" t="str">
        <f t="shared" si="39"/>
        <v xml:space="preserve"> * La variable Migrantes Mujeres no puede ser Mayor al Total Mujeres.</v>
      </c>
      <c r="DL58" s="1047">
        <f t="shared" si="31"/>
        <v>1</v>
      </c>
      <c r="DM58" s="1047">
        <f t="shared" si="32"/>
        <v>1</v>
      </c>
      <c r="DN58" s="1047">
        <f t="shared" si="33"/>
        <v>1</v>
      </c>
      <c r="DO58" s="1047">
        <f t="shared" si="34"/>
        <v>1</v>
      </c>
    </row>
    <row r="59" spans="1:119" ht="15" customHeight="1" x14ac:dyDescent="0.2">
      <c r="A59" s="1589" t="s">
        <v>1257</v>
      </c>
      <c r="B59" s="2065" t="s">
        <v>537</v>
      </c>
      <c r="C59" s="2066"/>
      <c r="D59" s="1376" t="s">
        <v>1616</v>
      </c>
      <c r="E59" s="389" t="s">
        <v>1617</v>
      </c>
      <c r="F59" s="883" t="s">
        <v>1618</v>
      </c>
      <c r="G59" s="408" t="s">
        <v>1619</v>
      </c>
      <c r="H59" s="409" t="s">
        <v>1620</v>
      </c>
      <c r="I59" s="408" t="s">
        <v>1621</v>
      </c>
      <c r="J59" s="409" t="s">
        <v>1622</v>
      </c>
      <c r="K59" s="408" t="s">
        <v>1623</v>
      </c>
      <c r="L59" s="409" t="s">
        <v>1624</v>
      </c>
      <c r="M59" s="408" t="s">
        <v>1625</v>
      </c>
      <c r="N59" s="409" t="s">
        <v>1626</v>
      </c>
      <c r="O59" s="408" t="s">
        <v>1627</v>
      </c>
      <c r="P59" s="409" t="s">
        <v>1628</v>
      </c>
      <c r="Q59" s="408" t="s">
        <v>1629</v>
      </c>
      <c r="R59" s="409" t="s">
        <v>1630</v>
      </c>
      <c r="S59" s="408" t="s">
        <v>1631</v>
      </c>
      <c r="T59" s="409" t="s">
        <v>1632</v>
      </c>
      <c r="U59" s="408" t="s">
        <v>1633</v>
      </c>
      <c r="V59" s="409" t="s">
        <v>1634</v>
      </c>
      <c r="W59" s="408" t="s">
        <v>1635</v>
      </c>
      <c r="X59" s="409" t="s">
        <v>1636</v>
      </c>
      <c r="Y59" s="408" t="s">
        <v>1637</v>
      </c>
      <c r="Z59" s="409" t="s">
        <v>1638</v>
      </c>
      <c r="AA59" s="408" t="s">
        <v>1639</v>
      </c>
      <c r="AB59" s="409" t="s">
        <v>1640</v>
      </c>
      <c r="AC59" s="408" t="s">
        <v>1641</v>
      </c>
      <c r="AD59" s="409" t="s">
        <v>1642</v>
      </c>
      <c r="AE59" s="408" t="s">
        <v>1643</v>
      </c>
      <c r="AF59" s="409" t="s">
        <v>1644</v>
      </c>
      <c r="AG59" s="659" t="s">
        <v>1645</v>
      </c>
      <c r="AH59" s="410" t="s">
        <v>1646</v>
      </c>
      <c r="AI59" s="659" t="s">
        <v>1647</v>
      </c>
      <c r="AJ59" s="409" t="s">
        <v>1648</v>
      </c>
      <c r="AK59" s="659" t="s">
        <v>1649</v>
      </c>
      <c r="AL59" s="409" t="s">
        <v>1650</v>
      </c>
      <c r="AM59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9" s="191" t="str">
        <f t="shared" si="36"/>
        <v xml:space="preserve"> * La variable Pueblos Originarios Hombres no puede ser Mayor al Total Hombres.</v>
      </c>
      <c r="CC59" s="191" t="str">
        <f t="shared" si="37"/>
        <v xml:space="preserve"> * La variable Pueblos Originarios Mujeres no puede ser Mayor al Total Mujeres.</v>
      </c>
      <c r="CD59" s="191" t="str">
        <f t="shared" si="38"/>
        <v xml:space="preserve"> * La variable Migrantes Hombres no puede ser Mayor al Total Hombres.</v>
      </c>
      <c r="CE59" s="191" t="str">
        <f t="shared" si="39"/>
        <v xml:space="preserve"> * La variable Migrantes Mujeres no puede ser Mayor al Total Mujeres.</v>
      </c>
      <c r="DL59" s="1047">
        <f t="shared" si="31"/>
        <v>1</v>
      </c>
      <c r="DM59" s="1047">
        <f t="shared" si="32"/>
        <v>1</v>
      </c>
      <c r="DN59" s="1047">
        <f t="shared" si="33"/>
        <v>1</v>
      </c>
      <c r="DO59" s="1047">
        <f t="shared" si="34"/>
        <v>1</v>
      </c>
    </row>
    <row r="60" spans="1:119" ht="15" customHeight="1" x14ac:dyDescent="0.2">
      <c r="A60" s="1589" t="s">
        <v>1258</v>
      </c>
      <c r="B60" s="2007" t="s">
        <v>538</v>
      </c>
      <c r="C60" s="2008"/>
      <c r="D60" s="1143" t="s">
        <v>1616</v>
      </c>
      <c r="E60" s="391" t="s">
        <v>1617</v>
      </c>
      <c r="F60" s="446" t="s">
        <v>1618</v>
      </c>
      <c r="G60" s="403" t="s">
        <v>1619</v>
      </c>
      <c r="H60" s="404" t="s">
        <v>1620</v>
      </c>
      <c r="I60" s="403" t="s">
        <v>1621</v>
      </c>
      <c r="J60" s="404" t="s">
        <v>1622</v>
      </c>
      <c r="K60" s="403" t="s">
        <v>1623</v>
      </c>
      <c r="L60" s="404" t="s">
        <v>1624</v>
      </c>
      <c r="M60" s="403" t="s">
        <v>1625</v>
      </c>
      <c r="N60" s="404" t="s">
        <v>1626</v>
      </c>
      <c r="O60" s="403" t="s">
        <v>1627</v>
      </c>
      <c r="P60" s="404" t="s">
        <v>1628</v>
      </c>
      <c r="Q60" s="403" t="s">
        <v>1629</v>
      </c>
      <c r="R60" s="404" t="s">
        <v>1630</v>
      </c>
      <c r="S60" s="403" t="s">
        <v>1631</v>
      </c>
      <c r="T60" s="404" t="s">
        <v>1632</v>
      </c>
      <c r="U60" s="403" t="s">
        <v>1633</v>
      </c>
      <c r="V60" s="404" t="s">
        <v>1634</v>
      </c>
      <c r="W60" s="403" t="s">
        <v>1635</v>
      </c>
      <c r="X60" s="404" t="s">
        <v>1636</v>
      </c>
      <c r="Y60" s="403" t="s">
        <v>1637</v>
      </c>
      <c r="Z60" s="404" t="s">
        <v>1638</v>
      </c>
      <c r="AA60" s="403" t="s">
        <v>1639</v>
      </c>
      <c r="AB60" s="404" t="s">
        <v>1640</v>
      </c>
      <c r="AC60" s="403" t="s">
        <v>1641</v>
      </c>
      <c r="AD60" s="404" t="s">
        <v>1642</v>
      </c>
      <c r="AE60" s="403" t="s">
        <v>1643</v>
      </c>
      <c r="AF60" s="404" t="s">
        <v>1644</v>
      </c>
      <c r="AG60" s="464" t="s">
        <v>1645</v>
      </c>
      <c r="AH60" s="431" t="s">
        <v>1646</v>
      </c>
      <c r="AI60" s="464" t="s">
        <v>1647</v>
      </c>
      <c r="AJ60" s="404" t="s">
        <v>1648</v>
      </c>
      <c r="AK60" s="464" t="s">
        <v>1649</v>
      </c>
      <c r="AL60" s="404" t="s">
        <v>1650</v>
      </c>
      <c r="AM60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0" s="191" t="str">
        <f t="shared" si="36"/>
        <v xml:space="preserve"> * La variable Pueblos Originarios Hombres no puede ser Mayor al Total Hombres.</v>
      </c>
      <c r="CC60" s="191" t="str">
        <f t="shared" si="37"/>
        <v xml:space="preserve"> * La variable Pueblos Originarios Mujeres no puede ser Mayor al Total Mujeres.</v>
      </c>
      <c r="CD60" s="191" t="str">
        <f t="shared" si="38"/>
        <v xml:space="preserve"> * La variable Migrantes Hombres no puede ser Mayor al Total Hombres.</v>
      </c>
      <c r="CE60" s="191" t="str">
        <f t="shared" si="39"/>
        <v xml:space="preserve"> * La variable Migrantes Mujeres no puede ser Mayor al Total Mujeres.</v>
      </c>
      <c r="DL60" s="1047">
        <f t="shared" si="31"/>
        <v>1</v>
      </c>
      <c r="DM60" s="1047">
        <f t="shared" si="32"/>
        <v>1</v>
      </c>
      <c r="DN60" s="1047">
        <f t="shared" si="33"/>
        <v>1</v>
      </c>
      <c r="DO60" s="1047">
        <f t="shared" si="34"/>
        <v>1</v>
      </c>
    </row>
    <row r="61" spans="1:119" ht="15" customHeight="1" x14ac:dyDescent="0.2">
      <c r="A61" s="1589" t="s">
        <v>1259</v>
      </c>
      <c r="B61" s="2004" t="s">
        <v>539</v>
      </c>
      <c r="C61" s="608" t="s">
        <v>540</v>
      </c>
      <c r="D61" s="1142" t="s">
        <v>1616</v>
      </c>
      <c r="E61" s="387" t="s">
        <v>1617</v>
      </c>
      <c r="F61" s="454" t="s">
        <v>1618</v>
      </c>
      <c r="G61" s="417" t="s">
        <v>1619</v>
      </c>
      <c r="H61" s="418" t="s">
        <v>1620</v>
      </c>
      <c r="I61" s="417" t="s">
        <v>1621</v>
      </c>
      <c r="J61" s="418" t="s">
        <v>1622</v>
      </c>
      <c r="K61" s="417" t="s">
        <v>1623</v>
      </c>
      <c r="L61" s="418" t="s">
        <v>1624</v>
      </c>
      <c r="M61" s="417" t="s">
        <v>1625</v>
      </c>
      <c r="N61" s="418" t="s">
        <v>1626</v>
      </c>
      <c r="O61" s="417" t="s">
        <v>1627</v>
      </c>
      <c r="P61" s="418" t="s">
        <v>1628</v>
      </c>
      <c r="Q61" s="417" t="s">
        <v>1629</v>
      </c>
      <c r="R61" s="418" t="s">
        <v>1630</v>
      </c>
      <c r="S61" s="417" t="s">
        <v>1631</v>
      </c>
      <c r="T61" s="418" t="s">
        <v>1632</v>
      </c>
      <c r="U61" s="417" t="s">
        <v>1633</v>
      </c>
      <c r="V61" s="418" t="s">
        <v>1634</v>
      </c>
      <c r="W61" s="417" t="s">
        <v>1635</v>
      </c>
      <c r="X61" s="418" t="s">
        <v>1636</v>
      </c>
      <c r="Y61" s="417" t="s">
        <v>1637</v>
      </c>
      <c r="Z61" s="418" t="s">
        <v>1638</v>
      </c>
      <c r="AA61" s="417" t="s">
        <v>1639</v>
      </c>
      <c r="AB61" s="418" t="s">
        <v>1640</v>
      </c>
      <c r="AC61" s="417" t="s">
        <v>1641</v>
      </c>
      <c r="AD61" s="418" t="s">
        <v>1642</v>
      </c>
      <c r="AE61" s="417" t="s">
        <v>1643</v>
      </c>
      <c r="AF61" s="418" t="s">
        <v>1644</v>
      </c>
      <c r="AG61" s="468" t="s">
        <v>1645</v>
      </c>
      <c r="AH61" s="419" t="s">
        <v>1646</v>
      </c>
      <c r="AI61" s="468" t="s">
        <v>1647</v>
      </c>
      <c r="AJ61" s="418" t="s">
        <v>1648</v>
      </c>
      <c r="AK61" s="468" t="s">
        <v>1649</v>
      </c>
      <c r="AL61" s="418" t="s">
        <v>1650</v>
      </c>
      <c r="AM61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1" s="191" t="str">
        <f t="shared" si="36"/>
        <v xml:space="preserve"> * La variable Pueblos Originarios Hombres no puede ser Mayor al Total Hombres.</v>
      </c>
      <c r="CC61" s="191" t="str">
        <f t="shared" si="37"/>
        <v xml:space="preserve"> * La variable Pueblos Originarios Mujeres no puede ser Mayor al Total Mujeres.</v>
      </c>
      <c r="CD61" s="191" t="str">
        <f t="shared" si="38"/>
        <v xml:space="preserve"> * La variable Migrantes Hombres no puede ser Mayor al Total Hombres.</v>
      </c>
      <c r="CE61" s="191" t="str">
        <f t="shared" si="39"/>
        <v xml:space="preserve"> * La variable Migrantes Mujeres no puede ser Mayor al Total Mujeres.</v>
      </c>
      <c r="DL61" s="1047">
        <f t="shared" si="31"/>
        <v>1</v>
      </c>
      <c r="DM61" s="1047">
        <f t="shared" si="32"/>
        <v>1</v>
      </c>
      <c r="DN61" s="1047">
        <f t="shared" si="33"/>
        <v>1</v>
      </c>
      <c r="DO61" s="1047">
        <f t="shared" si="34"/>
        <v>1</v>
      </c>
    </row>
    <row r="62" spans="1:119" ht="15" customHeight="1" x14ac:dyDescent="0.2">
      <c r="A62" s="1589" t="s">
        <v>1260</v>
      </c>
      <c r="B62" s="2004"/>
      <c r="C62" s="608" t="s">
        <v>541</v>
      </c>
      <c r="D62" s="1147" t="s">
        <v>1616</v>
      </c>
      <c r="E62" s="397" t="s">
        <v>1617</v>
      </c>
      <c r="F62" s="444" t="s">
        <v>1618</v>
      </c>
      <c r="G62" s="398" t="s">
        <v>1619</v>
      </c>
      <c r="H62" s="399" t="s">
        <v>1620</v>
      </c>
      <c r="I62" s="398" t="s">
        <v>1621</v>
      </c>
      <c r="J62" s="399" t="s">
        <v>1622</v>
      </c>
      <c r="K62" s="398" t="s">
        <v>1623</v>
      </c>
      <c r="L62" s="399" t="s">
        <v>1624</v>
      </c>
      <c r="M62" s="398" t="s">
        <v>1625</v>
      </c>
      <c r="N62" s="399" t="s">
        <v>1626</v>
      </c>
      <c r="O62" s="398" t="s">
        <v>1627</v>
      </c>
      <c r="P62" s="399" t="s">
        <v>1628</v>
      </c>
      <c r="Q62" s="398" t="s">
        <v>1629</v>
      </c>
      <c r="R62" s="399" t="s">
        <v>1630</v>
      </c>
      <c r="S62" s="398" t="s">
        <v>1631</v>
      </c>
      <c r="T62" s="399" t="s">
        <v>1632</v>
      </c>
      <c r="U62" s="398" t="s">
        <v>1633</v>
      </c>
      <c r="V62" s="399" t="s">
        <v>1634</v>
      </c>
      <c r="W62" s="398" t="s">
        <v>1635</v>
      </c>
      <c r="X62" s="399" t="s">
        <v>1636</v>
      </c>
      <c r="Y62" s="398" t="s">
        <v>1637</v>
      </c>
      <c r="Z62" s="399" t="s">
        <v>1638</v>
      </c>
      <c r="AA62" s="398" t="s">
        <v>1639</v>
      </c>
      <c r="AB62" s="399" t="s">
        <v>1640</v>
      </c>
      <c r="AC62" s="398" t="s">
        <v>1641</v>
      </c>
      <c r="AD62" s="399" t="s">
        <v>1642</v>
      </c>
      <c r="AE62" s="398" t="s">
        <v>1643</v>
      </c>
      <c r="AF62" s="399" t="s">
        <v>1644</v>
      </c>
      <c r="AG62" s="465" t="s">
        <v>1645</v>
      </c>
      <c r="AH62" s="407" t="s">
        <v>1646</v>
      </c>
      <c r="AI62" s="468" t="s">
        <v>1647</v>
      </c>
      <c r="AJ62" s="418" t="s">
        <v>1648</v>
      </c>
      <c r="AK62" s="468" t="s">
        <v>1649</v>
      </c>
      <c r="AL62" s="418" t="s">
        <v>1650</v>
      </c>
      <c r="AM62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2" s="191" t="str">
        <f t="shared" si="36"/>
        <v xml:space="preserve"> * La variable Pueblos Originarios Hombres no puede ser Mayor al Total Hombres.</v>
      </c>
      <c r="CC62" s="191" t="str">
        <f t="shared" si="37"/>
        <v xml:space="preserve"> * La variable Pueblos Originarios Mujeres no puede ser Mayor al Total Mujeres.</v>
      </c>
      <c r="CD62" s="191" t="str">
        <f t="shared" si="38"/>
        <v xml:space="preserve"> * La variable Migrantes Hombres no puede ser Mayor al Total Hombres.</v>
      </c>
      <c r="CE62" s="191" t="str">
        <f t="shared" si="39"/>
        <v xml:space="preserve"> * La variable Migrantes Mujeres no puede ser Mayor al Total Mujeres.</v>
      </c>
      <c r="DL62" s="1047">
        <f t="shared" si="31"/>
        <v>1</v>
      </c>
      <c r="DM62" s="1047">
        <f t="shared" si="32"/>
        <v>1</v>
      </c>
      <c r="DN62" s="1047">
        <f t="shared" si="33"/>
        <v>1</v>
      </c>
      <c r="DO62" s="1047">
        <f t="shared" si="34"/>
        <v>1</v>
      </c>
    </row>
    <row r="63" spans="1:119" ht="15" customHeight="1" x14ac:dyDescent="0.2">
      <c r="A63" s="1589" t="s">
        <v>1261</v>
      </c>
      <c r="B63" s="2004"/>
      <c r="C63" s="609" t="s">
        <v>542</v>
      </c>
      <c r="D63" s="1142" t="s">
        <v>1616</v>
      </c>
      <c r="E63" s="387" t="s">
        <v>1617</v>
      </c>
      <c r="F63" s="443" t="s">
        <v>1618</v>
      </c>
      <c r="G63" s="398" t="s">
        <v>1619</v>
      </c>
      <c r="H63" s="399" t="s">
        <v>1620</v>
      </c>
      <c r="I63" s="398" t="s">
        <v>1621</v>
      </c>
      <c r="J63" s="399" t="s">
        <v>1622</v>
      </c>
      <c r="K63" s="398" t="s">
        <v>1623</v>
      </c>
      <c r="L63" s="399" t="s">
        <v>1624</v>
      </c>
      <c r="M63" s="398" t="s">
        <v>1625</v>
      </c>
      <c r="N63" s="399" t="s">
        <v>1626</v>
      </c>
      <c r="O63" s="398" t="s">
        <v>1627</v>
      </c>
      <c r="P63" s="399" t="s">
        <v>1628</v>
      </c>
      <c r="Q63" s="398" t="s">
        <v>1629</v>
      </c>
      <c r="R63" s="399" t="s">
        <v>1630</v>
      </c>
      <c r="S63" s="398" t="s">
        <v>1631</v>
      </c>
      <c r="T63" s="399" t="s">
        <v>1632</v>
      </c>
      <c r="U63" s="398" t="s">
        <v>1633</v>
      </c>
      <c r="V63" s="399" t="s">
        <v>1634</v>
      </c>
      <c r="W63" s="398" t="s">
        <v>1635</v>
      </c>
      <c r="X63" s="399" t="s">
        <v>1636</v>
      </c>
      <c r="Y63" s="398" t="s">
        <v>1637</v>
      </c>
      <c r="Z63" s="399" t="s">
        <v>1638</v>
      </c>
      <c r="AA63" s="398" t="s">
        <v>1639</v>
      </c>
      <c r="AB63" s="399" t="s">
        <v>1640</v>
      </c>
      <c r="AC63" s="398" t="s">
        <v>1641</v>
      </c>
      <c r="AD63" s="399" t="s">
        <v>1642</v>
      </c>
      <c r="AE63" s="398" t="s">
        <v>1643</v>
      </c>
      <c r="AF63" s="399" t="s">
        <v>1644</v>
      </c>
      <c r="AG63" s="465" t="s">
        <v>1645</v>
      </c>
      <c r="AH63" s="407" t="s">
        <v>1646</v>
      </c>
      <c r="AI63" s="468" t="s">
        <v>1647</v>
      </c>
      <c r="AJ63" s="418" t="s">
        <v>1648</v>
      </c>
      <c r="AK63" s="468" t="s">
        <v>1649</v>
      </c>
      <c r="AL63" s="418" t="s">
        <v>1650</v>
      </c>
      <c r="AM63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3" s="191" t="str">
        <f t="shared" si="36"/>
        <v xml:space="preserve"> * La variable Pueblos Originarios Hombres no puede ser Mayor al Total Hombres.</v>
      </c>
      <c r="CC63" s="191" t="str">
        <f t="shared" si="37"/>
        <v xml:space="preserve"> * La variable Pueblos Originarios Mujeres no puede ser Mayor al Total Mujeres.</v>
      </c>
      <c r="CD63" s="191" t="str">
        <f t="shared" si="38"/>
        <v xml:space="preserve"> * La variable Migrantes Hombres no puede ser Mayor al Total Hombres.</v>
      </c>
      <c r="CE63" s="191" t="str">
        <f t="shared" si="39"/>
        <v xml:space="preserve"> * La variable Migrantes Mujeres no puede ser Mayor al Total Mujeres.</v>
      </c>
      <c r="DL63" s="1047">
        <f t="shared" si="31"/>
        <v>1</v>
      </c>
      <c r="DM63" s="1047">
        <f t="shared" si="32"/>
        <v>1</v>
      </c>
      <c r="DN63" s="1047">
        <f t="shared" si="33"/>
        <v>1</v>
      </c>
      <c r="DO63" s="1047">
        <f t="shared" si="34"/>
        <v>1</v>
      </c>
    </row>
    <row r="64" spans="1:119" ht="15" customHeight="1" x14ac:dyDescent="0.2">
      <c r="A64" s="1589" t="s">
        <v>1262</v>
      </c>
      <c r="B64" s="2005"/>
      <c r="C64" s="610" t="s">
        <v>543</v>
      </c>
      <c r="D64" s="1143" t="s">
        <v>1616</v>
      </c>
      <c r="E64" s="391" t="s">
        <v>1617</v>
      </c>
      <c r="F64" s="446" t="s">
        <v>1618</v>
      </c>
      <c r="G64" s="403" t="s">
        <v>1619</v>
      </c>
      <c r="H64" s="404" t="s">
        <v>1620</v>
      </c>
      <c r="I64" s="403" t="s">
        <v>1621</v>
      </c>
      <c r="J64" s="404" t="s">
        <v>1622</v>
      </c>
      <c r="K64" s="403" t="s">
        <v>1623</v>
      </c>
      <c r="L64" s="404" t="s">
        <v>1624</v>
      </c>
      <c r="M64" s="403" t="s">
        <v>1625</v>
      </c>
      <c r="N64" s="404" t="s">
        <v>1626</v>
      </c>
      <c r="O64" s="403" t="s">
        <v>1627</v>
      </c>
      <c r="P64" s="404" t="s">
        <v>1628</v>
      </c>
      <c r="Q64" s="403" t="s">
        <v>1629</v>
      </c>
      <c r="R64" s="404" t="s">
        <v>1630</v>
      </c>
      <c r="S64" s="403" t="s">
        <v>1631</v>
      </c>
      <c r="T64" s="404" t="s">
        <v>1632</v>
      </c>
      <c r="U64" s="403" t="s">
        <v>1633</v>
      </c>
      <c r="V64" s="404" t="s">
        <v>1634</v>
      </c>
      <c r="W64" s="403" t="s">
        <v>1635</v>
      </c>
      <c r="X64" s="404" t="s">
        <v>1636</v>
      </c>
      <c r="Y64" s="403" t="s">
        <v>1637</v>
      </c>
      <c r="Z64" s="404" t="s">
        <v>1638</v>
      </c>
      <c r="AA64" s="403" t="s">
        <v>1639</v>
      </c>
      <c r="AB64" s="404" t="s">
        <v>1640</v>
      </c>
      <c r="AC64" s="403" t="s">
        <v>1641</v>
      </c>
      <c r="AD64" s="404" t="s">
        <v>1642</v>
      </c>
      <c r="AE64" s="403" t="s">
        <v>1643</v>
      </c>
      <c r="AF64" s="404" t="s">
        <v>1644</v>
      </c>
      <c r="AG64" s="464" t="s">
        <v>1645</v>
      </c>
      <c r="AH64" s="431" t="s">
        <v>1646</v>
      </c>
      <c r="AI64" s="464" t="s">
        <v>1647</v>
      </c>
      <c r="AJ64" s="404" t="s">
        <v>1648</v>
      </c>
      <c r="AK64" s="464" t="s">
        <v>1649</v>
      </c>
      <c r="AL64" s="404" t="s">
        <v>1650</v>
      </c>
      <c r="AM64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4" s="191" t="str">
        <f t="shared" si="36"/>
        <v xml:space="preserve"> * La variable Pueblos Originarios Hombres no puede ser Mayor al Total Hombres.</v>
      </c>
      <c r="CC64" s="191" t="str">
        <f t="shared" si="37"/>
        <v xml:space="preserve"> * La variable Pueblos Originarios Mujeres no puede ser Mayor al Total Mujeres.</v>
      </c>
      <c r="CD64" s="191" t="str">
        <f t="shared" si="38"/>
        <v xml:space="preserve"> * La variable Migrantes Hombres no puede ser Mayor al Total Hombres.</v>
      </c>
      <c r="CE64" s="191" t="str">
        <f t="shared" si="39"/>
        <v xml:space="preserve"> * La variable Migrantes Mujeres no puede ser Mayor al Total Mujeres.</v>
      </c>
      <c r="DL64" s="1047">
        <f t="shared" si="31"/>
        <v>1</v>
      </c>
      <c r="DM64" s="1047">
        <f t="shared" si="32"/>
        <v>1</v>
      </c>
      <c r="DN64" s="1047">
        <f t="shared" si="33"/>
        <v>1</v>
      </c>
      <c r="DO64" s="1047">
        <f t="shared" si="34"/>
        <v>1</v>
      </c>
    </row>
    <row r="65" spans="1:119" ht="15" customHeight="1" x14ac:dyDescent="0.2">
      <c r="A65" s="1589" t="s">
        <v>1263</v>
      </c>
      <c r="B65" s="2020" t="s">
        <v>544</v>
      </c>
      <c r="C65" s="730" t="s">
        <v>545</v>
      </c>
      <c r="D65" s="1142" t="s">
        <v>1616</v>
      </c>
      <c r="E65" s="387" t="s">
        <v>1617</v>
      </c>
      <c r="F65" s="454" t="s">
        <v>1618</v>
      </c>
      <c r="G65" s="417" t="s">
        <v>1619</v>
      </c>
      <c r="H65" s="418" t="s">
        <v>1620</v>
      </c>
      <c r="I65" s="417" t="s">
        <v>1621</v>
      </c>
      <c r="J65" s="418" t="s">
        <v>1622</v>
      </c>
      <c r="K65" s="417" t="s">
        <v>1623</v>
      </c>
      <c r="L65" s="418" t="s">
        <v>1624</v>
      </c>
      <c r="M65" s="417" t="s">
        <v>1625</v>
      </c>
      <c r="N65" s="418" t="s">
        <v>1626</v>
      </c>
      <c r="O65" s="417" t="s">
        <v>1627</v>
      </c>
      <c r="P65" s="418" t="s">
        <v>1628</v>
      </c>
      <c r="Q65" s="417" t="s">
        <v>1629</v>
      </c>
      <c r="R65" s="418" t="s">
        <v>1630</v>
      </c>
      <c r="S65" s="417" t="s">
        <v>1631</v>
      </c>
      <c r="T65" s="418" t="s">
        <v>1632</v>
      </c>
      <c r="U65" s="417" t="s">
        <v>1633</v>
      </c>
      <c r="V65" s="418" t="s">
        <v>1634</v>
      </c>
      <c r="W65" s="417" t="s">
        <v>1635</v>
      </c>
      <c r="X65" s="418" t="s">
        <v>1636</v>
      </c>
      <c r="Y65" s="417" t="s">
        <v>1637</v>
      </c>
      <c r="Z65" s="418" t="s">
        <v>1638</v>
      </c>
      <c r="AA65" s="417" t="s">
        <v>1639</v>
      </c>
      <c r="AB65" s="418" t="s">
        <v>1640</v>
      </c>
      <c r="AC65" s="417" t="s">
        <v>1641</v>
      </c>
      <c r="AD65" s="418" t="s">
        <v>1642</v>
      </c>
      <c r="AE65" s="417" t="s">
        <v>1643</v>
      </c>
      <c r="AF65" s="418" t="s">
        <v>1644</v>
      </c>
      <c r="AG65" s="468" t="s">
        <v>1645</v>
      </c>
      <c r="AH65" s="419" t="s">
        <v>1646</v>
      </c>
      <c r="AI65" s="468" t="s">
        <v>1647</v>
      </c>
      <c r="AJ65" s="418" t="s">
        <v>1648</v>
      </c>
      <c r="AK65" s="468" t="s">
        <v>1649</v>
      </c>
      <c r="AL65" s="418" t="s">
        <v>1650</v>
      </c>
      <c r="AM65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5" s="191" t="str">
        <f t="shared" si="36"/>
        <v xml:space="preserve"> * La variable Pueblos Originarios Hombres no puede ser Mayor al Total Hombres.</v>
      </c>
      <c r="CC65" s="191" t="str">
        <f t="shared" si="37"/>
        <v xml:space="preserve"> * La variable Pueblos Originarios Mujeres no puede ser Mayor al Total Mujeres.</v>
      </c>
      <c r="CD65" s="191" t="str">
        <f t="shared" si="38"/>
        <v xml:space="preserve"> * La variable Migrantes Hombres no puede ser Mayor al Total Hombres.</v>
      </c>
      <c r="CE65" s="191" t="str">
        <f t="shared" si="39"/>
        <v xml:space="preserve"> * La variable Migrantes Mujeres no puede ser Mayor al Total Mujeres.</v>
      </c>
      <c r="DL65" s="1047">
        <f t="shared" si="31"/>
        <v>1</v>
      </c>
      <c r="DM65" s="1047">
        <f t="shared" si="32"/>
        <v>1</v>
      </c>
      <c r="DN65" s="1047">
        <f t="shared" si="33"/>
        <v>1</v>
      </c>
      <c r="DO65" s="1047">
        <f t="shared" si="34"/>
        <v>1</v>
      </c>
    </row>
    <row r="66" spans="1:119" ht="15" customHeight="1" x14ac:dyDescent="0.2">
      <c r="A66" s="1589" t="s">
        <v>1264</v>
      </c>
      <c r="B66" s="2021"/>
      <c r="C66" s="609" t="s">
        <v>546</v>
      </c>
      <c r="D66" s="1376" t="s">
        <v>1616</v>
      </c>
      <c r="E66" s="389" t="s">
        <v>1617</v>
      </c>
      <c r="F66" s="869" t="s">
        <v>1618</v>
      </c>
      <c r="G66" s="450" t="s">
        <v>1619</v>
      </c>
      <c r="H66" s="451" t="s">
        <v>1620</v>
      </c>
      <c r="I66" s="450" t="s">
        <v>1621</v>
      </c>
      <c r="J66" s="451" t="s">
        <v>1622</v>
      </c>
      <c r="K66" s="450" t="s">
        <v>1623</v>
      </c>
      <c r="L66" s="451" t="s">
        <v>1624</v>
      </c>
      <c r="M66" s="450" t="s">
        <v>1625</v>
      </c>
      <c r="N66" s="451" t="s">
        <v>1626</v>
      </c>
      <c r="O66" s="450" t="s">
        <v>1627</v>
      </c>
      <c r="P66" s="451" t="s">
        <v>1628</v>
      </c>
      <c r="Q66" s="450" t="s">
        <v>1629</v>
      </c>
      <c r="R66" s="451" t="s">
        <v>1630</v>
      </c>
      <c r="S66" s="450" t="s">
        <v>1631</v>
      </c>
      <c r="T66" s="451" t="s">
        <v>1632</v>
      </c>
      <c r="U66" s="450" t="s">
        <v>1633</v>
      </c>
      <c r="V66" s="451" t="s">
        <v>1634</v>
      </c>
      <c r="W66" s="450" t="s">
        <v>1635</v>
      </c>
      <c r="X66" s="451" t="s">
        <v>1636</v>
      </c>
      <c r="Y66" s="450" t="s">
        <v>1637</v>
      </c>
      <c r="Z66" s="451" t="s">
        <v>1638</v>
      </c>
      <c r="AA66" s="450" t="s">
        <v>1639</v>
      </c>
      <c r="AB66" s="451" t="s">
        <v>1640</v>
      </c>
      <c r="AC66" s="450" t="s">
        <v>1641</v>
      </c>
      <c r="AD66" s="451" t="s">
        <v>1642</v>
      </c>
      <c r="AE66" s="450" t="s">
        <v>1643</v>
      </c>
      <c r="AF66" s="451" t="s">
        <v>1644</v>
      </c>
      <c r="AG66" s="666" t="s">
        <v>1645</v>
      </c>
      <c r="AH66" s="452" t="s">
        <v>1646</v>
      </c>
      <c r="AI66" s="666" t="s">
        <v>1647</v>
      </c>
      <c r="AJ66" s="451" t="s">
        <v>1648</v>
      </c>
      <c r="AK66" s="666" t="s">
        <v>1649</v>
      </c>
      <c r="AL66" s="451" t="s">
        <v>1650</v>
      </c>
      <c r="AM66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6" s="191" t="str">
        <f t="shared" si="36"/>
        <v xml:space="preserve"> * La variable Pueblos Originarios Hombres no puede ser Mayor al Total Hombres.</v>
      </c>
      <c r="CC66" s="191" t="str">
        <f t="shared" si="37"/>
        <v xml:space="preserve"> * La variable Pueblos Originarios Mujeres no puede ser Mayor al Total Mujeres.</v>
      </c>
      <c r="CD66" s="191" t="str">
        <f t="shared" si="38"/>
        <v xml:space="preserve"> * La variable Migrantes Hombres no puede ser Mayor al Total Hombres.</v>
      </c>
      <c r="CE66" s="191" t="str">
        <f t="shared" si="39"/>
        <v xml:space="preserve"> * La variable Migrantes Mujeres no puede ser Mayor al Total Mujeres.</v>
      </c>
      <c r="DL66" s="1047">
        <f t="shared" si="31"/>
        <v>1</v>
      </c>
      <c r="DM66" s="1047">
        <f t="shared" si="32"/>
        <v>1</v>
      </c>
      <c r="DN66" s="1047">
        <f t="shared" si="33"/>
        <v>1</v>
      </c>
      <c r="DO66" s="1047">
        <f t="shared" si="34"/>
        <v>1</v>
      </c>
    </row>
    <row r="67" spans="1:119" ht="15" customHeight="1" x14ac:dyDescent="0.2">
      <c r="A67" s="1589" t="s">
        <v>1265</v>
      </c>
      <c r="B67" s="2022"/>
      <c r="C67" s="735" t="s">
        <v>547</v>
      </c>
      <c r="D67" s="1143" t="s">
        <v>1616</v>
      </c>
      <c r="E67" s="391" t="s">
        <v>1617</v>
      </c>
      <c r="F67" s="458" t="s">
        <v>1618</v>
      </c>
      <c r="G67" s="403" t="s">
        <v>1619</v>
      </c>
      <c r="H67" s="404" t="s">
        <v>1620</v>
      </c>
      <c r="I67" s="403" t="s">
        <v>1621</v>
      </c>
      <c r="J67" s="404" t="s">
        <v>1622</v>
      </c>
      <c r="K67" s="403" t="s">
        <v>1623</v>
      </c>
      <c r="L67" s="404" t="s">
        <v>1624</v>
      </c>
      <c r="M67" s="403" t="s">
        <v>1625</v>
      </c>
      <c r="N67" s="404" t="s">
        <v>1626</v>
      </c>
      <c r="O67" s="403" t="s">
        <v>1627</v>
      </c>
      <c r="P67" s="404" t="s">
        <v>1628</v>
      </c>
      <c r="Q67" s="403" t="s">
        <v>1629</v>
      </c>
      <c r="R67" s="404" t="s">
        <v>1630</v>
      </c>
      <c r="S67" s="403" t="s">
        <v>1631</v>
      </c>
      <c r="T67" s="404" t="s">
        <v>1632</v>
      </c>
      <c r="U67" s="403" t="s">
        <v>1633</v>
      </c>
      <c r="V67" s="404" t="s">
        <v>1634</v>
      </c>
      <c r="W67" s="403" t="s">
        <v>1635</v>
      </c>
      <c r="X67" s="404" t="s">
        <v>1636</v>
      </c>
      <c r="Y67" s="403" t="s">
        <v>1637</v>
      </c>
      <c r="Z67" s="404" t="s">
        <v>1638</v>
      </c>
      <c r="AA67" s="403" t="s">
        <v>1639</v>
      </c>
      <c r="AB67" s="404" t="s">
        <v>1640</v>
      </c>
      <c r="AC67" s="403" t="s">
        <v>1641</v>
      </c>
      <c r="AD67" s="404" t="s">
        <v>1642</v>
      </c>
      <c r="AE67" s="403" t="s">
        <v>1643</v>
      </c>
      <c r="AF67" s="404" t="s">
        <v>1644</v>
      </c>
      <c r="AG67" s="464" t="s">
        <v>1645</v>
      </c>
      <c r="AH67" s="431" t="s">
        <v>1646</v>
      </c>
      <c r="AI67" s="464" t="s">
        <v>1647</v>
      </c>
      <c r="AJ67" s="404" t="s">
        <v>1648</v>
      </c>
      <c r="AK67" s="464" t="s">
        <v>1649</v>
      </c>
      <c r="AL67" s="404" t="s">
        <v>1650</v>
      </c>
      <c r="AM67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7" s="191" t="str">
        <f t="shared" si="36"/>
        <v xml:space="preserve"> * La variable Pueblos Originarios Hombres no puede ser Mayor al Total Hombres.</v>
      </c>
      <c r="CC67" s="191" t="str">
        <f t="shared" si="37"/>
        <v xml:space="preserve"> * La variable Pueblos Originarios Mujeres no puede ser Mayor al Total Mujeres.</v>
      </c>
      <c r="CD67" s="191" t="str">
        <f t="shared" si="38"/>
        <v xml:space="preserve"> * La variable Migrantes Hombres no puede ser Mayor al Total Hombres.</v>
      </c>
      <c r="CE67" s="191" t="str">
        <f t="shared" si="39"/>
        <v xml:space="preserve"> * La variable Migrantes Mujeres no puede ser Mayor al Total Mujeres.</v>
      </c>
      <c r="DL67" s="1047">
        <f t="shared" si="31"/>
        <v>1</v>
      </c>
      <c r="DM67" s="1047">
        <f t="shared" si="32"/>
        <v>1</v>
      </c>
      <c r="DN67" s="1047">
        <f t="shared" si="33"/>
        <v>1</v>
      </c>
      <c r="DO67" s="1047">
        <f t="shared" si="34"/>
        <v>1</v>
      </c>
    </row>
    <row r="68" spans="1:119" ht="15" customHeight="1" x14ac:dyDescent="0.2">
      <c r="A68" s="1589" t="s">
        <v>1266</v>
      </c>
      <c r="B68" s="2027" t="s">
        <v>548</v>
      </c>
      <c r="C68" s="2028"/>
      <c r="D68" s="1142" t="s">
        <v>1616</v>
      </c>
      <c r="E68" s="387" t="s">
        <v>1617</v>
      </c>
      <c r="F68" s="454" t="s">
        <v>1618</v>
      </c>
      <c r="G68" s="417" t="s">
        <v>1619</v>
      </c>
      <c r="H68" s="418" t="s">
        <v>1620</v>
      </c>
      <c r="I68" s="417" t="s">
        <v>1621</v>
      </c>
      <c r="J68" s="418" t="s">
        <v>1622</v>
      </c>
      <c r="K68" s="417" t="s">
        <v>1623</v>
      </c>
      <c r="L68" s="418" t="s">
        <v>1624</v>
      </c>
      <c r="M68" s="417" t="s">
        <v>1625</v>
      </c>
      <c r="N68" s="418" t="s">
        <v>1626</v>
      </c>
      <c r="O68" s="417" t="s">
        <v>1627</v>
      </c>
      <c r="P68" s="418" t="s">
        <v>1628</v>
      </c>
      <c r="Q68" s="417" t="s">
        <v>1629</v>
      </c>
      <c r="R68" s="418" t="s">
        <v>1630</v>
      </c>
      <c r="S68" s="417" t="s">
        <v>1631</v>
      </c>
      <c r="T68" s="418" t="s">
        <v>1632</v>
      </c>
      <c r="U68" s="417" t="s">
        <v>1633</v>
      </c>
      <c r="V68" s="418" t="s">
        <v>1634</v>
      </c>
      <c r="W68" s="417" t="s">
        <v>1635</v>
      </c>
      <c r="X68" s="418" t="s">
        <v>1636</v>
      </c>
      <c r="Y68" s="417" t="s">
        <v>1637</v>
      </c>
      <c r="Z68" s="418" t="s">
        <v>1638</v>
      </c>
      <c r="AA68" s="417" t="s">
        <v>1639</v>
      </c>
      <c r="AB68" s="418" t="s">
        <v>1640</v>
      </c>
      <c r="AC68" s="417" t="s">
        <v>1641</v>
      </c>
      <c r="AD68" s="418" t="s">
        <v>1642</v>
      </c>
      <c r="AE68" s="398" t="s">
        <v>1643</v>
      </c>
      <c r="AF68" s="399" t="s">
        <v>1644</v>
      </c>
      <c r="AG68" s="468" t="s">
        <v>1645</v>
      </c>
      <c r="AH68" s="419" t="s">
        <v>1646</v>
      </c>
      <c r="AI68" s="468" t="s">
        <v>1647</v>
      </c>
      <c r="AJ68" s="418" t="s">
        <v>1648</v>
      </c>
      <c r="AK68" s="468" t="s">
        <v>1649</v>
      </c>
      <c r="AL68" s="418" t="s">
        <v>1650</v>
      </c>
      <c r="AM68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8" s="191" t="str">
        <f t="shared" si="36"/>
        <v xml:space="preserve"> * La variable Pueblos Originarios Hombres no puede ser Mayor al Total Hombres.</v>
      </c>
      <c r="CC68" s="191" t="str">
        <f t="shared" si="37"/>
        <v xml:space="preserve"> * La variable Pueblos Originarios Mujeres no puede ser Mayor al Total Mujeres.</v>
      </c>
      <c r="CD68" s="191" t="str">
        <f t="shared" si="38"/>
        <v xml:space="preserve"> * La variable Migrantes Hombres no puede ser Mayor al Total Hombres.</v>
      </c>
      <c r="CE68" s="191" t="str">
        <f t="shared" si="39"/>
        <v xml:space="preserve"> * La variable Migrantes Mujeres no puede ser Mayor al Total Mujeres.</v>
      </c>
      <c r="DL68" s="1047">
        <f t="shared" si="31"/>
        <v>1</v>
      </c>
      <c r="DM68" s="1047">
        <f t="shared" si="32"/>
        <v>1</v>
      </c>
      <c r="DN68" s="1047">
        <f t="shared" si="33"/>
        <v>1</v>
      </c>
      <c r="DO68" s="1047">
        <f t="shared" si="34"/>
        <v>1</v>
      </c>
    </row>
    <row r="69" spans="1:119" ht="15" customHeight="1" x14ac:dyDescent="0.2">
      <c r="A69" s="1589" t="s">
        <v>1267</v>
      </c>
      <c r="B69" s="2029" t="s">
        <v>549</v>
      </c>
      <c r="C69" s="2030"/>
      <c r="D69" s="1147" t="s">
        <v>1616</v>
      </c>
      <c r="E69" s="397" t="s">
        <v>1617</v>
      </c>
      <c r="F69" s="448" t="s">
        <v>1618</v>
      </c>
      <c r="G69" s="398" t="s">
        <v>1619</v>
      </c>
      <c r="H69" s="399" t="s">
        <v>1620</v>
      </c>
      <c r="I69" s="398" t="s">
        <v>1621</v>
      </c>
      <c r="J69" s="399" t="s">
        <v>1622</v>
      </c>
      <c r="K69" s="398" t="s">
        <v>1623</v>
      </c>
      <c r="L69" s="399" t="s">
        <v>1624</v>
      </c>
      <c r="M69" s="398" t="s">
        <v>1625</v>
      </c>
      <c r="N69" s="399" t="s">
        <v>1626</v>
      </c>
      <c r="O69" s="398" t="s">
        <v>1627</v>
      </c>
      <c r="P69" s="399" t="s">
        <v>1628</v>
      </c>
      <c r="Q69" s="398" t="s">
        <v>1629</v>
      </c>
      <c r="R69" s="399" t="s">
        <v>1630</v>
      </c>
      <c r="S69" s="398" t="s">
        <v>1631</v>
      </c>
      <c r="T69" s="399" t="s">
        <v>1632</v>
      </c>
      <c r="U69" s="398" t="s">
        <v>1633</v>
      </c>
      <c r="V69" s="399" t="s">
        <v>1634</v>
      </c>
      <c r="W69" s="398" t="s">
        <v>1635</v>
      </c>
      <c r="X69" s="399" t="s">
        <v>1636</v>
      </c>
      <c r="Y69" s="398" t="s">
        <v>1637</v>
      </c>
      <c r="Z69" s="399" t="s">
        <v>1638</v>
      </c>
      <c r="AA69" s="398" t="s">
        <v>1639</v>
      </c>
      <c r="AB69" s="399" t="s">
        <v>1640</v>
      </c>
      <c r="AC69" s="398" t="s">
        <v>1641</v>
      </c>
      <c r="AD69" s="399" t="s">
        <v>1642</v>
      </c>
      <c r="AE69" s="398" t="s">
        <v>1643</v>
      </c>
      <c r="AF69" s="399" t="s">
        <v>1644</v>
      </c>
      <c r="AG69" s="465" t="s">
        <v>1645</v>
      </c>
      <c r="AH69" s="407" t="s">
        <v>1646</v>
      </c>
      <c r="AI69" s="468" t="s">
        <v>1647</v>
      </c>
      <c r="AJ69" s="418" t="s">
        <v>1648</v>
      </c>
      <c r="AK69" s="468" t="s">
        <v>1649</v>
      </c>
      <c r="AL69" s="418" t="s">
        <v>1650</v>
      </c>
      <c r="AM69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9" s="191" t="str">
        <f t="shared" si="36"/>
        <v xml:space="preserve"> * La variable Pueblos Originarios Hombres no puede ser Mayor al Total Hombres.</v>
      </c>
      <c r="CC69" s="191" t="str">
        <f t="shared" si="37"/>
        <v xml:space="preserve"> * La variable Pueblos Originarios Mujeres no puede ser Mayor al Total Mujeres.</v>
      </c>
      <c r="CD69" s="191" t="str">
        <f t="shared" si="38"/>
        <v xml:space="preserve"> * La variable Migrantes Hombres no puede ser Mayor al Total Hombres.</v>
      </c>
      <c r="CE69" s="191" t="str">
        <f t="shared" si="39"/>
        <v xml:space="preserve"> * La variable Migrantes Mujeres no puede ser Mayor al Total Mujeres.</v>
      </c>
      <c r="DL69" s="1047">
        <f t="shared" si="31"/>
        <v>1</v>
      </c>
      <c r="DM69" s="1047">
        <f t="shared" si="32"/>
        <v>1</v>
      </c>
      <c r="DN69" s="1047">
        <f t="shared" si="33"/>
        <v>1</v>
      </c>
      <c r="DO69" s="1047">
        <f t="shared" si="34"/>
        <v>1</v>
      </c>
    </row>
    <row r="70" spans="1:119" ht="15" customHeight="1" x14ac:dyDescent="0.2">
      <c r="A70" s="1589" t="s">
        <v>1268</v>
      </c>
      <c r="B70" s="2029" t="s">
        <v>550</v>
      </c>
      <c r="C70" s="2030"/>
      <c r="D70" s="1142" t="s">
        <v>1616</v>
      </c>
      <c r="E70" s="387" t="s">
        <v>1617</v>
      </c>
      <c r="F70" s="454" t="s">
        <v>1618</v>
      </c>
      <c r="G70" s="417" t="s">
        <v>1619</v>
      </c>
      <c r="H70" s="418" t="s">
        <v>1620</v>
      </c>
      <c r="I70" s="417" t="s">
        <v>1621</v>
      </c>
      <c r="J70" s="418" t="s">
        <v>1622</v>
      </c>
      <c r="K70" s="417" t="s">
        <v>1623</v>
      </c>
      <c r="L70" s="418" t="s">
        <v>1624</v>
      </c>
      <c r="M70" s="417" t="s">
        <v>1625</v>
      </c>
      <c r="N70" s="418" t="s">
        <v>1626</v>
      </c>
      <c r="O70" s="417" t="s">
        <v>1627</v>
      </c>
      <c r="P70" s="418" t="s">
        <v>1628</v>
      </c>
      <c r="Q70" s="417" t="s">
        <v>1629</v>
      </c>
      <c r="R70" s="418" t="s">
        <v>1630</v>
      </c>
      <c r="S70" s="417" t="s">
        <v>1631</v>
      </c>
      <c r="T70" s="418" t="s">
        <v>1632</v>
      </c>
      <c r="U70" s="417" t="s">
        <v>1633</v>
      </c>
      <c r="V70" s="418" t="s">
        <v>1634</v>
      </c>
      <c r="W70" s="417" t="s">
        <v>1635</v>
      </c>
      <c r="X70" s="418" t="s">
        <v>1636</v>
      </c>
      <c r="Y70" s="417" t="s">
        <v>1637</v>
      </c>
      <c r="Z70" s="418" t="s">
        <v>1638</v>
      </c>
      <c r="AA70" s="417" t="s">
        <v>1639</v>
      </c>
      <c r="AB70" s="418" t="s">
        <v>1640</v>
      </c>
      <c r="AC70" s="417" t="s">
        <v>1641</v>
      </c>
      <c r="AD70" s="418" t="s">
        <v>1642</v>
      </c>
      <c r="AE70" s="417" t="s">
        <v>1643</v>
      </c>
      <c r="AF70" s="418" t="s">
        <v>1644</v>
      </c>
      <c r="AG70" s="468" t="s">
        <v>1645</v>
      </c>
      <c r="AH70" s="419" t="s">
        <v>1646</v>
      </c>
      <c r="AI70" s="468" t="s">
        <v>1647</v>
      </c>
      <c r="AJ70" s="418" t="s">
        <v>1648</v>
      </c>
      <c r="AK70" s="468" t="s">
        <v>1649</v>
      </c>
      <c r="AL70" s="418" t="s">
        <v>1650</v>
      </c>
      <c r="AM70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0" s="191" t="str">
        <f t="shared" si="36"/>
        <v xml:space="preserve"> * La variable Pueblos Originarios Hombres no puede ser Mayor al Total Hombres.</v>
      </c>
      <c r="CC70" s="191" t="str">
        <f t="shared" si="37"/>
        <v xml:space="preserve"> * La variable Pueblos Originarios Mujeres no puede ser Mayor al Total Mujeres.</v>
      </c>
      <c r="CD70" s="191" t="str">
        <f t="shared" si="38"/>
        <v xml:space="preserve"> * La variable Migrantes Hombres no puede ser Mayor al Total Hombres.</v>
      </c>
      <c r="CE70" s="191" t="str">
        <f t="shared" si="39"/>
        <v xml:space="preserve"> * La variable Migrantes Mujeres no puede ser Mayor al Total Mujeres.</v>
      </c>
      <c r="DL70" s="1047">
        <f t="shared" si="31"/>
        <v>1</v>
      </c>
      <c r="DM70" s="1047">
        <f t="shared" si="32"/>
        <v>1</v>
      </c>
      <c r="DN70" s="1047">
        <f t="shared" si="33"/>
        <v>1</v>
      </c>
      <c r="DO70" s="1047">
        <f t="shared" si="34"/>
        <v>1</v>
      </c>
    </row>
    <row r="71" spans="1:119" ht="15" customHeight="1" x14ac:dyDescent="0.2">
      <c r="A71" s="1589" t="s">
        <v>1269</v>
      </c>
      <c r="B71" s="2069" t="s">
        <v>551</v>
      </c>
      <c r="C71" s="2070"/>
      <c r="D71" s="1142" t="s">
        <v>1616</v>
      </c>
      <c r="E71" s="387" t="s">
        <v>1617</v>
      </c>
      <c r="F71" s="444" t="s">
        <v>1618</v>
      </c>
      <c r="G71" s="417" t="s">
        <v>1619</v>
      </c>
      <c r="H71" s="418" t="s">
        <v>1620</v>
      </c>
      <c r="I71" s="417" t="s">
        <v>1621</v>
      </c>
      <c r="J71" s="418" t="s">
        <v>1622</v>
      </c>
      <c r="K71" s="417" t="s">
        <v>1623</v>
      </c>
      <c r="L71" s="418" t="s">
        <v>1624</v>
      </c>
      <c r="M71" s="417" t="s">
        <v>1625</v>
      </c>
      <c r="N71" s="418" t="s">
        <v>1626</v>
      </c>
      <c r="O71" s="417" t="s">
        <v>1627</v>
      </c>
      <c r="P71" s="418" t="s">
        <v>1628</v>
      </c>
      <c r="Q71" s="417" t="s">
        <v>1629</v>
      </c>
      <c r="R71" s="418" t="s">
        <v>1630</v>
      </c>
      <c r="S71" s="417" t="s">
        <v>1631</v>
      </c>
      <c r="T71" s="418" t="s">
        <v>1632</v>
      </c>
      <c r="U71" s="417" t="s">
        <v>1633</v>
      </c>
      <c r="V71" s="418" t="s">
        <v>1634</v>
      </c>
      <c r="W71" s="417" t="s">
        <v>1635</v>
      </c>
      <c r="X71" s="418" t="s">
        <v>1636</v>
      </c>
      <c r="Y71" s="417" t="s">
        <v>1637</v>
      </c>
      <c r="Z71" s="418" t="s">
        <v>1638</v>
      </c>
      <c r="AA71" s="417" t="s">
        <v>1639</v>
      </c>
      <c r="AB71" s="418" t="s">
        <v>1640</v>
      </c>
      <c r="AC71" s="417" t="s">
        <v>1641</v>
      </c>
      <c r="AD71" s="418" t="s">
        <v>1642</v>
      </c>
      <c r="AE71" s="417" t="s">
        <v>1643</v>
      </c>
      <c r="AF71" s="418" t="s">
        <v>1644</v>
      </c>
      <c r="AG71" s="468" t="s">
        <v>1645</v>
      </c>
      <c r="AH71" s="419" t="s">
        <v>1646</v>
      </c>
      <c r="AI71" s="468" t="s">
        <v>1647</v>
      </c>
      <c r="AJ71" s="418" t="s">
        <v>1648</v>
      </c>
      <c r="AK71" s="468" t="s">
        <v>1649</v>
      </c>
      <c r="AL71" s="418" t="s">
        <v>1650</v>
      </c>
      <c r="AM71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1" s="191" t="str">
        <f t="shared" si="36"/>
        <v xml:space="preserve"> * La variable Pueblos Originarios Hombres no puede ser Mayor al Total Hombres.</v>
      </c>
      <c r="CC71" s="191" t="str">
        <f t="shared" si="37"/>
        <v xml:space="preserve"> * La variable Pueblos Originarios Mujeres no puede ser Mayor al Total Mujeres.</v>
      </c>
      <c r="CD71" s="191" t="str">
        <f t="shared" si="38"/>
        <v xml:space="preserve"> * La variable Migrantes Hombres no puede ser Mayor al Total Hombres.</v>
      </c>
      <c r="CE71" s="191" t="str">
        <f t="shared" si="39"/>
        <v xml:space="preserve"> * La variable Migrantes Mujeres no puede ser Mayor al Total Mujeres.</v>
      </c>
      <c r="DL71" s="1047">
        <f t="shared" si="31"/>
        <v>1</v>
      </c>
      <c r="DM71" s="1047">
        <f t="shared" si="32"/>
        <v>1</v>
      </c>
      <c r="DN71" s="1047">
        <f t="shared" si="33"/>
        <v>1</v>
      </c>
      <c r="DO71" s="1047">
        <f t="shared" si="34"/>
        <v>1</v>
      </c>
    </row>
    <row r="72" spans="1:119" ht="15" customHeight="1" x14ac:dyDescent="0.2">
      <c r="A72" s="1589" t="s">
        <v>1270</v>
      </c>
      <c r="B72" s="2069" t="s">
        <v>552</v>
      </c>
      <c r="C72" s="2070"/>
      <c r="D72" s="1142" t="s">
        <v>1616</v>
      </c>
      <c r="E72" s="387" t="s">
        <v>1617</v>
      </c>
      <c r="F72" s="444" t="s">
        <v>1618</v>
      </c>
      <c r="G72" s="398" t="s">
        <v>1619</v>
      </c>
      <c r="H72" s="533" t="s">
        <v>1620</v>
      </c>
      <c r="I72" s="398" t="s">
        <v>1621</v>
      </c>
      <c r="J72" s="399" t="s">
        <v>1622</v>
      </c>
      <c r="K72" s="465" t="s">
        <v>1623</v>
      </c>
      <c r="L72" s="399" t="s">
        <v>1624</v>
      </c>
      <c r="M72" s="465" t="s">
        <v>1625</v>
      </c>
      <c r="N72" s="399" t="s">
        <v>1626</v>
      </c>
      <c r="O72" s="465" t="s">
        <v>1627</v>
      </c>
      <c r="P72" s="399" t="s">
        <v>1628</v>
      </c>
      <c r="Q72" s="465" t="s">
        <v>1629</v>
      </c>
      <c r="R72" s="399" t="s">
        <v>1630</v>
      </c>
      <c r="S72" s="465" t="s">
        <v>1631</v>
      </c>
      <c r="T72" s="399" t="s">
        <v>1632</v>
      </c>
      <c r="U72" s="398" t="s">
        <v>1633</v>
      </c>
      <c r="V72" s="399" t="s">
        <v>1634</v>
      </c>
      <c r="W72" s="398" t="s">
        <v>1635</v>
      </c>
      <c r="X72" s="399" t="s">
        <v>1636</v>
      </c>
      <c r="Y72" s="398" t="s">
        <v>1637</v>
      </c>
      <c r="Z72" s="399" t="s">
        <v>1638</v>
      </c>
      <c r="AA72" s="398" t="s">
        <v>1639</v>
      </c>
      <c r="AB72" s="399" t="s">
        <v>1640</v>
      </c>
      <c r="AC72" s="398" t="s">
        <v>1641</v>
      </c>
      <c r="AD72" s="399" t="s">
        <v>1642</v>
      </c>
      <c r="AE72" s="398" t="s">
        <v>1643</v>
      </c>
      <c r="AF72" s="399" t="s">
        <v>1644</v>
      </c>
      <c r="AG72" s="465" t="s">
        <v>1645</v>
      </c>
      <c r="AH72" s="882" t="s">
        <v>1646</v>
      </c>
      <c r="AI72" s="465" t="s">
        <v>1647</v>
      </c>
      <c r="AJ72" s="399" t="s">
        <v>1648</v>
      </c>
      <c r="AK72" s="465" t="s">
        <v>1649</v>
      </c>
      <c r="AL72" s="399" t="s">
        <v>1650</v>
      </c>
      <c r="AM72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2" s="191" t="str">
        <f t="shared" si="36"/>
        <v xml:space="preserve"> * La variable Pueblos Originarios Hombres no puede ser Mayor al Total Hombres.</v>
      </c>
      <c r="CC72" s="191" t="str">
        <f t="shared" si="37"/>
        <v xml:space="preserve"> * La variable Pueblos Originarios Mujeres no puede ser Mayor al Total Mujeres.</v>
      </c>
      <c r="CD72" s="191" t="str">
        <f t="shared" si="38"/>
        <v xml:space="preserve"> * La variable Migrantes Hombres no puede ser Mayor al Total Hombres.</v>
      </c>
      <c r="CE72" s="191" t="str">
        <f t="shared" si="39"/>
        <v xml:space="preserve"> * La variable Migrantes Mujeres no puede ser Mayor al Total Mujeres.</v>
      </c>
      <c r="DL72" s="1047">
        <f t="shared" si="31"/>
        <v>1</v>
      </c>
      <c r="DM72" s="1047">
        <f t="shared" si="32"/>
        <v>1</v>
      </c>
      <c r="DN72" s="1047">
        <f t="shared" si="33"/>
        <v>1</v>
      </c>
      <c r="DO72" s="1047">
        <f t="shared" si="34"/>
        <v>1</v>
      </c>
    </row>
    <row r="73" spans="1:119" ht="15" customHeight="1" x14ac:dyDescent="0.2">
      <c r="A73" s="1589" t="s">
        <v>1271</v>
      </c>
      <c r="B73" s="2071" t="s">
        <v>553</v>
      </c>
      <c r="C73" s="2072"/>
      <c r="D73" s="1143" t="s">
        <v>1616</v>
      </c>
      <c r="E73" s="391" t="s">
        <v>1617</v>
      </c>
      <c r="F73" s="878" t="s">
        <v>1618</v>
      </c>
      <c r="G73" s="413" t="s">
        <v>1619</v>
      </c>
      <c r="H73" s="542" t="s">
        <v>1620</v>
      </c>
      <c r="I73" s="413" t="s">
        <v>1621</v>
      </c>
      <c r="J73" s="414" t="s">
        <v>1622</v>
      </c>
      <c r="K73" s="463" t="s">
        <v>1623</v>
      </c>
      <c r="L73" s="414" t="s">
        <v>1624</v>
      </c>
      <c r="M73" s="463" t="s">
        <v>1625</v>
      </c>
      <c r="N73" s="414" t="s">
        <v>1626</v>
      </c>
      <c r="O73" s="463" t="s">
        <v>1627</v>
      </c>
      <c r="P73" s="414" t="s">
        <v>1628</v>
      </c>
      <c r="Q73" s="463" t="s">
        <v>1629</v>
      </c>
      <c r="R73" s="414" t="s">
        <v>1630</v>
      </c>
      <c r="S73" s="463" t="s">
        <v>1631</v>
      </c>
      <c r="T73" s="414" t="s">
        <v>1632</v>
      </c>
      <c r="U73" s="463" t="s">
        <v>1633</v>
      </c>
      <c r="V73" s="414" t="s">
        <v>1634</v>
      </c>
      <c r="W73" s="463" t="s">
        <v>1635</v>
      </c>
      <c r="X73" s="414" t="s">
        <v>1636</v>
      </c>
      <c r="Y73" s="463" t="s">
        <v>1637</v>
      </c>
      <c r="Z73" s="414" t="s">
        <v>1638</v>
      </c>
      <c r="AA73" s="463" t="s">
        <v>1639</v>
      </c>
      <c r="AB73" s="414" t="s">
        <v>1640</v>
      </c>
      <c r="AC73" s="463" t="s">
        <v>1641</v>
      </c>
      <c r="AD73" s="414" t="s">
        <v>1642</v>
      </c>
      <c r="AE73" s="463" t="s">
        <v>1643</v>
      </c>
      <c r="AF73" s="414" t="s">
        <v>1644</v>
      </c>
      <c r="AG73" s="463" t="s">
        <v>1645</v>
      </c>
      <c r="AH73" s="881" t="s">
        <v>1646</v>
      </c>
      <c r="AI73" s="463" t="s">
        <v>1647</v>
      </c>
      <c r="AJ73" s="414" t="s">
        <v>1648</v>
      </c>
      <c r="AK73" s="463" t="s">
        <v>1649</v>
      </c>
      <c r="AL73" s="414" t="s">
        <v>1650</v>
      </c>
      <c r="AM73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3" s="191" t="str">
        <f t="shared" si="36"/>
        <v xml:space="preserve"> * La variable Pueblos Originarios Hombres no puede ser Mayor al Total Hombres.</v>
      </c>
      <c r="CC73" s="191" t="str">
        <f t="shared" si="37"/>
        <v xml:space="preserve"> * La variable Pueblos Originarios Mujeres no puede ser Mayor al Total Mujeres.</v>
      </c>
      <c r="CD73" s="191" t="str">
        <f t="shared" si="38"/>
        <v xml:space="preserve"> * La variable Migrantes Hombres no puede ser Mayor al Total Hombres.</v>
      </c>
      <c r="CE73" s="191" t="str">
        <f t="shared" si="39"/>
        <v xml:space="preserve"> * La variable Migrantes Mujeres no puede ser Mayor al Total Mujeres.</v>
      </c>
      <c r="DL73" s="1047">
        <f t="shared" si="31"/>
        <v>1</v>
      </c>
      <c r="DM73" s="1047">
        <f t="shared" si="32"/>
        <v>1</v>
      </c>
      <c r="DN73" s="1047">
        <f t="shared" si="33"/>
        <v>1</v>
      </c>
      <c r="DO73" s="1047">
        <f t="shared" si="34"/>
        <v>1</v>
      </c>
    </row>
    <row r="74" spans="1:119" ht="15" customHeight="1" x14ac:dyDescent="0.15">
      <c r="A74" s="1578"/>
      <c r="B74" s="1379" t="s">
        <v>554</v>
      </c>
      <c r="C74" s="611"/>
      <c r="D74" s="2059"/>
      <c r="E74" s="2059"/>
      <c r="F74" s="2059"/>
      <c r="G74" s="2059"/>
      <c r="H74" s="2059"/>
      <c r="I74" s="2059"/>
      <c r="J74" s="2059"/>
      <c r="K74" s="2059"/>
      <c r="L74" s="2059"/>
      <c r="M74" s="2059"/>
      <c r="N74" s="2059"/>
      <c r="O74" s="2059"/>
      <c r="P74" s="2059"/>
      <c r="Q74" s="2059"/>
      <c r="R74" s="2059"/>
      <c r="S74" s="2059"/>
      <c r="T74" s="2059"/>
      <c r="U74" s="2059"/>
      <c r="V74" s="2059"/>
      <c r="W74" s="2059"/>
      <c r="X74" s="2059"/>
      <c r="Y74" s="2059"/>
      <c r="Z74" s="2059"/>
      <c r="AA74" s="2059"/>
      <c r="AB74" s="2059"/>
      <c r="AC74" s="2059"/>
      <c r="AD74" s="2059"/>
      <c r="AE74" s="2059"/>
      <c r="AF74" s="2059"/>
      <c r="AG74" s="2059"/>
      <c r="AH74" s="2059"/>
      <c r="AI74" s="2059"/>
      <c r="AJ74" s="2059"/>
      <c r="AK74" s="2059"/>
      <c r="AL74" s="2060"/>
    </row>
    <row r="75" spans="1:119" ht="15" customHeight="1" x14ac:dyDescent="0.2">
      <c r="A75" s="1589" t="s">
        <v>1272</v>
      </c>
      <c r="B75" s="2025" t="s">
        <v>527</v>
      </c>
      <c r="C75" s="2026"/>
      <c r="D75" s="1145" t="s">
        <v>1616</v>
      </c>
      <c r="E75" s="387" t="s">
        <v>1617</v>
      </c>
      <c r="F75" s="454" t="s">
        <v>1618</v>
      </c>
      <c r="G75" s="394" t="s">
        <v>1619</v>
      </c>
      <c r="H75" s="395" t="s">
        <v>1620</v>
      </c>
      <c r="I75" s="417" t="s">
        <v>1621</v>
      </c>
      <c r="J75" s="418" t="s">
        <v>1622</v>
      </c>
      <c r="K75" s="417" t="s">
        <v>1623</v>
      </c>
      <c r="L75" s="418" t="s">
        <v>1624</v>
      </c>
      <c r="M75" s="417" t="s">
        <v>1625</v>
      </c>
      <c r="N75" s="418" t="s">
        <v>1626</v>
      </c>
      <c r="O75" s="417" t="s">
        <v>1627</v>
      </c>
      <c r="P75" s="418" t="s">
        <v>1628</v>
      </c>
      <c r="Q75" s="417" t="s">
        <v>1629</v>
      </c>
      <c r="R75" s="418" t="s">
        <v>1630</v>
      </c>
      <c r="S75" s="417" t="s">
        <v>1631</v>
      </c>
      <c r="T75" s="418" t="s">
        <v>1632</v>
      </c>
      <c r="U75" s="417" t="s">
        <v>1633</v>
      </c>
      <c r="V75" s="418" t="s">
        <v>1634</v>
      </c>
      <c r="W75" s="417" t="s">
        <v>1635</v>
      </c>
      <c r="X75" s="418" t="s">
        <v>1636</v>
      </c>
      <c r="Y75" s="417" t="s">
        <v>1637</v>
      </c>
      <c r="Z75" s="418" t="s">
        <v>1638</v>
      </c>
      <c r="AA75" s="417" t="s">
        <v>1639</v>
      </c>
      <c r="AB75" s="418" t="s">
        <v>1640</v>
      </c>
      <c r="AC75" s="417" t="s">
        <v>1641</v>
      </c>
      <c r="AD75" s="418" t="s">
        <v>1642</v>
      </c>
      <c r="AE75" s="417" t="s">
        <v>1643</v>
      </c>
      <c r="AF75" s="418" t="s">
        <v>1644</v>
      </c>
      <c r="AG75" s="468" t="s">
        <v>1645</v>
      </c>
      <c r="AH75" s="419" t="s">
        <v>1646</v>
      </c>
      <c r="AI75" s="468" t="s">
        <v>1647</v>
      </c>
      <c r="AJ75" s="418" t="s">
        <v>1648</v>
      </c>
      <c r="AK75" s="468" t="s">
        <v>1649</v>
      </c>
      <c r="AL75" s="418" t="s">
        <v>1650</v>
      </c>
      <c r="AM75" s="108" t="str">
        <f>CB75&amp;CC75&amp;CD75&amp;CE75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5" s="191" t="str">
        <f t="shared" ref="CB75:CB80" si="40">IF(AND(E75&gt;0,OR(AI75=""))," * No olvide digitar la variable Pueblos Originarios Hombres. Digite Cero si no tiene.",IF(AI75&gt;E75," * La variable Pueblos Originarios Hombres no puede ser Mayor al Total Hombres.",""))</f>
        <v xml:space="preserve"> * La variable Pueblos Originarios Hombres no puede ser Mayor al Total Hombres.</v>
      </c>
      <c r="CC75" s="191" t="str">
        <f t="shared" ref="CC75:CC80" si="41">IF(AND(F75&gt;0,OR(AJ75=""))," * No olvide digitar la variable Pueblos Originarios Mujeres. Digite Cero si no tiene.",IF(AJ75&gt;F75," * La variable Pueblos Originarios Mujeres no puede ser Mayor al Total Mujeres.",""))</f>
        <v xml:space="preserve"> * La variable Pueblos Originarios Mujeres no puede ser Mayor al Total Mujeres.</v>
      </c>
      <c r="CD75" s="191" t="str">
        <f t="shared" ref="CD75:CD80" si="42">IF(AND($E75&gt;0,OR(AK75=""))," * No olvide digitar la variable Migrantes Hombres. Digite Cero si no tiene.",IF(AK75&gt;$E75," * La variable Migrantes Hombres no puede ser Mayor al Total Hombres.",""))</f>
        <v xml:space="preserve"> * La variable Migrantes Hombres no puede ser Mayor al Total Hombres.</v>
      </c>
      <c r="CE75" s="191" t="str">
        <f t="shared" ref="CE75:CE80" si="43">IF(AND(F75&gt;0,OR(AL75=""))," * No olvide digitar la variable Migrantes Mujeres. Digite Cero si no tiene.",IF(AL75&gt;F75," * La variable Migrantes Mujeres no puede ser Mayor al Total Mujeres.",""))</f>
        <v xml:space="preserve"> * La variable Migrantes Mujeres no puede ser Mayor al Total Mujeres.</v>
      </c>
      <c r="DL75" s="1047">
        <f t="shared" si="31"/>
        <v>1</v>
      </c>
      <c r="DM75" s="1047">
        <f t="shared" si="32"/>
        <v>1</v>
      </c>
      <c r="DN75" s="1047">
        <f t="shared" si="33"/>
        <v>1</v>
      </c>
      <c r="DO75" s="1047">
        <f t="shared" si="34"/>
        <v>1</v>
      </c>
    </row>
    <row r="76" spans="1:119" ht="15" customHeight="1" x14ac:dyDescent="0.2">
      <c r="A76" s="1589" t="s">
        <v>1273</v>
      </c>
      <c r="B76" s="2009" t="s">
        <v>555</v>
      </c>
      <c r="C76" s="2010"/>
      <c r="D76" s="1142" t="s">
        <v>1616</v>
      </c>
      <c r="E76" s="387" t="s">
        <v>1617</v>
      </c>
      <c r="F76" s="454" t="s">
        <v>1618</v>
      </c>
      <c r="G76" s="417" t="s">
        <v>1619</v>
      </c>
      <c r="H76" s="418" t="s">
        <v>1620</v>
      </c>
      <c r="I76" s="417" t="s">
        <v>1621</v>
      </c>
      <c r="J76" s="418" t="s">
        <v>1622</v>
      </c>
      <c r="K76" s="417" t="s">
        <v>1623</v>
      </c>
      <c r="L76" s="418" t="s">
        <v>1624</v>
      </c>
      <c r="M76" s="417" t="s">
        <v>1625</v>
      </c>
      <c r="N76" s="418" t="s">
        <v>1626</v>
      </c>
      <c r="O76" s="417" t="s">
        <v>1627</v>
      </c>
      <c r="P76" s="418" t="s">
        <v>1628</v>
      </c>
      <c r="Q76" s="417" t="s">
        <v>1629</v>
      </c>
      <c r="R76" s="418" t="s">
        <v>1630</v>
      </c>
      <c r="S76" s="417" t="s">
        <v>1631</v>
      </c>
      <c r="T76" s="418" t="s">
        <v>1632</v>
      </c>
      <c r="U76" s="417" t="s">
        <v>1633</v>
      </c>
      <c r="V76" s="418" t="s">
        <v>1634</v>
      </c>
      <c r="W76" s="417" t="s">
        <v>1635</v>
      </c>
      <c r="X76" s="418" t="s">
        <v>1636</v>
      </c>
      <c r="Y76" s="417" t="s">
        <v>1637</v>
      </c>
      <c r="Z76" s="418" t="s">
        <v>1638</v>
      </c>
      <c r="AA76" s="417" t="s">
        <v>1639</v>
      </c>
      <c r="AB76" s="418" t="s">
        <v>1640</v>
      </c>
      <c r="AC76" s="417" t="s">
        <v>1641</v>
      </c>
      <c r="AD76" s="418" t="s">
        <v>1642</v>
      </c>
      <c r="AE76" s="417" t="s">
        <v>1643</v>
      </c>
      <c r="AF76" s="418" t="s">
        <v>1644</v>
      </c>
      <c r="AG76" s="468" t="s">
        <v>1645</v>
      </c>
      <c r="AH76" s="419" t="s">
        <v>1646</v>
      </c>
      <c r="AI76" s="468" t="s">
        <v>1647</v>
      </c>
      <c r="AJ76" s="418" t="s">
        <v>1648</v>
      </c>
      <c r="AK76" s="468" t="s">
        <v>1649</v>
      </c>
      <c r="AL76" s="418" t="s">
        <v>1650</v>
      </c>
      <c r="AM76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6" s="191" t="str">
        <f t="shared" si="40"/>
        <v xml:space="preserve"> * La variable Pueblos Originarios Hombres no puede ser Mayor al Total Hombres.</v>
      </c>
      <c r="CC76" s="191" t="str">
        <f t="shared" si="41"/>
        <v xml:space="preserve"> * La variable Pueblos Originarios Mujeres no puede ser Mayor al Total Mujeres.</v>
      </c>
      <c r="CD76" s="191" t="str">
        <f t="shared" si="42"/>
        <v xml:space="preserve"> * La variable Migrantes Hombres no puede ser Mayor al Total Hombres.</v>
      </c>
      <c r="CE76" s="191" t="str">
        <f t="shared" si="43"/>
        <v xml:space="preserve"> * La variable Migrantes Mujeres no puede ser Mayor al Total Mujeres.</v>
      </c>
      <c r="DL76" s="1047">
        <f t="shared" si="31"/>
        <v>1</v>
      </c>
      <c r="DM76" s="1047">
        <f t="shared" si="32"/>
        <v>1</v>
      </c>
      <c r="DN76" s="1047">
        <f t="shared" si="33"/>
        <v>1</v>
      </c>
      <c r="DO76" s="1047">
        <f t="shared" si="34"/>
        <v>1</v>
      </c>
    </row>
    <row r="77" spans="1:119" ht="15" customHeight="1" x14ac:dyDescent="0.2">
      <c r="A77" s="1589" t="s">
        <v>1274</v>
      </c>
      <c r="B77" s="2009" t="s">
        <v>529</v>
      </c>
      <c r="C77" s="2010"/>
      <c r="D77" s="1142" t="s">
        <v>1616</v>
      </c>
      <c r="E77" s="387" t="s">
        <v>1617</v>
      </c>
      <c r="F77" s="454" t="s">
        <v>1618</v>
      </c>
      <c r="G77" s="417" t="s">
        <v>1619</v>
      </c>
      <c r="H77" s="418" t="s">
        <v>1620</v>
      </c>
      <c r="I77" s="417" t="s">
        <v>1621</v>
      </c>
      <c r="J77" s="418" t="s">
        <v>1622</v>
      </c>
      <c r="K77" s="417" t="s">
        <v>1623</v>
      </c>
      <c r="L77" s="418" t="s">
        <v>1624</v>
      </c>
      <c r="M77" s="417" t="s">
        <v>1625</v>
      </c>
      <c r="N77" s="418" t="s">
        <v>1626</v>
      </c>
      <c r="O77" s="417" t="s">
        <v>1627</v>
      </c>
      <c r="P77" s="418" t="s">
        <v>1628</v>
      </c>
      <c r="Q77" s="417" t="s">
        <v>1629</v>
      </c>
      <c r="R77" s="418" t="s">
        <v>1630</v>
      </c>
      <c r="S77" s="417" t="s">
        <v>1631</v>
      </c>
      <c r="T77" s="418" t="s">
        <v>1632</v>
      </c>
      <c r="U77" s="417" t="s">
        <v>1633</v>
      </c>
      <c r="V77" s="418" t="s">
        <v>1634</v>
      </c>
      <c r="W77" s="417" t="s">
        <v>1635</v>
      </c>
      <c r="X77" s="418" t="s">
        <v>1636</v>
      </c>
      <c r="Y77" s="417" t="s">
        <v>1637</v>
      </c>
      <c r="Z77" s="418" t="s">
        <v>1638</v>
      </c>
      <c r="AA77" s="417" t="s">
        <v>1639</v>
      </c>
      <c r="AB77" s="418" t="s">
        <v>1640</v>
      </c>
      <c r="AC77" s="417" t="s">
        <v>1641</v>
      </c>
      <c r="AD77" s="418" t="s">
        <v>1642</v>
      </c>
      <c r="AE77" s="417" t="s">
        <v>1643</v>
      </c>
      <c r="AF77" s="418" t="s">
        <v>1644</v>
      </c>
      <c r="AG77" s="468" t="s">
        <v>1645</v>
      </c>
      <c r="AH77" s="419" t="s">
        <v>1646</v>
      </c>
      <c r="AI77" s="468" t="s">
        <v>1647</v>
      </c>
      <c r="AJ77" s="418" t="s">
        <v>1648</v>
      </c>
      <c r="AK77" s="468" t="s">
        <v>1649</v>
      </c>
      <c r="AL77" s="418" t="s">
        <v>1650</v>
      </c>
      <c r="AM77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7" s="191" t="str">
        <f t="shared" si="40"/>
        <v xml:space="preserve"> * La variable Pueblos Originarios Hombres no puede ser Mayor al Total Hombres.</v>
      </c>
      <c r="CC77" s="191" t="str">
        <f t="shared" si="41"/>
        <v xml:space="preserve"> * La variable Pueblos Originarios Mujeres no puede ser Mayor al Total Mujeres.</v>
      </c>
      <c r="CD77" s="191" t="str">
        <f t="shared" si="42"/>
        <v xml:space="preserve"> * La variable Migrantes Hombres no puede ser Mayor al Total Hombres.</v>
      </c>
      <c r="CE77" s="191" t="str">
        <f t="shared" si="43"/>
        <v xml:space="preserve"> * La variable Migrantes Mujeres no puede ser Mayor al Total Mujeres.</v>
      </c>
      <c r="DL77" s="1047">
        <f t="shared" si="31"/>
        <v>1</v>
      </c>
      <c r="DM77" s="1047">
        <f t="shared" si="32"/>
        <v>1</v>
      </c>
      <c r="DN77" s="1047">
        <f t="shared" si="33"/>
        <v>1</v>
      </c>
      <c r="DO77" s="1047">
        <f t="shared" si="34"/>
        <v>1</v>
      </c>
    </row>
    <row r="78" spans="1:119" ht="15" customHeight="1" x14ac:dyDescent="0.2">
      <c r="A78" s="1589" t="s">
        <v>1275</v>
      </c>
      <c r="B78" s="2018" t="s">
        <v>556</v>
      </c>
      <c r="C78" s="2019"/>
      <c r="D78" s="1147" t="s">
        <v>1616</v>
      </c>
      <c r="E78" s="397" t="s">
        <v>1617</v>
      </c>
      <c r="F78" s="448" t="s">
        <v>1618</v>
      </c>
      <c r="G78" s="398" t="s">
        <v>1619</v>
      </c>
      <c r="H78" s="399" t="s">
        <v>1620</v>
      </c>
      <c r="I78" s="398" t="s">
        <v>1621</v>
      </c>
      <c r="J78" s="399" t="s">
        <v>1622</v>
      </c>
      <c r="K78" s="398" t="s">
        <v>1623</v>
      </c>
      <c r="L78" s="399" t="s">
        <v>1624</v>
      </c>
      <c r="M78" s="398" t="s">
        <v>1625</v>
      </c>
      <c r="N78" s="399" t="s">
        <v>1626</v>
      </c>
      <c r="O78" s="398" t="s">
        <v>1627</v>
      </c>
      <c r="P78" s="399" t="s">
        <v>1628</v>
      </c>
      <c r="Q78" s="398" t="s">
        <v>1629</v>
      </c>
      <c r="R78" s="399" t="s">
        <v>1630</v>
      </c>
      <c r="S78" s="398" t="s">
        <v>1631</v>
      </c>
      <c r="T78" s="399" t="s">
        <v>1632</v>
      </c>
      <c r="U78" s="398" t="s">
        <v>1633</v>
      </c>
      <c r="V78" s="399" t="s">
        <v>1634</v>
      </c>
      <c r="W78" s="398" t="s">
        <v>1635</v>
      </c>
      <c r="X78" s="399" t="s">
        <v>1636</v>
      </c>
      <c r="Y78" s="398" t="s">
        <v>1637</v>
      </c>
      <c r="Z78" s="399" t="s">
        <v>1638</v>
      </c>
      <c r="AA78" s="398" t="s">
        <v>1639</v>
      </c>
      <c r="AB78" s="399" t="s">
        <v>1640</v>
      </c>
      <c r="AC78" s="398" t="s">
        <v>1641</v>
      </c>
      <c r="AD78" s="399" t="s">
        <v>1642</v>
      </c>
      <c r="AE78" s="398" t="s">
        <v>1643</v>
      </c>
      <c r="AF78" s="399" t="s">
        <v>1644</v>
      </c>
      <c r="AG78" s="465" t="s">
        <v>1645</v>
      </c>
      <c r="AH78" s="407" t="s">
        <v>1646</v>
      </c>
      <c r="AI78" s="468" t="s">
        <v>1647</v>
      </c>
      <c r="AJ78" s="418" t="s">
        <v>1648</v>
      </c>
      <c r="AK78" s="468" t="s">
        <v>1649</v>
      </c>
      <c r="AL78" s="418" t="s">
        <v>1650</v>
      </c>
      <c r="AM78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8" s="191" t="str">
        <f t="shared" si="40"/>
        <v xml:space="preserve"> * La variable Pueblos Originarios Hombres no puede ser Mayor al Total Hombres.</v>
      </c>
      <c r="CC78" s="191" t="str">
        <f t="shared" si="41"/>
        <v xml:space="preserve"> * La variable Pueblos Originarios Mujeres no puede ser Mayor al Total Mujeres.</v>
      </c>
      <c r="CD78" s="191" t="str">
        <f t="shared" si="42"/>
        <v xml:space="preserve"> * La variable Migrantes Hombres no puede ser Mayor al Total Hombres.</v>
      </c>
      <c r="CE78" s="191" t="str">
        <f t="shared" si="43"/>
        <v xml:space="preserve"> * La variable Migrantes Mujeres no puede ser Mayor al Total Mujeres.</v>
      </c>
      <c r="DL78" s="1047">
        <f t="shared" si="31"/>
        <v>1</v>
      </c>
      <c r="DM78" s="1047">
        <f t="shared" si="32"/>
        <v>1</v>
      </c>
      <c r="DN78" s="1047">
        <f t="shared" si="33"/>
        <v>1</v>
      </c>
      <c r="DO78" s="1047">
        <f t="shared" si="34"/>
        <v>1</v>
      </c>
    </row>
    <row r="79" spans="1:119" ht="15" customHeight="1" x14ac:dyDescent="0.2">
      <c r="A79" s="1593" t="s">
        <v>1276</v>
      </c>
      <c r="B79" s="2055" t="s">
        <v>550</v>
      </c>
      <c r="C79" s="2056"/>
      <c r="D79" s="1147" t="s">
        <v>1616</v>
      </c>
      <c r="E79" s="397" t="s">
        <v>1617</v>
      </c>
      <c r="F79" s="444" t="s">
        <v>1618</v>
      </c>
      <c r="G79" s="398" t="s">
        <v>1619</v>
      </c>
      <c r="H79" s="533" t="s">
        <v>1620</v>
      </c>
      <c r="I79" s="398" t="s">
        <v>1621</v>
      </c>
      <c r="J79" s="533" t="s">
        <v>1622</v>
      </c>
      <c r="K79" s="398" t="s">
        <v>1623</v>
      </c>
      <c r="L79" s="533" t="s">
        <v>1624</v>
      </c>
      <c r="M79" s="398" t="s">
        <v>1625</v>
      </c>
      <c r="N79" s="533" t="s">
        <v>1626</v>
      </c>
      <c r="O79" s="398" t="s">
        <v>1627</v>
      </c>
      <c r="P79" s="533" t="s">
        <v>1628</v>
      </c>
      <c r="Q79" s="398" t="s">
        <v>1629</v>
      </c>
      <c r="R79" s="533" t="s">
        <v>1630</v>
      </c>
      <c r="S79" s="465" t="s">
        <v>1631</v>
      </c>
      <c r="T79" s="533" t="s">
        <v>1632</v>
      </c>
      <c r="U79" s="465" t="s">
        <v>1633</v>
      </c>
      <c r="V79" s="533" t="s">
        <v>1634</v>
      </c>
      <c r="W79" s="465" t="s">
        <v>1635</v>
      </c>
      <c r="X79" s="533" t="s">
        <v>1636</v>
      </c>
      <c r="Y79" s="465" t="s">
        <v>1637</v>
      </c>
      <c r="Z79" s="533" t="s">
        <v>1638</v>
      </c>
      <c r="AA79" s="465" t="s">
        <v>1639</v>
      </c>
      <c r="AB79" s="533" t="s">
        <v>1640</v>
      </c>
      <c r="AC79" s="465" t="s">
        <v>1641</v>
      </c>
      <c r="AD79" s="533" t="s">
        <v>1642</v>
      </c>
      <c r="AE79" s="465" t="s">
        <v>1643</v>
      </c>
      <c r="AF79" s="533" t="s">
        <v>1644</v>
      </c>
      <c r="AG79" s="465" t="s">
        <v>1645</v>
      </c>
      <c r="AH79" s="882" t="s">
        <v>1646</v>
      </c>
      <c r="AI79" s="465" t="s">
        <v>1647</v>
      </c>
      <c r="AJ79" s="533" t="s">
        <v>1648</v>
      </c>
      <c r="AK79" s="465" t="s">
        <v>1649</v>
      </c>
      <c r="AL79" s="533" t="s">
        <v>1650</v>
      </c>
      <c r="AM79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9" s="191" t="str">
        <f t="shared" si="40"/>
        <v xml:space="preserve"> * La variable Pueblos Originarios Hombres no puede ser Mayor al Total Hombres.</v>
      </c>
      <c r="CC79" s="191" t="str">
        <f t="shared" si="41"/>
        <v xml:space="preserve"> * La variable Pueblos Originarios Mujeres no puede ser Mayor al Total Mujeres.</v>
      </c>
      <c r="CD79" s="191" t="str">
        <f t="shared" si="42"/>
        <v xml:space="preserve"> * La variable Migrantes Hombres no puede ser Mayor al Total Hombres.</v>
      </c>
      <c r="CE79" s="191" t="str">
        <f t="shared" si="43"/>
        <v xml:space="preserve"> * La variable Migrantes Mujeres no puede ser Mayor al Total Mujeres.</v>
      </c>
      <c r="DL79" s="1047">
        <f t="shared" si="31"/>
        <v>1</v>
      </c>
      <c r="DM79" s="1047">
        <f t="shared" si="32"/>
        <v>1</v>
      </c>
      <c r="DN79" s="1047">
        <f t="shared" si="33"/>
        <v>1</v>
      </c>
      <c r="DO79" s="1047">
        <f t="shared" si="34"/>
        <v>1</v>
      </c>
    </row>
    <row r="80" spans="1:119" ht="15" customHeight="1" x14ac:dyDescent="0.2">
      <c r="A80" s="1589" t="s">
        <v>1277</v>
      </c>
      <c r="B80" s="2057" t="s">
        <v>557</v>
      </c>
      <c r="C80" s="2058"/>
      <c r="D80" s="1144" t="s">
        <v>1616</v>
      </c>
      <c r="E80" s="540" t="s">
        <v>1617</v>
      </c>
      <c r="F80" s="878" t="s">
        <v>1618</v>
      </c>
      <c r="G80" s="403" t="s">
        <v>1619</v>
      </c>
      <c r="H80" s="542" t="s">
        <v>1620</v>
      </c>
      <c r="I80" s="413" t="s">
        <v>1621</v>
      </c>
      <c r="J80" s="542" t="s">
        <v>1622</v>
      </c>
      <c r="K80" s="413" t="s">
        <v>1623</v>
      </c>
      <c r="L80" s="542" t="s">
        <v>1624</v>
      </c>
      <c r="M80" s="413" t="s">
        <v>1625</v>
      </c>
      <c r="N80" s="542" t="s">
        <v>1626</v>
      </c>
      <c r="O80" s="413" t="s">
        <v>1627</v>
      </c>
      <c r="P80" s="542" t="s">
        <v>1628</v>
      </c>
      <c r="Q80" s="413" t="s">
        <v>1629</v>
      </c>
      <c r="R80" s="542" t="s">
        <v>1630</v>
      </c>
      <c r="S80" s="463" t="s">
        <v>1631</v>
      </c>
      <c r="T80" s="542" t="s">
        <v>1632</v>
      </c>
      <c r="U80" s="463" t="s">
        <v>1633</v>
      </c>
      <c r="V80" s="542" t="s">
        <v>1634</v>
      </c>
      <c r="W80" s="463" t="s">
        <v>1635</v>
      </c>
      <c r="X80" s="542" t="s">
        <v>1636</v>
      </c>
      <c r="Y80" s="463" t="s">
        <v>1637</v>
      </c>
      <c r="Z80" s="542" t="s">
        <v>1638</v>
      </c>
      <c r="AA80" s="463" t="s">
        <v>1639</v>
      </c>
      <c r="AB80" s="542" t="s">
        <v>1640</v>
      </c>
      <c r="AC80" s="463" t="s">
        <v>1641</v>
      </c>
      <c r="AD80" s="542" t="s">
        <v>1642</v>
      </c>
      <c r="AE80" s="463" t="s">
        <v>1643</v>
      </c>
      <c r="AF80" s="542" t="s">
        <v>1644</v>
      </c>
      <c r="AG80" s="463" t="s">
        <v>1645</v>
      </c>
      <c r="AH80" s="881" t="s">
        <v>1646</v>
      </c>
      <c r="AI80" s="463" t="s">
        <v>1647</v>
      </c>
      <c r="AJ80" s="542" t="s">
        <v>1648</v>
      </c>
      <c r="AK80" s="463" t="s">
        <v>1649</v>
      </c>
      <c r="AL80" s="542" t="s">
        <v>1650</v>
      </c>
      <c r="AM80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80" s="191" t="str">
        <f t="shared" si="40"/>
        <v xml:space="preserve"> * La variable Pueblos Originarios Hombres no puede ser Mayor al Total Hombres.</v>
      </c>
      <c r="CC80" s="191" t="str">
        <f t="shared" si="41"/>
        <v xml:space="preserve"> * La variable Pueblos Originarios Mujeres no puede ser Mayor al Total Mujeres.</v>
      </c>
      <c r="CD80" s="191" t="str">
        <f t="shared" si="42"/>
        <v xml:space="preserve"> * La variable Migrantes Hombres no puede ser Mayor al Total Hombres.</v>
      </c>
      <c r="CE80" s="191" t="str">
        <f t="shared" si="43"/>
        <v xml:space="preserve"> * La variable Migrantes Mujeres no puede ser Mayor al Total Mujeres.</v>
      </c>
      <c r="DL80" s="1047">
        <f t="shared" si="31"/>
        <v>1</v>
      </c>
      <c r="DM80" s="1047">
        <f t="shared" si="32"/>
        <v>1</v>
      </c>
      <c r="DN80" s="1047">
        <f t="shared" si="33"/>
        <v>1</v>
      </c>
      <c r="DO80" s="1047">
        <f t="shared" si="34"/>
        <v>1</v>
      </c>
    </row>
    <row r="81" spans="1:147" ht="15" customHeight="1" x14ac:dyDescent="0.15">
      <c r="A81" s="1578"/>
      <c r="B81" s="2067" t="s">
        <v>558</v>
      </c>
      <c r="C81" s="2068"/>
      <c r="D81" s="2006"/>
      <c r="E81" s="2006"/>
      <c r="F81" s="2006"/>
      <c r="G81" s="2006"/>
      <c r="H81" s="2006"/>
      <c r="I81" s="2006"/>
      <c r="J81" s="2006"/>
      <c r="K81" s="2006"/>
      <c r="L81" s="2006"/>
      <c r="M81" s="2006"/>
      <c r="N81" s="2006"/>
      <c r="O81" s="2006"/>
      <c r="P81" s="2006"/>
      <c r="Q81" s="2006"/>
      <c r="R81" s="2006"/>
      <c r="S81" s="2006"/>
      <c r="T81" s="2006"/>
      <c r="U81" s="2006"/>
      <c r="V81" s="2006"/>
      <c r="W81" s="2006"/>
      <c r="X81" s="2006"/>
      <c r="Y81" s="2006"/>
      <c r="Z81" s="2006"/>
      <c r="AA81" s="2006"/>
      <c r="AB81" s="2006"/>
      <c r="AC81" s="2006"/>
      <c r="AD81" s="2006"/>
      <c r="AE81" s="2006"/>
      <c r="AF81" s="2006"/>
      <c r="AG81" s="2006"/>
      <c r="AH81" s="2006"/>
      <c r="AI81" s="2006"/>
      <c r="AJ81" s="2006"/>
      <c r="AK81" s="2006"/>
      <c r="AL81" s="1939"/>
    </row>
    <row r="82" spans="1:147" ht="15" customHeight="1" x14ac:dyDescent="0.2">
      <c r="A82" s="1589" t="s">
        <v>1278</v>
      </c>
      <c r="B82" s="2031" t="s">
        <v>559</v>
      </c>
      <c r="C82" s="2032"/>
      <c r="D82" s="1145" t="s">
        <v>1616</v>
      </c>
      <c r="E82" s="392" t="s">
        <v>1617</v>
      </c>
      <c r="F82" s="447" t="s">
        <v>1618</v>
      </c>
      <c r="G82" s="394" t="s">
        <v>1619</v>
      </c>
      <c r="H82" s="395" t="s">
        <v>1620</v>
      </c>
      <c r="I82" s="394" t="s">
        <v>1621</v>
      </c>
      <c r="J82" s="395" t="s">
        <v>1622</v>
      </c>
      <c r="K82" s="394" t="s">
        <v>1623</v>
      </c>
      <c r="L82" s="395" t="s">
        <v>1624</v>
      </c>
      <c r="M82" s="394" t="s">
        <v>1625</v>
      </c>
      <c r="N82" s="395" t="s">
        <v>1626</v>
      </c>
      <c r="O82" s="394" t="s">
        <v>1627</v>
      </c>
      <c r="P82" s="395" t="s">
        <v>1628</v>
      </c>
      <c r="Q82" s="394" t="s">
        <v>1629</v>
      </c>
      <c r="R82" s="395" t="s">
        <v>1630</v>
      </c>
      <c r="S82" s="394" t="s">
        <v>1631</v>
      </c>
      <c r="T82" s="395" t="s">
        <v>1632</v>
      </c>
      <c r="U82" s="394" t="s">
        <v>1633</v>
      </c>
      <c r="V82" s="395" t="s">
        <v>1634</v>
      </c>
      <c r="W82" s="394" t="s">
        <v>1635</v>
      </c>
      <c r="X82" s="395" t="s">
        <v>1636</v>
      </c>
      <c r="Y82" s="394" t="s">
        <v>1637</v>
      </c>
      <c r="Z82" s="395" t="s">
        <v>1638</v>
      </c>
      <c r="AA82" s="433" t="s">
        <v>1639</v>
      </c>
      <c r="AB82" s="434" t="s">
        <v>1640</v>
      </c>
      <c r="AC82" s="433" t="s">
        <v>1641</v>
      </c>
      <c r="AD82" s="434" t="s">
        <v>1642</v>
      </c>
      <c r="AE82" s="433" t="s">
        <v>1643</v>
      </c>
      <c r="AF82" s="434" t="s">
        <v>1644</v>
      </c>
      <c r="AG82" s="884" t="s">
        <v>1645</v>
      </c>
      <c r="AH82" s="570" t="s">
        <v>1646</v>
      </c>
      <c r="AI82" s="468" t="s">
        <v>1647</v>
      </c>
      <c r="AJ82" s="395" t="s">
        <v>1648</v>
      </c>
      <c r="AK82" s="468" t="s">
        <v>1649</v>
      </c>
      <c r="AL82" s="418" t="s">
        <v>1650</v>
      </c>
      <c r="AM82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82" s="191" t="str">
        <f>IF(AND(E82&gt;0,OR(AI82=""))," * No olvide digitar la variable Pueblos Originarios Hombres. Digite Cero si no tiene.",IF(AI82&gt;E82," * La variable Pueblos Originarios Hombres no puede ser Mayor al Total Hombres.",""))</f>
        <v xml:space="preserve"> * La variable Pueblos Originarios Hombres no puede ser Mayor al Total Hombres.</v>
      </c>
      <c r="CC82" s="191" t="str">
        <f t="shared" ref="CC82:CC87" si="44">IF(AND(F82&gt;0,OR(AJ82=""))," * No olvide digitar la variable Pueblos Originarios Mujeres. Digite Cero si no tiene.",IF(AJ82&gt;F82," * La variable Pueblos Originarios Mujeres no puede ser Mayor al Total Mujeres.",""))</f>
        <v xml:space="preserve"> * La variable Pueblos Originarios Mujeres no puede ser Mayor al Total Mujeres.</v>
      </c>
      <c r="CD82" s="191" t="str">
        <f t="shared" ref="CD82:CD87" si="45">IF(AND($E82&gt;0,OR(AK82=""))," * No olvide digitar la variable Migrantes Hombres. Digite Cero si no tiene.",IF(AK82&gt;$E82," * La variable Migrantes Hombres no puede ser Mayor al Total Hombres.",""))</f>
        <v xml:space="preserve"> * La variable Migrantes Hombres no puede ser Mayor al Total Hombres.</v>
      </c>
      <c r="CE82" s="191" t="str">
        <f t="shared" ref="CE82:CE87" si="46">IF(AND(F82&gt;0,OR(AL82=""))," * No olvide digitar la variable Migrantes Mujeres. Digite Cero si no tiene.",IF(AL82&gt;F82," * La variable Migrantes Mujeres no puede ser Mayor al Total Mujeres.",""))</f>
        <v xml:space="preserve"> * La variable Migrantes Mujeres no puede ser Mayor al Total Mujeres.</v>
      </c>
      <c r="DL82" s="1047">
        <f t="shared" si="31"/>
        <v>1</v>
      </c>
      <c r="DM82" s="1047">
        <f t="shared" si="32"/>
        <v>1</v>
      </c>
      <c r="DN82" s="1047">
        <f t="shared" si="33"/>
        <v>1</v>
      </c>
      <c r="DO82" s="1047">
        <f t="shared" si="34"/>
        <v>1</v>
      </c>
    </row>
    <row r="83" spans="1:147" ht="15" customHeight="1" x14ac:dyDescent="0.2">
      <c r="A83" s="1589" t="s">
        <v>1279</v>
      </c>
      <c r="B83" s="2018" t="s">
        <v>560</v>
      </c>
      <c r="C83" s="2019"/>
      <c r="D83" s="1142" t="s">
        <v>1616</v>
      </c>
      <c r="E83" s="387" t="s">
        <v>1617</v>
      </c>
      <c r="F83" s="454" t="s">
        <v>1618</v>
      </c>
      <c r="G83" s="546" t="s">
        <v>1619</v>
      </c>
      <c r="H83" s="547" t="s">
        <v>1620</v>
      </c>
      <c r="I83" s="546" t="s">
        <v>1621</v>
      </c>
      <c r="J83" s="547" t="s">
        <v>1622</v>
      </c>
      <c r="K83" s="546" t="s">
        <v>1623</v>
      </c>
      <c r="L83" s="547" t="s">
        <v>1624</v>
      </c>
      <c r="M83" s="546" t="s">
        <v>1625</v>
      </c>
      <c r="N83" s="547" t="s">
        <v>1626</v>
      </c>
      <c r="O83" s="546" t="s">
        <v>1627</v>
      </c>
      <c r="P83" s="547" t="s">
        <v>1628</v>
      </c>
      <c r="Q83" s="546" t="s">
        <v>1629</v>
      </c>
      <c r="R83" s="547" t="s">
        <v>1630</v>
      </c>
      <c r="S83" s="546" t="s">
        <v>1631</v>
      </c>
      <c r="T83" s="547" t="s">
        <v>1632</v>
      </c>
      <c r="U83" s="546" t="s">
        <v>1633</v>
      </c>
      <c r="V83" s="547" t="s">
        <v>1634</v>
      </c>
      <c r="W83" s="546" t="s">
        <v>1635</v>
      </c>
      <c r="X83" s="547" t="s">
        <v>1636</v>
      </c>
      <c r="Y83" s="546" t="s">
        <v>1637</v>
      </c>
      <c r="Z83" s="547" t="s">
        <v>1638</v>
      </c>
      <c r="AA83" s="417" t="s">
        <v>1639</v>
      </c>
      <c r="AB83" s="418" t="s">
        <v>1640</v>
      </c>
      <c r="AC83" s="417" t="s">
        <v>1641</v>
      </c>
      <c r="AD83" s="418" t="s">
        <v>1642</v>
      </c>
      <c r="AE83" s="417" t="s">
        <v>1643</v>
      </c>
      <c r="AF83" s="418" t="s">
        <v>1644</v>
      </c>
      <c r="AG83" s="468" t="s">
        <v>1645</v>
      </c>
      <c r="AH83" s="419" t="s">
        <v>1646</v>
      </c>
      <c r="AI83" s="468" t="s">
        <v>1647</v>
      </c>
      <c r="AJ83" s="418" t="s">
        <v>1648</v>
      </c>
      <c r="AK83" s="468" t="s">
        <v>1649</v>
      </c>
      <c r="AL83" s="418" t="s">
        <v>1650</v>
      </c>
      <c r="AM83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83" s="191" t="str">
        <f t="shared" ref="CB83:CB95" si="47">IF(AND(E83&gt;0,OR(AI83=""))," * No olvide digitar la variable Pueblos Originarios Hombres. Digite Cero si no tiene.",IF(AI83&gt;E83," * La variable Pueblos Originarios Hombres no puede ser Mayor al Total Hombres.",""))</f>
        <v xml:space="preserve"> * La variable Pueblos Originarios Hombres no puede ser Mayor al Total Hombres.</v>
      </c>
      <c r="CC83" s="191" t="str">
        <f t="shared" si="44"/>
        <v xml:space="preserve"> * La variable Pueblos Originarios Mujeres no puede ser Mayor al Total Mujeres.</v>
      </c>
      <c r="CD83" s="191" t="str">
        <f t="shared" si="45"/>
        <v xml:space="preserve"> * La variable Migrantes Hombres no puede ser Mayor al Total Hombres.</v>
      </c>
      <c r="CE83" s="191" t="str">
        <f t="shared" si="46"/>
        <v xml:space="preserve"> * La variable Migrantes Mujeres no puede ser Mayor al Total Mujeres.</v>
      </c>
      <c r="DL83" s="1047">
        <f t="shared" si="31"/>
        <v>1</v>
      </c>
      <c r="DM83" s="1047">
        <f t="shared" si="32"/>
        <v>1</v>
      </c>
      <c r="DN83" s="1047">
        <f t="shared" si="33"/>
        <v>1</v>
      </c>
      <c r="DO83" s="1047">
        <f t="shared" si="34"/>
        <v>1</v>
      </c>
    </row>
    <row r="84" spans="1:147" ht="15" customHeight="1" x14ac:dyDescent="0.2">
      <c r="A84" s="1589" t="s">
        <v>1280</v>
      </c>
      <c r="B84" s="2018" t="s">
        <v>561</v>
      </c>
      <c r="C84" s="2019"/>
      <c r="D84" s="1147" t="s">
        <v>1616</v>
      </c>
      <c r="E84" s="397" t="s">
        <v>1617</v>
      </c>
      <c r="F84" s="448" t="s">
        <v>1618</v>
      </c>
      <c r="G84" s="398" t="s">
        <v>1619</v>
      </c>
      <c r="H84" s="399" t="s">
        <v>1620</v>
      </c>
      <c r="I84" s="398" t="s">
        <v>1621</v>
      </c>
      <c r="J84" s="399" t="s">
        <v>1622</v>
      </c>
      <c r="K84" s="398" t="s">
        <v>1623</v>
      </c>
      <c r="L84" s="399" t="s">
        <v>1624</v>
      </c>
      <c r="M84" s="398" t="s">
        <v>1625</v>
      </c>
      <c r="N84" s="399" t="s">
        <v>1626</v>
      </c>
      <c r="O84" s="398" t="s">
        <v>1627</v>
      </c>
      <c r="P84" s="399" t="s">
        <v>1628</v>
      </c>
      <c r="Q84" s="398" t="s">
        <v>1629</v>
      </c>
      <c r="R84" s="399" t="s">
        <v>1630</v>
      </c>
      <c r="S84" s="398" t="s">
        <v>1631</v>
      </c>
      <c r="T84" s="399" t="s">
        <v>1632</v>
      </c>
      <c r="U84" s="398" t="s">
        <v>1633</v>
      </c>
      <c r="V84" s="399" t="s">
        <v>1634</v>
      </c>
      <c r="W84" s="398" t="s">
        <v>1635</v>
      </c>
      <c r="X84" s="399" t="s">
        <v>1636</v>
      </c>
      <c r="Y84" s="398" t="s">
        <v>1637</v>
      </c>
      <c r="Z84" s="399" t="s">
        <v>1638</v>
      </c>
      <c r="AA84" s="436" t="s">
        <v>1639</v>
      </c>
      <c r="AB84" s="437" t="s">
        <v>1640</v>
      </c>
      <c r="AC84" s="436" t="s">
        <v>1641</v>
      </c>
      <c r="AD84" s="437" t="s">
        <v>1642</v>
      </c>
      <c r="AE84" s="436" t="s">
        <v>1643</v>
      </c>
      <c r="AF84" s="437" t="s">
        <v>1644</v>
      </c>
      <c r="AG84" s="534" t="s">
        <v>1645</v>
      </c>
      <c r="AH84" s="536" t="s">
        <v>1646</v>
      </c>
      <c r="AI84" s="468" t="s">
        <v>1647</v>
      </c>
      <c r="AJ84" s="418" t="s">
        <v>1648</v>
      </c>
      <c r="AK84" s="468" t="s">
        <v>1649</v>
      </c>
      <c r="AL84" s="418" t="s">
        <v>1650</v>
      </c>
      <c r="AM84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84" s="191" t="str">
        <f t="shared" si="47"/>
        <v xml:space="preserve"> * La variable Pueblos Originarios Hombres no puede ser Mayor al Total Hombres.</v>
      </c>
      <c r="CC84" s="191" t="str">
        <f t="shared" si="44"/>
        <v xml:space="preserve"> * La variable Pueblos Originarios Mujeres no puede ser Mayor al Total Mujeres.</v>
      </c>
      <c r="CD84" s="191" t="str">
        <f t="shared" si="45"/>
        <v xml:space="preserve"> * La variable Migrantes Hombres no puede ser Mayor al Total Hombres.</v>
      </c>
      <c r="CE84" s="191" t="str">
        <f t="shared" si="46"/>
        <v xml:space="preserve"> * La variable Migrantes Mujeres no puede ser Mayor al Total Mujeres.</v>
      </c>
      <c r="DL84" s="1047">
        <f t="shared" si="31"/>
        <v>1</v>
      </c>
      <c r="DM84" s="1047">
        <f t="shared" si="32"/>
        <v>1</v>
      </c>
      <c r="DN84" s="1047">
        <f t="shared" si="33"/>
        <v>1</v>
      </c>
      <c r="DO84" s="1047">
        <f t="shared" si="34"/>
        <v>1</v>
      </c>
    </row>
    <row r="85" spans="1:147" ht="15" customHeight="1" x14ac:dyDescent="0.2">
      <c r="A85" s="1589" t="s">
        <v>1281</v>
      </c>
      <c r="B85" s="2018" t="s">
        <v>562</v>
      </c>
      <c r="C85" s="2019"/>
      <c r="D85" s="1147" t="s">
        <v>1616</v>
      </c>
      <c r="E85" s="397" t="s">
        <v>1617</v>
      </c>
      <c r="F85" s="385" t="s">
        <v>1618</v>
      </c>
      <c r="G85" s="436" t="s">
        <v>1619</v>
      </c>
      <c r="H85" s="437" t="s">
        <v>1620</v>
      </c>
      <c r="I85" s="436" t="s">
        <v>1621</v>
      </c>
      <c r="J85" s="437" t="s">
        <v>1622</v>
      </c>
      <c r="K85" s="436" t="s">
        <v>1623</v>
      </c>
      <c r="L85" s="437" t="s">
        <v>1624</v>
      </c>
      <c r="M85" s="436" t="s">
        <v>1625</v>
      </c>
      <c r="N85" s="437" t="s">
        <v>1626</v>
      </c>
      <c r="O85" s="436" t="s">
        <v>1627</v>
      </c>
      <c r="P85" s="437" t="s">
        <v>1628</v>
      </c>
      <c r="Q85" s="436" t="s">
        <v>1629</v>
      </c>
      <c r="R85" s="437" t="s">
        <v>1630</v>
      </c>
      <c r="S85" s="436" t="s">
        <v>1631</v>
      </c>
      <c r="T85" s="437" t="s">
        <v>1632</v>
      </c>
      <c r="U85" s="436" t="s">
        <v>1633</v>
      </c>
      <c r="V85" s="437" t="s">
        <v>1634</v>
      </c>
      <c r="W85" s="436" t="s">
        <v>1635</v>
      </c>
      <c r="X85" s="437" t="s">
        <v>1636</v>
      </c>
      <c r="Y85" s="436" t="s">
        <v>1637</v>
      </c>
      <c r="Z85" s="437" t="s">
        <v>1638</v>
      </c>
      <c r="AA85" s="398" t="s">
        <v>1639</v>
      </c>
      <c r="AB85" s="399" t="s">
        <v>1640</v>
      </c>
      <c r="AC85" s="398" t="s">
        <v>1641</v>
      </c>
      <c r="AD85" s="399" t="s">
        <v>1642</v>
      </c>
      <c r="AE85" s="398" t="s">
        <v>1643</v>
      </c>
      <c r="AF85" s="399" t="s">
        <v>1644</v>
      </c>
      <c r="AG85" s="465" t="s">
        <v>1645</v>
      </c>
      <c r="AH85" s="407" t="s">
        <v>1646</v>
      </c>
      <c r="AI85" s="465" t="s">
        <v>1647</v>
      </c>
      <c r="AJ85" s="399" t="s">
        <v>1648</v>
      </c>
      <c r="AK85" s="465" t="s">
        <v>1649</v>
      </c>
      <c r="AL85" s="399" t="s">
        <v>1650</v>
      </c>
      <c r="AM85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85" s="191" t="str">
        <f t="shared" si="47"/>
        <v xml:space="preserve"> * La variable Pueblos Originarios Hombres no puede ser Mayor al Total Hombres.</v>
      </c>
      <c r="CC85" s="191" t="str">
        <f t="shared" si="44"/>
        <v xml:space="preserve"> * La variable Pueblos Originarios Mujeres no puede ser Mayor al Total Mujeres.</v>
      </c>
      <c r="CD85" s="191" t="str">
        <f t="shared" si="45"/>
        <v xml:space="preserve"> * La variable Migrantes Hombres no puede ser Mayor al Total Hombres.</v>
      </c>
      <c r="CE85" s="191" t="str">
        <f t="shared" si="46"/>
        <v xml:space="preserve"> * La variable Migrantes Mujeres no puede ser Mayor al Total Mujeres.</v>
      </c>
      <c r="DL85" s="1047">
        <f t="shared" si="31"/>
        <v>1</v>
      </c>
      <c r="DM85" s="1047">
        <f t="shared" si="32"/>
        <v>1</v>
      </c>
      <c r="DN85" s="1047">
        <f t="shared" si="33"/>
        <v>1</v>
      </c>
      <c r="DO85" s="1047">
        <f t="shared" si="34"/>
        <v>1</v>
      </c>
    </row>
    <row r="86" spans="1:147" ht="15" customHeight="1" x14ac:dyDescent="0.2">
      <c r="A86" s="1589" t="s">
        <v>1282</v>
      </c>
      <c r="B86" s="2051" t="s">
        <v>563</v>
      </c>
      <c r="C86" s="2052"/>
      <c r="D86" s="1143" t="s">
        <v>1616</v>
      </c>
      <c r="E86" s="391" t="s">
        <v>1617</v>
      </c>
      <c r="F86" s="391" t="s">
        <v>1618</v>
      </c>
      <c r="G86" s="403" t="s">
        <v>1619</v>
      </c>
      <c r="H86" s="404" t="s">
        <v>1620</v>
      </c>
      <c r="I86" s="403" t="s">
        <v>1621</v>
      </c>
      <c r="J86" s="404" t="s">
        <v>1622</v>
      </c>
      <c r="K86" s="403" t="s">
        <v>1623</v>
      </c>
      <c r="L86" s="404" t="s">
        <v>1624</v>
      </c>
      <c r="M86" s="403" t="s">
        <v>1625</v>
      </c>
      <c r="N86" s="404" t="s">
        <v>1626</v>
      </c>
      <c r="O86" s="403" t="s">
        <v>1627</v>
      </c>
      <c r="P86" s="404" t="s">
        <v>1628</v>
      </c>
      <c r="Q86" s="403" t="s">
        <v>1629</v>
      </c>
      <c r="R86" s="404" t="s">
        <v>1630</v>
      </c>
      <c r="S86" s="403" t="s">
        <v>1631</v>
      </c>
      <c r="T86" s="404" t="s">
        <v>1632</v>
      </c>
      <c r="U86" s="403" t="s">
        <v>1633</v>
      </c>
      <c r="V86" s="404" t="s">
        <v>1634</v>
      </c>
      <c r="W86" s="403" t="s">
        <v>1635</v>
      </c>
      <c r="X86" s="404" t="s">
        <v>1636</v>
      </c>
      <c r="Y86" s="403" t="s">
        <v>1637</v>
      </c>
      <c r="Z86" s="404" t="s">
        <v>1638</v>
      </c>
      <c r="AA86" s="403" t="s">
        <v>1639</v>
      </c>
      <c r="AB86" s="404" t="s">
        <v>1640</v>
      </c>
      <c r="AC86" s="403" t="s">
        <v>1641</v>
      </c>
      <c r="AD86" s="404" t="s">
        <v>1642</v>
      </c>
      <c r="AE86" s="403" t="s">
        <v>1643</v>
      </c>
      <c r="AF86" s="404" t="s">
        <v>1644</v>
      </c>
      <c r="AG86" s="464" t="s">
        <v>1645</v>
      </c>
      <c r="AH86" s="431" t="s">
        <v>1646</v>
      </c>
      <c r="AI86" s="464" t="s">
        <v>1647</v>
      </c>
      <c r="AJ86" s="404" t="s">
        <v>1648</v>
      </c>
      <c r="AK86" s="464" t="s">
        <v>1649</v>
      </c>
      <c r="AL86" s="404" t="s">
        <v>1650</v>
      </c>
      <c r="AM86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86" s="191" t="str">
        <f t="shared" si="47"/>
        <v xml:space="preserve"> * La variable Pueblos Originarios Hombres no puede ser Mayor al Total Hombres.</v>
      </c>
      <c r="CC86" s="191" t="str">
        <f t="shared" si="44"/>
        <v xml:space="preserve"> * La variable Pueblos Originarios Mujeres no puede ser Mayor al Total Mujeres.</v>
      </c>
      <c r="CD86" s="191" t="str">
        <f t="shared" si="45"/>
        <v xml:space="preserve"> * La variable Migrantes Hombres no puede ser Mayor al Total Hombres.</v>
      </c>
      <c r="CE86" s="191" t="str">
        <f t="shared" si="46"/>
        <v xml:space="preserve"> * La variable Migrantes Mujeres no puede ser Mayor al Total Mujeres.</v>
      </c>
      <c r="DL86" s="1047">
        <f t="shared" si="31"/>
        <v>1</v>
      </c>
      <c r="DM86" s="1047">
        <f t="shared" si="32"/>
        <v>1</v>
      </c>
      <c r="DN86" s="1047">
        <f t="shared" si="33"/>
        <v>1</v>
      </c>
      <c r="DO86" s="1047">
        <f t="shared" si="34"/>
        <v>1</v>
      </c>
    </row>
    <row r="87" spans="1:147" ht="15" customHeight="1" x14ac:dyDescent="0.2">
      <c r="A87" s="1593" t="s">
        <v>1283</v>
      </c>
      <c r="B87" s="2000" t="s">
        <v>521</v>
      </c>
      <c r="C87" s="2001"/>
      <c r="D87" s="1144" t="s">
        <v>1616</v>
      </c>
      <c r="E87" s="540" t="s">
        <v>1617</v>
      </c>
      <c r="F87" s="588" t="s">
        <v>1618</v>
      </c>
      <c r="G87" s="413" t="s">
        <v>1619</v>
      </c>
      <c r="H87" s="414" t="s">
        <v>1620</v>
      </c>
      <c r="I87" s="413" t="s">
        <v>1621</v>
      </c>
      <c r="J87" s="414" t="s">
        <v>1622</v>
      </c>
      <c r="K87" s="413" t="s">
        <v>1623</v>
      </c>
      <c r="L87" s="414" t="s">
        <v>1624</v>
      </c>
      <c r="M87" s="413" t="s">
        <v>1625</v>
      </c>
      <c r="N87" s="414" t="s">
        <v>1626</v>
      </c>
      <c r="O87" s="413" t="s">
        <v>1627</v>
      </c>
      <c r="P87" s="414" t="s">
        <v>1628</v>
      </c>
      <c r="Q87" s="413" t="s">
        <v>1629</v>
      </c>
      <c r="R87" s="414" t="s">
        <v>1630</v>
      </c>
      <c r="S87" s="413" t="s">
        <v>1631</v>
      </c>
      <c r="T87" s="414" t="s">
        <v>1632</v>
      </c>
      <c r="U87" s="413" t="s">
        <v>1633</v>
      </c>
      <c r="V87" s="414" t="s">
        <v>1634</v>
      </c>
      <c r="W87" s="413" t="s">
        <v>1635</v>
      </c>
      <c r="X87" s="414" t="s">
        <v>1636</v>
      </c>
      <c r="Y87" s="413" t="s">
        <v>1637</v>
      </c>
      <c r="Z87" s="414" t="s">
        <v>1638</v>
      </c>
      <c r="AA87" s="403" t="s">
        <v>1639</v>
      </c>
      <c r="AB87" s="404" t="s">
        <v>1640</v>
      </c>
      <c r="AC87" s="403" t="s">
        <v>1641</v>
      </c>
      <c r="AD87" s="404" t="s">
        <v>1642</v>
      </c>
      <c r="AE87" s="403" t="s">
        <v>1643</v>
      </c>
      <c r="AF87" s="404" t="s">
        <v>1644</v>
      </c>
      <c r="AG87" s="403" t="s">
        <v>1645</v>
      </c>
      <c r="AH87" s="431" t="s">
        <v>1646</v>
      </c>
      <c r="AI87" s="464" t="s">
        <v>1647</v>
      </c>
      <c r="AJ87" s="404" t="s">
        <v>1648</v>
      </c>
      <c r="AK87" s="464" t="s">
        <v>1649</v>
      </c>
      <c r="AL87" s="404" t="s">
        <v>1650</v>
      </c>
      <c r="AM87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87" s="191" t="str">
        <f t="shared" si="47"/>
        <v xml:space="preserve"> * La variable Pueblos Originarios Hombres no puede ser Mayor al Total Hombres.</v>
      </c>
      <c r="CC87" s="191" t="str">
        <f t="shared" si="44"/>
        <v xml:space="preserve"> * La variable Pueblos Originarios Mujeres no puede ser Mayor al Total Mujeres.</v>
      </c>
      <c r="CD87" s="191" t="str">
        <f t="shared" si="45"/>
        <v xml:space="preserve"> * La variable Migrantes Hombres no puede ser Mayor al Total Hombres.</v>
      </c>
      <c r="CE87" s="191" t="str">
        <f t="shared" si="46"/>
        <v xml:space="preserve"> * La variable Migrantes Mujeres no puede ser Mayor al Total Mujeres.</v>
      </c>
      <c r="DL87" s="1047">
        <f t="shared" si="31"/>
        <v>1</v>
      </c>
      <c r="DM87" s="1047">
        <f t="shared" si="32"/>
        <v>1</v>
      </c>
      <c r="DN87" s="1047">
        <f t="shared" si="33"/>
        <v>1</v>
      </c>
      <c r="DO87" s="1047">
        <f t="shared" si="34"/>
        <v>1</v>
      </c>
    </row>
    <row r="88" spans="1:147" ht="15" customHeight="1" x14ac:dyDescent="0.2">
      <c r="A88" s="1594" t="s">
        <v>1284</v>
      </c>
      <c r="B88" s="2002" t="s">
        <v>564</v>
      </c>
      <c r="C88" s="1600" t="s">
        <v>565</v>
      </c>
      <c r="D88" s="1147" t="s">
        <v>1616</v>
      </c>
      <c r="E88" s="387" t="s">
        <v>1617</v>
      </c>
      <c r="F88" s="385" t="s">
        <v>1618</v>
      </c>
      <c r="G88" s="417" t="s">
        <v>1619</v>
      </c>
      <c r="H88" s="418" t="s">
        <v>1620</v>
      </c>
      <c r="I88" s="417" t="s">
        <v>1621</v>
      </c>
      <c r="J88" s="418" t="s">
        <v>1622</v>
      </c>
      <c r="K88" s="417" t="s">
        <v>1623</v>
      </c>
      <c r="L88" s="418" t="s">
        <v>1624</v>
      </c>
      <c r="M88" s="417" t="s">
        <v>1625</v>
      </c>
      <c r="N88" s="418" t="s">
        <v>1626</v>
      </c>
      <c r="O88" s="417" t="s">
        <v>1627</v>
      </c>
      <c r="P88" s="418" t="s">
        <v>1628</v>
      </c>
      <c r="Q88" s="417" t="s">
        <v>1629</v>
      </c>
      <c r="R88" s="418" t="s">
        <v>1630</v>
      </c>
      <c r="S88" s="417" t="s">
        <v>1631</v>
      </c>
      <c r="T88" s="418" t="s">
        <v>1632</v>
      </c>
      <c r="U88" s="417" t="s">
        <v>1633</v>
      </c>
      <c r="V88" s="418" t="s">
        <v>1634</v>
      </c>
      <c r="W88" s="417" t="s">
        <v>1635</v>
      </c>
      <c r="X88" s="418" t="s">
        <v>1636</v>
      </c>
      <c r="Y88" s="417" t="s">
        <v>1637</v>
      </c>
      <c r="Z88" s="418" t="s">
        <v>1638</v>
      </c>
      <c r="AA88" s="417" t="s">
        <v>1639</v>
      </c>
      <c r="AB88" s="418" t="s">
        <v>1640</v>
      </c>
      <c r="AC88" s="417" t="s">
        <v>1641</v>
      </c>
      <c r="AD88" s="418" t="s">
        <v>1642</v>
      </c>
      <c r="AE88" s="417" t="s">
        <v>1643</v>
      </c>
      <c r="AF88" s="418" t="s">
        <v>1644</v>
      </c>
      <c r="AG88" s="417" t="s">
        <v>1645</v>
      </c>
      <c r="AH88" s="419" t="s">
        <v>1646</v>
      </c>
      <c r="AI88" s="412" t="s">
        <v>1647</v>
      </c>
      <c r="AJ88" s="395" t="s">
        <v>1648</v>
      </c>
      <c r="AK88" s="462" t="s">
        <v>1649</v>
      </c>
      <c r="AL88" s="533" t="s">
        <v>1650</v>
      </c>
      <c r="AM88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88" s="191" t="str">
        <f t="shared" si="47"/>
        <v xml:space="preserve"> * La variable Pueblos Originarios Hombres no puede ser Mayor al Total Hombres.</v>
      </c>
      <c r="CC88" s="191" t="str">
        <f t="shared" ref="CC88:CC95" si="48">IF(AND(F88&gt;0,OR(AJ88=""))," * No olvide digitar la variable Pueblos Originarios Mujeres. Digite Cero si no tiene.",IF(AJ88&gt;F88," * La variable Pueblos Originarios Mujeres no puede ser Mayor al Total Mujeres.",""))</f>
        <v xml:space="preserve"> * La variable Pueblos Originarios Mujeres no puede ser Mayor al Total Mujeres.</v>
      </c>
      <c r="CD88" s="191" t="str">
        <f t="shared" ref="CD88:CD95" si="49">IF(AND($E88&gt;0,OR(AK88=""))," * No olvide digitar la variable Migrantes Hombres. Digite Cero si no tiene.",IF(AK88&gt;$E88," * La variable Migrantes Hombres no puede ser Mayor al Total Hombres.",""))</f>
        <v xml:space="preserve"> * La variable Migrantes Hombres no puede ser Mayor al Total Hombres.</v>
      </c>
      <c r="CE88" s="191" t="str">
        <f t="shared" ref="CE88:CE95" si="50">IF(AND(F88&gt;0,OR(AL88=""))," * No olvide digitar la variable Migrantes Mujeres. Digite Cero si no tiene.",IF(AL88&gt;F88," * La variable Migrantes Mujeres no puede ser Mayor al Total Mujeres.",""))</f>
        <v xml:space="preserve"> * La variable Migrantes Mujeres no puede ser Mayor al Total Mujeres.</v>
      </c>
      <c r="DL88" s="1047">
        <f t="shared" si="31"/>
        <v>1</v>
      </c>
      <c r="DM88" s="1047">
        <f t="shared" si="32"/>
        <v>1</v>
      </c>
      <c r="DN88" s="1047">
        <f t="shared" si="33"/>
        <v>1</v>
      </c>
      <c r="DO88" s="1047">
        <f t="shared" si="34"/>
        <v>1</v>
      </c>
    </row>
    <row r="89" spans="1:147" ht="15" customHeight="1" x14ac:dyDescent="0.2">
      <c r="A89" s="1594" t="s">
        <v>1285</v>
      </c>
      <c r="B89" s="2002"/>
      <c r="C89" s="1601" t="s">
        <v>566</v>
      </c>
      <c r="D89" s="1147" t="s">
        <v>1616</v>
      </c>
      <c r="E89" s="397" t="s">
        <v>1617</v>
      </c>
      <c r="F89" s="448" t="s">
        <v>1618</v>
      </c>
      <c r="G89" s="398" t="s">
        <v>1619</v>
      </c>
      <c r="H89" s="399" t="s">
        <v>1620</v>
      </c>
      <c r="I89" s="398" t="s">
        <v>1621</v>
      </c>
      <c r="J89" s="399" t="s">
        <v>1622</v>
      </c>
      <c r="K89" s="398" t="s">
        <v>1623</v>
      </c>
      <c r="L89" s="399" t="s">
        <v>1624</v>
      </c>
      <c r="M89" s="398" t="s">
        <v>1625</v>
      </c>
      <c r="N89" s="399" t="s">
        <v>1626</v>
      </c>
      <c r="O89" s="398" t="s">
        <v>1627</v>
      </c>
      <c r="P89" s="399" t="s">
        <v>1628</v>
      </c>
      <c r="Q89" s="398" t="s">
        <v>1629</v>
      </c>
      <c r="R89" s="399" t="s">
        <v>1630</v>
      </c>
      <c r="S89" s="398" t="s">
        <v>1631</v>
      </c>
      <c r="T89" s="399" t="s">
        <v>1632</v>
      </c>
      <c r="U89" s="398" t="s">
        <v>1633</v>
      </c>
      <c r="V89" s="399" t="s">
        <v>1634</v>
      </c>
      <c r="W89" s="398" t="s">
        <v>1635</v>
      </c>
      <c r="X89" s="399" t="s">
        <v>1636</v>
      </c>
      <c r="Y89" s="398" t="s">
        <v>1637</v>
      </c>
      <c r="Z89" s="399" t="s">
        <v>1638</v>
      </c>
      <c r="AA89" s="398" t="s">
        <v>1639</v>
      </c>
      <c r="AB89" s="399" t="s">
        <v>1640</v>
      </c>
      <c r="AC89" s="398" t="s">
        <v>1641</v>
      </c>
      <c r="AD89" s="399" t="s">
        <v>1642</v>
      </c>
      <c r="AE89" s="398" t="s">
        <v>1643</v>
      </c>
      <c r="AF89" s="399" t="s">
        <v>1644</v>
      </c>
      <c r="AG89" s="417" t="s">
        <v>1645</v>
      </c>
      <c r="AH89" s="419" t="s">
        <v>1646</v>
      </c>
      <c r="AI89" s="445" t="s">
        <v>1647</v>
      </c>
      <c r="AJ89" s="399" t="s">
        <v>1648</v>
      </c>
      <c r="AK89" s="659" t="s">
        <v>1649</v>
      </c>
      <c r="AL89" s="533" t="s">
        <v>1650</v>
      </c>
      <c r="AM89" s="108" t="e">
        <f>CB89&amp;CC89&amp;CD89&amp;CE89&amp;CF89&amp;CG89&amp;CH89&amp;CI89&amp;CJ89&amp;CK89&amp;CL89&amp;CM89&amp;CN89&amp;CO89&amp;CP89&amp;CQ89&amp;CR89&amp;CS89&amp;CT89&amp;CU89&amp;CV89&amp;CW89&amp;CX89&amp;CY89&amp;CZ89&amp;DA89&amp;DB89&amp;DC89&amp;DD89&amp;DE89&amp;DF89&amp;DG89</f>
        <v>#VALUE!</v>
      </c>
      <c r="CB89" s="191" t="str">
        <f t="shared" si="47"/>
        <v xml:space="preserve"> * La variable Pueblos Originarios Hombres no puede ser Mayor al Total Hombres.</v>
      </c>
      <c r="CC89" s="191" t="str">
        <f t="shared" si="48"/>
        <v xml:space="preserve"> * La variable Pueblos Originarios Mujeres no puede ser Mayor al Total Mujeres.</v>
      </c>
      <c r="CD89" s="191" t="str">
        <f t="shared" si="49"/>
        <v xml:space="preserve"> * La variable Migrantes Hombres no puede ser Mayor al Total Hombres.</v>
      </c>
      <c r="CE89" s="191" t="str">
        <f t="shared" si="50"/>
        <v xml:space="preserve"> * La variable Migrantes Mujeres no puede ser Mayor al Total Mujeres.</v>
      </c>
      <c r="CF89" s="191" t="e">
        <f>IF(G$89+G$90+G$91+G$92+G$93+G$94&lt;=$G$23,"","* La suma de Personas Hombres con Enfermedad Renal Crónica (ERC) grupo de edad de 15 a 19 años no debe ser mayor al número de Personas con Enf. Renal Cronica de Sección A. ")</f>
        <v>#VALUE!</v>
      </c>
      <c r="CG89" s="191" t="e">
        <f>IF(H$89+H$90+H$91+H$92+H$93+H$94&lt;=H$23,"","* La suma de Personas Mujeres con Enfermedad Renal Crónica (ERC) grupo de edad de 15 a 19 años no debe ser mayor al número de Personas con Enf. Renal Cronica de Sección A. ")</f>
        <v>#VALUE!</v>
      </c>
      <c r="CH89" s="191" t="e">
        <f>IF(I$89+I$90+I$91+I$92+I$93+I$94&lt;=I$23,"","* La suma de Personas Hombres con Enfermedad Renal Crónica (ERC) grupo de edad de 20 a 24 años no debe ser mayor al número de Personas con Enf. Renal Cronica de Sección A. ")</f>
        <v>#VALUE!</v>
      </c>
      <c r="CI89" s="191" t="e">
        <f>IF(J$89+J$90+J$91+J$92+J$93+J$94&lt;=J$23,"","* La suma de Personas Mujeres con Enfermedad Renal Crónica (ERC) grupo de edad de 20 a 24 años no debe ser mayor al número de Personas con Enf. Renal Cronica de Sección A. ")</f>
        <v>#VALUE!</v>
      </c>
      <c r="CJ89" s="191" t="e">
        <f>IF(K$89+K$90+K$91+K$92+K$93+K$94&lt;=K$23,"","* La suma de Personas Hombres con Enfermedad Renal Crónica (ERC) grupo de edad de 25 a 29 años no debe ser mayor al número de Personas con Enf. Renal Cronica de Sección A. ")</f>
        <v>#VALUE!</v>
      </c>
      <c r="CK89" s="191" t="e">
        <f>IF(L$89+L$90+L$91+L$92+L$93+L$94&lt;=L$23,"","* La suma de Personas Mujeres con Enfermedad Renal Crónica (ERC) grupo de edad de 25 a 29 años no debe ser mayor al número de Personas con Enf. Renal Cronica de Sección A. ")</f>
        <v>#VALUE!</v>
      </c>
      <c r="CL89" s="191" t="e">
        <f>IF(M$89+M$90+M$91+M$92+M$93+M$94&lt;=M$23,"","* La suma de Personas Hombres con Enfermedad Renal Crónica (ERC) grupo de edad de 30 a 34 años no debe ser mayor al número de Personas con Enf. Renal Cronica de Sección A. ")</f>
        <v>#VALUE!</v>
      </c>
      <c r="CM89" s="191" t="e">
        <f>IF(N$89+N$90+N$91+N$92+N$93+N$94&lt;=N$23,"","* La suma de Personas Mujeres con Enfermedad Renal Crónica (ERC) grupo de edad de 30 a 34 años no debe ser mayor al número de Personas con Enf. Renal Cronica de Sección A. ")</f>
        <v>#VALUE!</v>
      </c>
      <c r="CN89" s="191" t="e">
        <f>IF(O$89+O$90+O$91+O$92+O$93+O$94&lt;=O$23,"","* La suma de Personas Hombres con Enfermedad Renal Crónica (ERC) grupo de edad de 35 a 39 años no debe ser mayor al número de Personas con Enf. Renal Cronica de Sección A. ")</f>
        <v>#VALUE!</v>
      </c>
      <c r="CO89" s="191" t="e">
        <f>IF(P$89+P$90+P$91+P$92+P$93+P$94&lt;=P$23,"","* La suma de Personas Mujeres con Enfermedad Renal Crónica (ERC) grupo de edad de 35 a 39 años no debe ser mayor al número de Personas con Enf. Renal Cronica de Sección A. ")</f>
        <v>#VALUE!</v>
      </c>
      <c r="CP89" s="191" t="e">
        <f>IF(Q$89+Q$90+Q$91+Q$92+Q$93+Q$94&lt;=Q$23,"","* La suma de Personas Hombres con Enfermedad Renal Crónica (ERC) grupo de edad de 40 a 44 años no debe ser mayor al número de Personas con Enf. Renal Cronica de Sección A. ")</f>
        <v>#VALUE!</v>
      </c>
      <c r="CQ89" s="191" t="e">
        <f>IF(R$89+R$90+R$91+R$92+R$93+R$94&lt;=R$23,"","* La suma de Personas Mujeres con Enfermedad Renal Crónica (ERC) grupo de edad de 40 a 44 años no debe ser mayor al número de Personas con Enf. Renal Cronica de Sección A. ")</f>
        <v>#VALUE!</v>
      </c>
      <c r="CR89" s="191" t="e">
        <f>IF(S$89+S$90+S$91+S$92+S$93+S$94&lt;=S$23,"","* La suma de Personas Hombres con Enfermedad Renal Crónica (ERC) grupo de edad de 45 a 49 años no debe ser mayor al número de Personas con Enf. Renal Cronica de Sección A. ")</f>
        <v>#VALUE!</v>
      </c>
      <c r="CS89" s="191" t="e">
        <f>IF(T$89+T$90+T$91+T$92+T$93+T$94&lt;=T$23,"","* La suma de Personas Mujeres con Enfermedad Renal Crónica (ERC) grupo de edad de 45 a 49 años no debe ser mayor al número de Personas con Enf. Renal Cronica de Sección A. ")</f>
        <v>#VALUE!</v>
      </c>
      <c r="CT89" s="191" t="e">
        <f>IF(U$89+U$90+U$91+U$92+U$93+U$94&lt;=U$23,"","* La suma de Personas Hombres con Enfermedad Renal Crónica (ERC) grupo de edad de 50 a 54 años no debe ser mayor al número de Personas con Enf. Renal Cronica de Sección A. ")</f>
        <v>#VALUE!</v>
      </c>
      <c r="CU89" s="191" t="e">
        <f>IF(V$89+V$90+V$91+V$92+V$93+V$94&lt;=V$23,"","* La suma de Personas Mujeres con Enfermedad Renal Crónica (ERC) grupo de edad de 50 a 54 años no debe ser mayor al número de Personas con Enf. Renal Cronica de Sección A. ")</f>
        <v>#VALUE!</v>
      </c>
      <c r="CV89" s="191" t="e">
        <f>IF(W$89+W$90+W$91+W$92+W$93+W$94&lt;=W$23,"","* La suma de Personas Hombres con Enfermedad Renal Crónica (ERC) grupo de edad de 55 a 59 años no debe ser mayor al número de Personas con Enf. Renal Cronica de Sección A. ")</f>
        <v>#VALUE!</v>
      </c>
      <c r="CW89" s="191" t="e">
        <f>IF(X$89+X$90+X$91+X$92+X$93+X$94&lt;=X$23,"","* La suma de Personas Mujeres con Enfermedad Renal Crónica (ERC) grupo de edad de 55 a 59 años no debe ser mayor al número de Personas con Enf. Renal Cronica de Sección A. ")</f>
        <v>#VALUE!</v>
      </c>
      <c r="CX89" s="191" t="e">
        <f>IF(Y$89+Y$90+Y$91+Y$92+Y$93+Y$94&lt;=Y$23,"","* La suma de Personas Hombres con Enfermedad Renal Crónica (ERC) grupo de edad de 60 a 64 años no debe ser mayor al número de Personas con Enf. Renal Cronica de Sección A. ")</f>
        <v>#VALUE!</v>
      </c>
      <c r="CY89" s="191" t="e">
        <f>IF(Z$89+Z$90+Z$91+Z$92+Z$93+Z$94&lt;=Z$23,"","* La suma de Personas Mujeres con Enfermedad Renal Crónica (ERC) grupo de edad de 60 a 64 años no debe ser mayor al número de Personas con Enf. Renal Cronica de Sección A. ")</f>
        <v>#VALUE!</v>
      </c>
      <c r="CZ89" s="191" t="e">
        <f>IF(AA$89+AA$90+AA$91+AA$92+AA$93+AA$94&lt;=AA$23,"","* La suma de Personas Hombres con Enfermedad Renal Crónica (ERC) grupo de edad de 65 a 69 años no debe ser mayor al número de Personas con Enf. Renal Cronica de Sección A. ")</f>
        <v>#VALUE!</v>
      </c>
      <c r="DA89" s="191" t="e">
        <f>IF(AB$89+AB$90+AB$91+AB$92+AB$93+AB$94&lt;=AB$23,"","* La suma de Personas Mujeres con Enfermedad Renal Crónica (ERC) grupo de edad de 65 a 69 años no debe ser mayor al número de Personas con Enf. Renal Cronica de Sección A. ")</f>
        <v>#VALUE!</v>
      </c>
      <c r="DB89" s="191" t="e">
        <f>IF(AC$89+AC$90+AC$91+AC$92+AC$93+AC$94&lt;=AC$23,"","* La suma de Personas Hombres con Enfermedad Renal Crónica (ERC) grupo de edad de 70 a 74 años no debe ser mayor al número de Personas con Enf. Renal Cronica de Sección A. ")</f>
        <v>#VALUE!</v>
      </c>
      <c r="DC89" s="191" t="e">
        <f>IF(AD$89+AD$90+AD$91+AD$92+AD$93+AD$94&lt;=AD$23,"","* La suma de Personas Mujeres con Enfermedad Renal Crónica (ERC) grupo de edad de 70 a 74 años no debe ser mayor al número de Personas con Enf. Renal Cronica de Sección A. ")</f>
        <v>#VALUE!</v>
      </c>
      <c r="DD89" s="191" t="e">
        <f>IF(AE$89+AE$90+AE$91+AE$92+AE$93+AE$94&lt;=AE$23,"","* La suma de Personas Hombres con Enfermedad Renal Crónica (ERC) grupo de edad de 75 a 79 años no debe ser mayor al número de Personas con Enf. Renal Cronica de Sección A. ")</f>
        <v>#VALUE!</v>
      </c>
      <c r="DE89" s="191" t="e">
        <f>IF(AF$89+AF$90+AF$91+AF$92+AF$93+AF$94&lt;=AF$23,"","* La suma de Personas Mujeres con Enfermedad Renal Crónica (ERC) grupo de edad de 75 a 79 años no debe ser mayor al número de Personas con Enf. Renal Cronica de Sección A. ")</f>
        <v>#VALUE!</v>
      </c>
      <c r="DF89" s="191" t="e">
        <f>IF(AG$89+AG$90+AG$91+AG$92+AG$93+AG$94&lt;=AG$23,"","* La suma de Personas Hombres con Enfermedad Renal Crónica (ERC) grupo de edad de 80 y más años no debe ser mayor al número de Personas con Enf. Renal Cronica de Sección A. ")</f>
        <v>#VALUE!</v>
      </c>
      <c r="DG89" s="191" t="e">
        <f>IF(AH$89+AH$90+AH$91+AH$92+AH$93+AH$94&lt;=AH$23,"","* La suma de Personas Mujeres con Enfermedad Renal Crónica (ERC) grupo de edad de 80 y más años no debe ser mayor al número de Personas con Enf. Renal Cronica de Sección A. ")</f>
        <v>#VALUE!</v>
      </c>
      <c r="DL89" s="1047">
        <f t="shared" si="31"/>
        <v>1</v>
      </c>
      <c r="DM89" s="1047">
        <f t="shared" si="32"/>
        <v>1</v>
      </c>
      <c r="DN89" s="1047">
        <f t="shared" si="33"/>
        <v>1</v>
      </c>
      <c r="DO89" s="1047">
        <f t="shared" si="34"/>
        <v>1</v>
      </c>
      <c r="DP89" s="1047" t="e">
        <f>IF(G$89+G$90+G$91+G$92+G$93+G$94&lt;=G$23,0,1)</f>
        <v>#VALUE!</v>
      </c>
      <c r="DQ89" s="1047" t="e">
        <f t="shared" ref="DQ89:EQ89" si="51">IF(H$89+H$90+H$91+H$92+H$93+H$94&lt;=H$23,0,1)</f>
        <v>#VALUE!</v>
      </c>
      <c r="DR89" s="1047" t="e">
        <f t="shared" si="51"/>
        <v>#VALUE!</v>
      </c>
      <c r="DS89" s="1047" t="e">
        <f t="shared" si="51"/>
        <v>#VALUE!</v>
      </c>
      <c r="DT89" s="1047" t="e">
        <f t="shared" si="51"/>
        <v>#VALUE!</v>
      </c>
      <c r="DU89" s="1047" t="e">
        <f t="shared" si="51"/>
        <v>#VALUE!</v>
      </c>
      <c r="DV89" s="1047" t="e">
        <f t="shared" si="51"/>
        <v>#VALUE!</v>
      </c>
      <c r="DW89" s="1047" t="e">
        <f t="shared" si="51"/>
        <v>#VALUE!</v>
      </c>
      <c r="DX89" s="1047" t="e">
        <f t="shared" si="51"/>
        <v>#VALUE!</v>
      </c>
      <c r="DY89" s="1047" t="e">
        <f t="shared" si="51"/>
        <v>#VALUE!</v>
      </c>
      <c r="DZ89" s="1047" t="e">
        <f t="shared" si="51"/>
        <v>#VALUE!</v>
      </c>
      <c r="EA89" s="1047" t="e">
        <f t="shared" si="51"/>
        <v>#VALUE!</v>
      </c>
      <c r="EB89" s="1047" t="e">
        <f t="shared" si="51"/>
        <v>#VALUE!</v>
      </c>
      <c r="EC89" s="1047" t="e">
        <f t="shared" si="51"/>
        <v>#VALUE!</v>
      </c>
      <c r="ED89" s="1047" t="e">
        <f t="shared" si="51"/>
        <v>#VALUE!</v>
      </c>
      <c r="EE89" s="1047" t="e">
        <f t="shared" si="51"/>
        <v>#VALUE!</v>
      </c>
      <c r="EF89" s="1047" t="e">
        <f t="shared" si="51"/>
        <v>#VALUE!</v>
      </c>
      <c r="EG89" s="1047" t="e">
        <f t="shared" si="51"/>
        <v>#VALUE!</v>
      </c>
      <c r="EH89" s="1047" t="e">
        <f t="shared" si="51"/>
        <v>#VALUE!</v>
      </c>
      <c r="EI89" s="1047" t="e">
        <f t="shared" si="51"/>
        <v>#VALUE!</v>
      </c>
      <c r="EJ89" s="1047" t="e">
        <f t="shared" si="51"/>
        <v>#VALUE!</v>
      </c>
      <c r="EK89" s="1047" t="e">
        <f t="shared" si="51"/>
        <v>#VALUE!</v>
      </c>
      <c r="EL89" s="1047" t="e">
        <f t="shared" si="51"/>
        <v>#VALUE!</v>
      </c>
      <c r="EM89" s="1047" t="e">
        <f t="shared" si="51"/>
        <v>#VALUE!</v>
      </c>
      <c r="EN89" s="1047" t="e">
        <f t="shared" si="51"/>
        <v>#VALUE!</v>
      </c>
      <c r="EO89" s="1047" t="e">
        <f t="shared" si="51"/>
        <v>#VALUE!</v>
      </c>
      <c r="EP89" s="1047" t="e">
        <f t="shared" si="51"/>
        <v>#VALUE!</v>
      </c>
      <c r="EQ89" s="1047" t="e">
        <f t="shared" si="51"/>
        <v>#VALUE!</v>
      </c>
    </row>
    <row r="90" spans="1:147" ht="15" customHeight="1" x14ac:dyDescent="0.2">
      <c r="A90" s="1594" t="s">
        <v>1286</v>
      </c>
      <c r="B90" s="2002"/>
      <c r="C90" s="1601" t="s">
        <v>567</v>
      </c>
      <c r="D90" s="1147" t="s">
        <v>1616</v>
      </c>
      <c r="E90" s="397" t="s">
        <v>1617</v>
      </c>
      <c r="F90" s="448" t="s">
        <v>1618</v>
      </c>
      <c r="G90" s="398" t="s">
        <v>1619</v>
      </c>
      <c r="H90" s="399" t="s">
        <v>1620</v>
      </c>
      <c r="I90" s="398" t="s">
        <v>1621</v>
      </c>
      <c r="J90" s="399" t="s">
        <v>1622</v>
      </c>
      <c r="K90" s="398" t="s">
        <v>1623</v>
      </c>
      <c r="L90" s="399" t="s">
        <v>1624</v>
      </c>
      <c r="M90" s="398" t="s">
        <v>1625</v>
      </c>
      <c r="N90" s="399" t="s">
        <v>1626</v>
      </c>
      <c r="O90" s="398" t="s">
        <v>1627</v>
      </c>
      <c r="P90" s="399" t="s">
        <v>1628</v>
      </c>
      <c r="Q90" s="398" t="s">
        <v>1629</v>
      </c>
      <c r="R90" s="399" t="s">
        <v>1630</v>
      </c>
      <c r="S90" s="398" t="s">
        <v>1631</v>
      </c>
      <c r="T90" s="399" t="s">
        <v>1632</v>
      </c>
      <c r="U90" s="398" t="s">
        <v>1633</v>
      </c>
      <c r="V90" s="399" t="s">
        <v>1634</v>
      </c>
      <c r="W90" s="398" t="s">
        <v>1635</v>
      </c>
      <c r="X90" s="399" t="s">
        <v>1636</v>
      </c>
      <c r="Y90" s="398" t="s">
        <v>1637</v>
      </c>
      <c r="Z90" s="399" t="s">
        <v>1638</v>
      </c>
      <c r="AA90" s="398" t="s">
        <v>1639</v>
      </c>
      <c r="AB90" s="399" t="s">
        <v>1640</v>
      </c>
      <c r="AC90" s="398" t="s">
        <v>1641</v>
      </c>
      <c r="AD90" s="399" t="s">
        <v>1642</v>
      </c>
      <c r="AE90" s="398" t="s">
        <v>1643</v>
      </c>
      <c r="AF90" s="399" t="s">
        <v>1644</v>
      </c>
      <c r="AG90" s="417" t="s">
        <v>1645</v>
      </c>
      <c r="AH90" s="419" t="s">
        <v>1646</v>
      </c>
      <c r="AI90" s="445" t="s">
        <v>1647</v>
      </c>
      <c r="AJ90" s="399" t="s">
        <v>1648</v>
      </c>
      <c r="AK90" s="659" t="s">
        <v>1649</v>
      </c>
      <c r="AL90" s="533" t="s">
        <v>1650</v>
      </c>
      <c r="AM90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90" s="191" t="str">
        <f t="shared" si="47"/>
        <v xml:space="preserve"> * La variable Pueblos Originarios Hombres no puede ser Mayor al Total Hombres.</v>
      </c>
      <c r="CC90" s="191" t="str">
        <f t="shared" si="48"/>
        <v xml:space="preserve"> * La variable Pueblos Originarios Mujeres no puede ser Mayor al Total Mujeres.</v>
      </c>
      <c r="CD90" s="191" t="str">
        <f t="shared" si="49"/>
        <v xml:space="preserve"> * La variable Migrantes Hombres no puede ser Mayor al Total Hombres.</v>
      </c>
      <c r="CE90" s="191" t="str">
        <f t="shared" si="50"/>
        <v xml:space="preserve"> * La variable Migrantes Mujeres no puede ser Mayor al Total Mujeres.</v>
      </c>
      <c r="DL90" s="1047">
        <f t="shared" si="31"/>
        <v>1</v>
      </c>
      <c r="DM90" s="1047">
        <f t="shared" si="32"/>
        <v>1</v>
      </c>
      <c r="DN90" s="1047">
        <f t="shared" si="33"/>
        <v>1</v>
      </c>
      <c r="DO90" s="1047">
        <f t="shared" si="34"/>
        <v>1</v>
      </c>
    </row>
    <row r="91" spans="1:147" ht="15" customHeight="1" x14ac:dyDescent="0.2">
      <c r="A91" s="1594" t="s">
        <v>1287</v>
      </c>
      <c r="B91" s="2002"/>
      <c r="C91" s="1601" t="s">
        <v>568</v>
      </c>
      <c r="D91" s="1147" t="s">
        <v>1616</v>
      </c>
      <c r="E91" s="397" t="s">
        <v>1617</v>
      </c>
      <c r="F91" s="448" t="s">
        <v>1618</v>
      </c>
      <c r="G91" s="398" t="s">
        <v>1619</v>
      </c>
      <c r="H91" s="399" t="s">
        <v>1620</v>
      </c>
      <c r="I91" s="398" t="s">
        <v>1621</v>
      </c>
      <c r="J91" s="399" t="s">
        <v>1622</v>
      </c>
      <c r="K91" s="398" t="s">
        <v>1623</v>
      </c>
      <c r="L91" s="399" t="s">
        <v>1624</v>
      </c>
      <c r="M91" s="398" t="s">
        <v>1625</v>
      </c>
      <c r="N91" s="399" t="s">
        <v>1626</v>
      </c>
      <c r="O91" s="398" t="s">
        <v>1627</v>
      </c>
      <c r="P91" s="399" t="s">
        <v>1628</v>
      </c>
      <c r="Q91" s="398" t="s">
        <v>1629</v>
      </c>
      <c r="R91" s="399" t="s">
        <v>1630</v>
      </c>
      <c r="S91" s="398" t="s">
        <v>1631</v>
      </c>
      <c r="T91" s="399" t="s">
        <v>1632</v>
      </c>
      <c r="U91" s="398" t="s">
        <v>1633</v>
      </c>
      <c r="V91" s="399" t="s">
        <v>1634</v>
      </c>
      <c r="W91" s="398" t="s">
        <v>1635</v>
      </c>
      <c r="X91" s="399" t="s">
        <v>1636</v>
      </c>
      <c r="Y91" s="398" t="s">
        <v>1637</v>
      </c>
      <c r="Z91" s="399" t="s">
        <v>1638</v>
      </c>
      <c r="AA91" s="398" t="s">
        <v>1639</v>
      </c>
      <c r="AB91" s="399" t="s">
        <v>1640</v>
      </c>
      <c r="AC91" s="398" t="s">
        <v>1641</v>
      </c>
      <c r="AD91" s="399" t="s">
        <v>1642</v>
      </c>
      <c r="AE91" s="398" t="s">
        <v>1643</v>
      </c>
      <c r="AF91" s="399" t="s">
        <v>1644</v>
      </c>
      <c r="AG91" s="417" t="s">
        <v>1645</v>
      </c>
      <c r="AH91" s="419" t="s">
        <v>1646</v>
      </c>
      <c r="AI91" s="445" t="s">
        <v>1647</v>
      </c>
      <c r="AJ91" s="399" t="s">
        <v>1648</v>
      </c>
      <c r="AK91" s="465" t="s">
        <v>1649</v>
      </c>
      <c r="AL91" s="533" t="s">
        <v>1650</v>
      </c>
      <c r="AM91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91" s="191" t="str">
        <f>IF(AND(E91&gt;0,OR(AI91=""))," * No olvide digitar la variable Pueblos Originarios Hombres. Digite Cero si no tiene.",IF(AI91&gt;E91," * La variable Pueblos Originarios Hombres no puede ser Mayor al Total Hombres.",""))</f>
        <v xml:space="preserve"> * La variable Pueblos Originarios Hombres no puede ser Mayor al Total Hombres.</v>
      </c>
      <c r="CC91" s="191" t="str">
        <f t="shared" si="48"/>
        <v xml:space="preserve"> * La variable Pueblos Originarios Mujeres no puede ser Mayor al Total Mujeres.</v>
      </c>
      <c r="CD91" s="191" t="str">
        <f t="shared" si="49"/>
        <v xml:space="preserve"> * La variable Migrantes Hombres no puede ser Mayor al Total Hombres.</v>
      </c>
      <c r="CE91" s="191" t="str">
        <f t="shared" si="50"/>
        <v xml:space="preserve"> * La variable Migrantes Mujeres no puede ser Mayor al Total Mujeres.</v>
      </c>
      <c r="DL91" s="1047">
        <f t="shared" si="31"/>
        <v>1</v>
      </c>
      <c r="DM91" s="1047">
        <f t="shared" si="32"/>
        <v>1</v>
      </c>
      <c r="DN91" s="1047">
        <f t="shared" si="33"/>
        <v>1</v>
      </c>
      <c r="DO91" s="1047">
        <f t="shared" si="34"/>
        <v>1</v>
      </c>
    </row>
    <row r="92" spans="1:147" ht="15" customHeight="1" x14ac:dyDescent="0.2">
      <c r="A92" s="1594" t="s">
        <v>1288</v>
      </c>
      <c r="B92" s="2002"/>
      <c r="C92" s="1601" t="s">
        <v>569</v>
      </c>
      <c r="D92" s="1147" t="s">
        <v>1616</v>
      </c>
      <c r="E92" s="397" t="s">
        <v>1617</v>
      </c>
      <c r="F92" s="448" t="s">
        <v>1618</v>
      </c>
      <c r="G92" s="398" t="s">
        <v>1619</v>
      </c>
      <c r="H92" s="399" t="s">
        <v>1620</v>
      </c>
      <c r="I92" s="398" t="s">
        <v>1621</v>
      </c>
      <c r="J92" s="399" t="s">
        <v>1622</v>
      </c>
      <c r="K92" s="398" t="s">
        <v>1623</v>
      </c>
      <c r="L92" s="399" t="s">
        <v>1624</v>
      </c>
      <c r="M92" s="398" t="s">
        <v>1625</v>
      </c>
      <c r="N92" s="399" t="s">
        <v>1626</v>
      </c>
      <c r="O92" s="398" t="s">
        <v>1627</v>
      </c>
      <c r="P92" s="399" t="s">
        <v>1628</v>
      </c>
      <c r="Q92" s="398" t="s">
        <v>1629</v>
      </c>
      <c r="R92" s="399" t="s">
        <v>1630</v>
      </c>
      <c r="S92" s="398" t="s">
        <v>1631</v>
      </c>
      <c r="T92" s="399" t="s">
        <v>1632</v>
      </c>
      <c r="U92" s="398" t="s">
        <v>1633</v>
      </c>
      <c r="V92" s="399" t="s">
        <v>1634</v>
      </c>
      <c r="W92" s="398" t="s">
        <v>1635</v>
      </c>
      <c r="X92" s="399" t="s">
        <v>1636</v>
      </c>
      <c r="Y92" s="398" t="s">
        <v>1637</v>
      </c>
      <c r="Z92" s="399" t="s">
        <v>1638</v>
      </c>
      <c r="AA92" s="398" t="s">
        <v>1639</v>
      </c>
      <c r="AB92" s="399" t="s">
        <v>1640</v>
      </c>
      <c r="AC92" s="398" t="s">
        <v>1641</v>
      </c>
      <c r="AD92" s="399" t="s">
        <v>1642</v>
      </c>
      <c r="AE92" s="398" t="s">
        <v>1643</v>
      </c>
      <c r="AF92" s="399" t="s">
        <v>1644</v>
      </c>
      <c r="AG92" s="417" t="s">
        <v>1645</v>
      </c>
      <c r="AH92" s="419" t="s">
        <v>1646</v>
      </c>
      <c r="AI92" s="445" t="s">
        <v>1647</v>
      </c>
      <c r="AJ92" s="399" t="s">
        <v>1648</v>
      </c>
      <c r="AK92" s="659" t="s">
        <v>1649</v>
      </c>
      <c r="AL92" s="533" t="s">
        <v>1650</v>
      </c>
      <c r="AM92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92" s="191" t="str">
        <f t="shared" si="47"/>
        <v xml:space="preserve"> * La variable Pueblos Originarios Hombres no puede ser Mayor al Total Hombres.</v>
      </c>
      <c r="CC92" s="191" t="str">
        <f t="shared" si="48"/>
        <v xml:space="preserve"> * La variable Pueblos Originarios Mujeres no puede ser Mayor al Total Mujeres.</v>
      </c>
      <c r="CD92" s="191" t="str">
        <f t="shared" si="49"/>
        <v xml:space="preserve"> * La variable Migrantes Hombres no puede ser Mayor al Total Hombres.</v>
      </c>
      <c r="CE92" s="191" t="str">
        <f t="shared" si="50"/>
        <v xml:space="preserve"> * La variable Migrantes Mujeres no puede ser Mayor al Total Mujeres.</v>
      </c>
      <c r="DL92" s="1047">
        <f t="shared" si="31"/>
        <v>1</v>
      </c>
      <c r="DM92" s="1047">
        <f t="shared" si="32"/>
        <v>1</v>
      </c>
      <c r="DN92" s="1047">
        <f t="shared" si="33"/>
        <v>1</v>
      </c>
      <c r="DO92" s="1047">
        <f t="shared" si="34"/>
        <v>1</v>
      </c>
    </row>
    <row r="93" spans="1:147" ht="15" customHeight="1" x14ac:dyDescent="0.2">
      <c r="A93" s="1594" t="s">
        <v>1289</v>
      </c>
      <c r="B93" s="2002"/>
      <c r="C93" s="1601" t="s">
        <v>570</v>
      </c>
      <c r="D93" s="1147" t="s">
        <v>1616</v>
      </c>
      <c r="E93" s="397" t="s">
        <v>1617</v>
      </c>
      <c r="F93" s="448" t="s">
        <v>1618</v>
      </c>
      <c r="G93" s="398" t="s">
        <v>1619</v>
      </c>
      <c r="H93" s="399" t="s">
        <v>1620</v>
      </c>
      <c r="I93" s="398" t="s">
        <v>1621</v>
      </c>
      <c r="J93" s="399" t="s">
        <v>1622</v>
      </c>
      <c r="K93" s="398" t="s">
        <v>1623</v>
      </c>
      <c r="L93" s="399" t="s">
        <v>1624</v>
      </c>
      <c r="M93" s="398" t="s">
        <v>1625</v>
      </c>
      <c r="N93" s="399" t="s">
        <v>1626</v>
      </c>
      <c r="O93" s="398" t="s">
        <v>1627</v>
      </c>
      <c r="P93" s="399" t="s">
        <v>1628</v>
      </c>
      <c r="Q93" s="398" t="s">
        <v>1629</v>
      </c>
      <c r="R93" s="399" t="s">
        <v>1630</v>
      </c>
      <c r="S93" s="398" t="s">
        <v>1631</v>
      </c>
      <c r="T93" s="399" t="s">
        <v>1632</v>
      </c>
      <c r="U93" s="398" t="s">
        <v>1633</v>
      </c>
      <c r="V93" s="399" t="s">
        <v>1634</v>
      </c>
      <c r="W93" s="398" t="s">
        <v>1635</v>
      </c>
      <c r="X93" s="399" t="s">
        <v>1636</v>
      </c>
      <c r="Y93" s="398" t="s">
        <v>1637</v>
      </c>
      <c r="Z93" s="399" t="s">
        <v>1638</v>
      </c>
      <c r="AA93" s="398" t="s">
        <v>1639</v>
      </c>
      <c r="AB93" s="399" t="s">
        <v>1640</v>
      </c>
      <c r="AC93" s="398" t="s">
        <v>1641</v>
      </c>
      <c r="AD93" s="399" t="s">
        <v>1642</v>
      </c>
      <c r="AE93" s="398" t="s">
        <v>1643</v>
      </c>
      <c r="AF93" s="399" t="s">
        <v>1644</v>
      </c>
      <c r="AG93" s="417" t="s">
        <v>1645</v>
      </c>
      <c r="AH93" s="419" t="s">
        <v>1646</v>
      </c>
      <c r="AI93" s="445" t="s">
        <v>1647</v>
      </c>
      <c r="AJ93" s="399" t="s">
        <v>1648</v>
      </c>
      <c r="AK93" s="465" t="s">
        <v>1649</v>
      </c>
      <c r="AL93" s="533" t="s">
        <v>1650</v>
      </c>
      <c r="AM93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93" s="191" t="str">
        <f t="shared" si="47"/>
        <v xml:space="preserve"> * La variable Pueblos Originarios Hombres no puede ser Mayor al Total Hombres.</v>
      </c>
      <c r="CC93" s="191" t="str">
        <f t="shared" si="48"/>
        <v xml:space="preserve"> * La variable Pueblos Originarios Mujeres no puede ser Mayor al Total Mujeres.</v>
      </c>
      <c r="CD93" s="191" t="str">
        <f t="shared" si="49"/>
        <v xml:space="preserve"> * La variable Migrantes Hombres no puede ser Mayor al Total Hombres.</v>
      </c>
      <c r="CE93" s="191" t="str">
        <f t="shared" si="50"/>
        <v xml:space="preserve"> * La variable Migrantes Mujeres no puede ser Mayor al Total Mujeres.</v>
      </c>
      <c r="DL93" s="1047">
        <f t="shared" si="31"/>
        <v>1</v>
      </c>
      <c r="DM93" s="1047">
        <f t="shared" si="32"/>
        <v>1</v>
      </c>
      <c r="DN93" s="1047">
        <f t="shared" si="33"/>
        <v>1</v>
      </c>
      <c r="DO93" s="1047">
        <f t="shared" si="34"/>
        <v>1</v>
      </c>
    </row>
    <row r="94" spans="1:147" ht="15" customHeight="1" x14ac:dyDescent="0.2">
      <c r="A94" s="1594" t="s">
        <v>1290</v>
      </c>
      <c r="B94" s="2002"/>
      <c r="C94" s="1602" t="s">
        <v>571</v>
      </c>
      <c r="D94" s="1147" t="s">
        <v>1616</v>
      </c>
      <c r="E94" s="397" t="s">
        <v>1617</v>
      </c>
      <c r="F94" s="448" t="s">
        <v>1618</v>
      </c>
      <c r="G94" s="408" t="s">
        <v>1619</v>
      </c>
      <c r="H94" s="409" t="s">
        <v>1620</v>
      </c>
      <c r="I94" s="408" t="s">
        <v>1621</v>
      </c>
      <c r="J94" s="409" t="s">
        <v>1622</v>
      </c>
      <c r="K94" s="408" t="s">
        <v>1623</v>
      </c>
      <c r="L94" s="409" t="s">
        <v>1624</v>
      </c>
      <c r="M94" s="408" t="s">
        <v>1625</v>
      </c>
      <c r="N94" s="409" t="s">
        <v>1626</v>
      </c>
      <c r="O94" s="408" t="s">
        <v>1627</v>
      </c>
      <c r="P94" s="409" t="s">
        <v>1628</v>
      </c>
      <c r="Q94" s="408" t="s">
        <v>1629</v>
      </c>
      <c r="R94" s="409" t="s">
        <v>1630</v>
      </c>
      <c r="S94" s="408" t="s">
        <v>1631</v>
      </c>
      <c r="T94" s="409" t="s">
        <v>1632</v>
      </c>
      <c r="U94" s="408" t="s">
        <v>1633</v>
      </c>
      <c r="V94" s="409" t="s">
        <v>1634</v>
      </c>
      <c r="W94" s="408" t="s">
        <v>1635</v>
      </c>
      <c r="X94" s="409" t="s">
        <v>1636</v>
      </c>
      <c r="Y94" s="408" t="s">
        <v>1637</v>
      </c>
      <c r="Z94" s="409" t="s">
        <v>1638</v>
      </c>
      <c r="AA94" s="408" t="s">
        <v>1639</v>
      </c>
      <c r="AB94" s="409" t="s">
        <v>1640</v>
      </c>
      <c r="AC94" s="408" t="s">
        <v>1641</v>
      </c>
      <c r="AD94" s="409" t="s">
        <v>1642</v>
      </c>
      <c r="AE94" s="408" t="s">
        <v>1643</v>
      </c>
      <c r="AF94" s="409" t="s">
        <v>1644</v>
      </c>
      <c r="AG94" s="408" t="s">
        <v>1645</v>
      </c>
      <c r="AH94" s="410" t="s">
        <v>1646</v>
      </c>
      <c r="AI94" s="449" t="s">
        <v>1647</v>
      </c>
      <c r="AJ94" s="409" t="s">
        <v>1648</v>
      </c>
      <c r="AK94" s="659" t="s">
        <v>1649</v>
      </c>
      <c r="AL94" s="533" t="s">
        <v>1650</v>
      </c>
      <c r="AM94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94" s="191" t="str">
        <f t="shared" si="47"/>
        <v xml:space="preserve"> * La variable Pueblos Originarios Hombres no puede ser Mayor al Total Hombres.</v>
      </c>
      <c r="CC94" s="191" t="str">
        <f t="shared" si="48"/>
        <v xml:space="preserve"> * La variable Pueblos Originarios Mujeres no puede ser Mayor al Total Mujeres.</v>
      </c>
      <c r="CD94" s="191" t="str">
        <f t="shared" si="49"/>
        <v xml:space="preserve"> * La variable Migrantes Hombres no puede ser Mayor al Total Hombres.</v>
      </c>
      <c r="CE94" s="191" t="str">
        <f t="shared" si="50"/>
        <v xml:space="preserve"> * La variable Migrantes Mujeres no puede ser Mayor al Total Mujeres.</v>
      </c>
      <c r="DL94" s="1047">
        <f t="shared" si="31"/>
        <v>1</v>
      </c>
      <c r="DM94" s="1047">
        <f t="shared" si="32"/>
        <v>1</v>
      </c>
      <c r="DN94" s="1047">
        <f t="shared" si="33"/>
        <v>1</v>
      </c>
      <c r="DO94" s="1047">
        <f t="shared" si="34"/>
        <v>1</v>
      </c>
    </row>
    <row r="95" spans="1:147" ht="15" customHeight="1" x14ac:dyDescent="0.2">
      <c r="A95" s="1594" t="s">
        <v>1291</v>
      </c>
      <c r="B95" s="2002"/>
      <c r="C95" s="1603" t="s">
        <v>572</v>
      </c>
      <c r="D95" s="1143" t="s">
        <v>1616</v>
      </c>
      <c r="E95" s="391" t="s">
        <v>1617</v>
      </c>
      <c r="F95" s="458" t="s">
        <v>1618</v>
      </c>
      <c r="G95" s="403" t="s">
        <v>1619</v>
      </c>
      <c r="H95" s="404" t="s">
        <v>1620</v>
      </c>
      <c r="I95" s="403" t="s">
        <v>1621</v>
      </c>
      <c r="J95" s="404" t="s">
        <v>1622</v>
      </c>
      <c r="K95" s="403" t="s">
        <v>1623</v>
      </c>
      <c r="L95" s="404" t="s">
        <v>1624</v>
      </c>
      <c r="M95" s="403" t="s">
        <v>1625</v>
      </c>
      <c r="N95" s="404" t="s">
        <v>1626</v>
      </c>
      <c r="O95" s="403" t="s">
        <v>1627</v>
      </c>
      <c r="P95" s="404" t="s">
        <v>1628</v>
      </c>
      <c r="Q95" s="403" t="s">
        <v>1629</v>
      </c>
      <c r="R95" s="404" t="s">
        <v>1630</v>
      </c>
      <c r="S95" s="403" t="s">
        <v>1631</v>
      </c>
      <c r="T95" s="404" t="s">
        <v>1632</v>
      </c>
      <c r="U95" s="403" t="s">
        <v>1633</v>
      </c>
      <c r="V95" s="404" t="s">
        <v>1634</v>
      </c>
      <c r="W95" s="403" t="s">
        <v>1635</v>
      </c>
      <c r="X95" s="404" t="s">
        <v>1636</v>
      </c>
      <c r="Y95" s="403" t="s">
        <v>1637</v>
      </c>
      <c r="Z95" s="404" t="s">
        <v>1638</v>
      </c>
      <c r="AA95" s="403" t="s">
        <v>1639</v>
      </c>
      <c r="AB95" s="404" t="s">
        <v>1640</v>
      </c>
      <c r="AC95" s="403" t="s">
        <v>1641</v>
      </c>
      <c r="AD95" s="404" t="s">
        <v>1642</v>
      </c>
      <c r="AE95" s="403" t="s">
        <v>1643</v>
      </c>
      <c r="AF95" s="404" t="s">
        <v>1644</v>
      </c>
      <c r="AG95" s="403" t="s">
        <v>1645</v>
      </c>
      <c r="AH95" s="431" t="s">
        <v>1646</v>
      </c>
      <c r="AI95" s="416" t="s">
        <v>1647</v>
      </c>
      <c r="AJ95" s="404" t="s">
        <v>1648</v>
      </c>
      <c r="AK95" s="659" t="s">
        <v>1649</v>
      </c>
      <c r="AL95" s="533" t="s">
        <v>1650</v>
      </c>
      <c r="AM95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95" s="191" t="str">
        <f t="shared" si="47"/>
        <v xml:space="preserve"> * La variable Pueblos Originarios Hombres no puede ser Mayor al Total Hombres.</v>
      </c>
      <c r="CC95" s="191" t="str">
        <f t="shared" si="48"/>
        <v xml:space="preserve"> * La variable Pueblos Originarios Mujeres no puede ser Mayor al Total Mujeres.</v>
      </c>
      <c r="CD95" s="191" t="str">
        <f t="shared" si="49"/>
        <v xml:space="preserve"> * La variable Migrantes Hombres no puede ser Mayor al Total Hombres.</v>
      </c>
      <c r="CE95" s="191" t="str">
        <f t="shared" si="50"/>
        <v xml:space="preserve"> * La variable Migrantes Mujeres no puede ser Mayor al Total Mujeres.</v>
      </c>
      <c r="DL95" s="1047">
        <f t="shared" si="31"/>
        <v>1</v>
      </c>
      <c r="DM95" s="1047">
        <f t="shared" si="32"/>
        <v>1</v>
      </c>
      <c r="DN95" s="1047">
        <f t="shared" si="33"/>
        <v>1</v>
      </c>
      <c r="DO95" s="1047">
        <f t="shared" si="34"/>
        <v>1</v>
      </c>
    </row>
    <row r="96" spans="1:147" ht="15" customHeight="1" x14ac:dyDescent="0.15">
      <c r="A96" s="1578"/>
      <c r="B96" s="2002"/>
      <c r="C96" s="1333" t="s">
        <v>49</v>
      </c>
      <c r="D96" s="1143">
        <f>SUM(E96:F96)</f>
        <v>0</v>
      </c>
      <c r="E96" s="391">
        <f>+G96+I96+K96+M96+O96+Q96+S96+U96+W96+Y96+AA96+AC96+AE96+AG96</f>
        <v>0</v>
      </c>
      <c r="F96" s="458">
        <f>+H96+J96+L96+N96+P96+R96+T96+V96+X96+Z96+AB96+AD96+AF96+AH96</f>
        <v>0</v>
      </c>
      <c r="G96" s="1265">
        <f>SUM(G88:G95)</f>
        <v>0</v>
      </c>
      <c r="H96" s="1032">
        <f t="shared" ref="H96:AL96" si="52">SUM(H88:H95)</f>
        <v>0</v>
      </c>
      <c r="I96" s="1265">
        <f t="shared" si="52"/>
        <v>0</v>
      </c>
      <c r="J96" s="1032">
        <f t="shared" si="52"/>
        <v>0</v>
      </c>
      <c r="K96" s="1265">
        <f t="shared" si="52"/>
        <v>0</v>
      </c>
      <c r="L96" s="1032">
        <f t="shared" si="52"/>
        <v>0</v>
      </c>
      <c r="M96" s="1265">
        <f t="shared" si="52"/>
        <v>0</v>
      </c>
      <c r="N96" s="1032">
        <f t="shared" si="52"/>
        <v>0</v>
      </c>
      <c r="O96" s="1265">
        <f t="shared" si="52"/>
        <v>0</v>
      </c>
      <c r="P96" s="1032">
        <f t="shared" si="52"/>
        <v>0</v>
      </c>
      <c r="Q96" s="1265">
        <f t="shared" si="52"/>
        <v>0</v>
      </c>
      <c r="R96" s="1032">
        <f t="shared" si="52"/>
        <v>0</v>
      </c>
      <c r="S96" s="1265">
        <f t="shared" si="52"/>
        <v>0</v>
      </c>
      <c r="T96" s="1032">
        <f t="shared" si="52"/>
        <v>0</v>
      </c>
      <c r="U96" s="1265">
        <f t="shared" si="52"/>
        <v>0</v>
      </c>
      <c r="V96" s="1032">
        <f t="shared" si="52"/>
        <v>0</v>
      </c>
      <c r="W96" s="1265">
        <f t="shared" si="52"/>
        <v>0</v>
      </c>
      <c r="X96" s="1032">
        <f t="shared" si="52"/>
        <v>0</v>
      </c>
      <c r="Y96" s="1265">
        <f t="shared" si="52"/>
        <v>0</v>
      </c>
      <c r="Z96" s="1032">
        <f t="shared" si="52"/>
        <v>0</v>
      </c>
      <c r="AA96" s="1265">
        <f t="shared" si="52"/>
        <v>0</v>
      </c>
      <c r="AB96" s="1032">
        <f t="shared" si="52"/>
        <v>0</v>
      </c>
      <c r="AC96" s="1265">
        <f t="shared" si="52"/>
        <v>0</v>
      </c>
      <c r="AD96" s="1032">
        <f t="shared" si="52"/>
        <v>0</v>
      </c>
      <c r="AE96" s="1265">
        <f t="shared" si="52"/>
        <v>0</v>
      </c>
      <c r="AF96" s="1032">
        <f t="shared" si="52"/>
        <v>0</v>
      </c>
      <c r="AG96" s="1265">
        <f t="shared" si="52"/>
        <v>0</v>
      </c>
      <c r="AH96" s="460">
        <f t="shared" si="52"/>
        <v>0</v>
      </c>
      <c r="AI96" s="1033">
        <f t="shared" si="52"/>
        <v>0</v>
      </c>
      <c r="AJ96" s="1032">
        <f t="shared" si="52"/>
        <v>0</v>
      </c>
      <c r="AK96" s="1488">
        <f t="shared" si="52"/>
        <v>0</v>
      </c>
      <c r="AL96" s="1489">
        <f t="shared" si="52"/>
        <v>0</v>
      </c>
    </row>
    <row r="97" spans="1:27" ht="14.25" customHeight="1" x14ac:dyDescent="0.15">
      <c r="B97" s="108" t="s">
        <v>573</v>
      </c>
    </row>
    <row r="98" spans="1:27" x14ac:dyDescent="0.15">
      <c r="AA98" s="36"/>
    </row>
    <row r="100" spans="1:27" x14ac:dyDescent="0.15">
      <c r="A100" s="108" t="s">
        <v>1292</v>
      </c>
    </row>
    <row r="101" spans="1:27" ht="14.25" x14ac:dyDescent="0.2">
      <c r="A101" s="1589" t="s">
        <v>1293</v>
      </c>
    </row>
    <row r="102" spans="1:27" ht="14.25" x14ac:dyDescent="0.2">
      <c r="A102" s="1589" t="s">
        <v>1294</v>
      </c>
    </row>
    <row r="103" spans="1:27" ht="14.25" x14ac:dyDescent="0.2">
      <c r="A103" s="1589" t="s">
        <v>1295</v>
      </c>
    </row>
    <row r="104" spans="1:27" ht="14.25" x14ac:dyDescent="0.2">
      <c r="A104" s="1589" t="s">
        <v>1296</v>
      </c>
    </row>
    <row r="105" spans="1:27" ht="14.25" x14ac:dyDescent="0.2">
      <c r="A105" s="1589" t="s">
        <v>1297</v>
      </c>
    </row>
    <row r="106" spans="1:27" ht="14.25" x14ac:dyDescent="0.2">
      <c r="A106" s="1589" t="s">
        <v>1298</v>
      </c>
    </row>
    <row r="107" spans="1:27" ht="14.25" x14ac:dyDescent="0.2">
      <c r="A107" s="1589" t="s">
        <v>1299</v>
      </c>
    </row>
    <row r="108" spans="1:27" ht="14.25" x14ac:dyDescent="0.2">
      <c r="A108" s="1589" t="s">
        <v>1300</v>
      </c>
    </row>
    <row r="109" spans="1:27" ht="14.25" x14ac:dyDescent="0.2">
      <c r="A109" s="1589" t="s">
        <v>1301</v>
      </c>
    </row>
    <row r="110" spans="1:27" ht="14.25" x14ac:dyDescent="0.2">
      <c r="A110" s="1589" t="s">
        <v>1302</v>
      </c>
      <c r="B110" s="1484">
        <f>SUM(D12:D23,D28:D42,D48:D73,D75:D80,D82:D95)</f>
        <v>0</v>
      </c>
      <c r="C110" s="189" t="s">
        <v>206</v>
      </c>
    </row>
    <row r="111" spans="1:27" x14ac:dyDescent="0.15">
      <c r="A111" s="108" t="s">
        <v>1017</v>
      </c>
      <c r="B111" s="1484" t="e">
        <f>SUM(DL13:ES95)</f>
        <v>#VALUE!</v>
      </c>
      <c r="C111" s="189" t="s">
        <v>207</v>
      </c>
    </row>
    <row r="112" spans="1:27" ht="14.25" x14ac:dyDescent="0.2">
      <c r="A112" s="1594" t="s">
        <v>1229</v>
      </c>
    </row>
    <row r="113" spans="1:1" ht="14.25" x14ac:dyDescent="0.2">
      <c r="A113" s="1594" t="s">
        <v>1230</v>
      </c>
    </row>
    <row r="114" spans="1:1" ht="14.25" x14ac:dyDescent="0.2">
      <c r="A114" s="1594" t="s">
        <v>1236</v>
      </c>
    </row>
    <row r="115" spans="1:1" ht="14.25" x14ac:dyDescent="0.2">
      <c r="A115" s="1594" t="s">
        <v>1240</v>
      </c>
    </row>
    <row r="116" spans="1:1" ht="14.25" x14ac:dyDescent="0.2">
      <c r="A116" s="1594" t="s">
        <v>1241</v>
      </c>
    </row>
    <row r="117" spans="1:1" ht="14.25" x14ac:dyDescent="0.2">
      <c r="A117" s="1594" t="s">
        <v>1242</v>
      </c>
    </row>
    <row r="118" spans="1:1" ht="14.25" x14ac:dyDescent="0.2">
      <c r="A118" s="1594" t="s">
        <v>1243</v>
      </c>
    </row>
    <row r="119" spans="1:1" ht="14.25" x14ac:dyDescent="0.2">
      <c r="A119" s="1594" t="s">
        <v>1244</v>
      </c>
    </row>
    <row r="120" spans="1:1" ht="14.25" x14ac:dyDescent="0.2">
      <c r="A120" s="1594" t="s">
        <v>1245</v>
      </c>
    </row>
    <row r="121" spans="1:1" ht="14.25" x14ac:dyDescent="0.2">
      <c r="A121" s="1594" t="s">
        <v>1256</v>
      </c>
    </row>
    <row r="122" spans="1:1" ht="14.25" x14ac:dyDescent="0.2">
      <c r="A122" s="1593" t="s">
        <v>1276</v>
      </c>
    </row>
    <row r="123" spans="1:1" ht="14.25" x14ac:dyDescent="0.2">
      <c r="A123" s="1594" t="s">
        <v>1283</v>
      </c>
    </row>
    <row r="124" spans="1:1" ht="14.25" x14ac:dyDescent="0.2">
      <c r="A124" s="1594" t="s">
        <v>1284</v>
      </c>
    </row>
    <row r="125" spans="1:1" ht="14.25" x14ac:dyDescent="0.2">
      <c r="A125" s="1594" t="s">
        <v>1285</v>
      </c>
    </row>
    <row r="126" spans="1:1" ht="14.25" x14ac:dyDescent="0.2">
      <c r="A126" s="1594" t="s">
        <v>1286</v>
      </c>
    </row>
    <row r="127" spans="1:1" ht="14.25" x14ac:dyDescent="0.2">
      <c r="A127" s="1594" t="s">
        <v>1287</v>
      </c>
    </row>
    <row r="128" spans="1:1" ht="14.25" x14ac:dyDescent="0.2">
      <c r="A128" s="1594" t="s">
        <v>1288</v>
      </c>
    </row>
    <row r="129" spans="1:1" ht="14.25" x14ac:dyDescent="0.2">
      <c r="A129" s="1594" t="s">
        <v>1289</v>
      </c>
    </row>
    <row r="130" spans="1:1" ht="14.25" x14ac:dyDescent="0.2">
      <c r="A130" s="1594" t="s">
        <v>1290</v>
      </c>
    </row>
    <row r="131" spans="1:1" ht="14.25" x14ac:dyDescent="0.2">
      <c r="A131" s="1594" t="s">
        <v>1291</v>
      </c>
    </row>
  </sheetData>
  <mergeCells count="117">
    <mergeCell ref="DN44:DO45"/>
    <mergeCell ref="CI9:CI10"/>
    <mergeCell ref="B57:C57"/>
    <mergeCell ref="B59:C59"/>
    <mergeCell ref="B71:C71"/>
    <mergeCell ref="B72:C72"/>
    <mergeCell ref="B73:C73"/>
    <mergeCell ref="CB9:CC10"/>
    <mergeCell ref="CB44:CC45"/>
    <mergeCell ref="DL44:DM45"/>
    <mergeCell ref="CK44:CK45"/>
    <mergeCell ref="Q45:R45"/>
    <mergeCell ref="I26:J26"/>
    <mergeCell ref="G45:H45"/>
    <mergeCell ref="I45:J45"/>
    <mergeCell ref="K45:L45"/>
    <mergeCell ref="K26:L26"/>
    <mergeCell ref="B37:B39"/>
    <mergeCell ref="CJ9:CJ10"/>
    <mergeCell ref="CD9:CE10"/>
    <mergeCell ref="CH9:CH11"/>
    <mergeCell ref="AK44:AL45"/>
    <mergeCell ref="M26:N26"/>
    <mergeCell ref="B40:B42"/>
    <mergeCell ref="CJ44:CJ45"/>
    <mergeCell ref="W26:X26"/>
    <mergeCell ref="Y26:Z26"/>
    <mergeCell ref="Y45:Z45"/>
    <mergeCell ref="AA45:AB45"/>
    <mergeCell ref="U45:V45"/>
    <mergeCell ref="W45:X45"/>
    <mergeCell ref="B56:C56"/>
    <mergeCell ref="B81:C81"/>
    <mergeCell ref="AC26:AD26"/>
    <mergeCell ref="S26:T26"/>
    <mergeCell ref="U26:V26"/>
    <mergeCell ref="M45:N45"/>
    <mergeCell ref="O45:P45"/>
    <mergeCell ref="AG26:AH26"/>
    <mergeCell ref="AA26:AB26"/>
    <mergeCell ref="AK9:AL10"/>
    <mergeCell ref="B12:C12"/>
    <mergeCell ref="AA10:AB10"/>
    <mergeCell ref="B86:C86"/>
    <mergeCell ref="CD44:CE45"/>
    <mergeCell ref="AG45:AH45"/>
    <mergeCell ref="B70:C70"/>
    <mergeCell ref="AI25:AJ26"/>
    <mergeCell ref="AK25:AL26"/>
    <mergeCell ref="O26:P26"/>
    <mergeCell ref="Q26:R26"/>
    <mergeCell ref="B84:C84"/>
    <mergeCell ref="G25:AH25"/>
    <mergeCell ref="B79:C79"/>
    <mergeCell ref="AI44:AJ45"/>
    <mergeCell ref="B54:C54"/>
    <mergeCell ref="B83:C83"/>
    <mergeCell ref="B80:C80"/>
    <mergeCell ref="D74:AL74"/>
    <mergeCell ref="B49:C49"/>
    <mergeCell ref="B50:C50"/>
    <mergeCell ref="D47:AL47"/>
    <mergeCell ref="AI9:AJ10"/>
    <mergeCell ref="B48:C48"/>
    <mergeCell ref="B7:V7"/>
    <mergeCell ref="B9:C11"/>
    <mergeCell ref="D9:F10"/>
    <mergeCell ref="Q10:R10"/>
    <mergeCell ref="S10:T10"/>
    <mergeCell ref="U10:V10"/>
    <mergeCell ref="K10:L10"/>
    <mergeCell ref="M10:N10"/>
    <mergeCell ref="O10:P10"/>
    <mergeCell ref="G9:AH9"/>
    <mergeCell ref="G10:H10"/>
    <mergeCell ref="I10:J10"/>
    <mergeCell ref="AC10:AD10"/>
    <mergeCell ref="W10:X10"/>
    <mergeCell ref="AE10:AF10"/>
    <mergeCell ref="AG10:AH10"/>
    <mergeCell ref="Y10:Z10"/>
    <mergeCell ref="B8:AH8"/>
    <mergeCell ref="B16:B23"/>
    <mergeCell ref="D25:F26"/>
    <mergeCell ref="G26:H26"/>
    <mergeCell ref="B34:B36"/>
    <mergeCell ref="B28:B29"/>
    <mergeCell ref="B24:C24"/>
    <mergeCell ref="B25:C27"/>
    <mergeCell ref="AE26:AF26"/>
    <mergeCell ref="S45:T45"/>
    <mergeCell ref="AE45:AF45"/>
    <mergeCell ref="B44:C46"/>
    <mergeCell ref="B87:C87"/>
    <mergeCell ref="B88:B96"/>
    <mergeCell ref="B13:B15"/>
    <mergeCell ref="AC45:AD45"/>
    <mergeCell ref="B30:B32"/>
    <mergeCell ref="D81:AL81"/>
    <mergeCell ref="B61:B64"/>
    <mergeCell ref="B60:C60"/>
    <mergeCell ref="B76:C76"/>
    <mergeCell ref="D44:F45"/>
    <mergeCell ref="G44:AH44"/>
    <mergeCell ref="B78:C78"/>
    <mergeCell ref="B65:B67"/>
    <mergeCell ref="B58:C58"/>
    <mergeCell ref="B75:C75"/>
    <mergeCell ref="B77:C77"/>
    <mergeCell ref="B51:C51"/>
    <mergeCell ref="B53:C53"/>
    <mergeCell ref="B85:C85"/>
    <mergeCell ref="B68:C68"/>
    <mergeCell ref="B69:C69"/>
    <mergeCell ref="B52:C52"/>
    <mergeCell ref="B82:C82"/>
    <mergeCell ref="B55:C55"/>
  </mergeCells>
  <phoneticPr fontId="25" type="noConversion"/>
  <dataValidations count="2">
    <dataValidation allowBlank="1" showInputMessage="1" showErrorMessage="1" errorTitle=" Error de ingreso" error="Debe ingresar sólo números enteros positivos." sqref="C43 D9:F36 C74 C61:C66 C47 G43:AL46 E75:F80 B47:B61 B33:B34 G24:AL27 DN9:DQ12 AM88:CA1048576 B43:B44 C9:C35 E37:F46 DJ28:XFD42 B97:AL1048576 B88:C96 G96:AL96 D37:D80 AM87:BB87 E48:F73 B65:B78 B37 BB44:BB86 CB81:CE81 DP48:XFD1048576 AN1:XFD7 CB8:XFD8 C81 CI9 AM24:BB43 B81:B86 AN8:BB8 CB24:XFD27 CD9:CE12 CB9 CB11:CC12 CB43:XFD43 CD44:CE46 CB44 CB46:CC46 DL96:DO1048576 CB47:XFD47 CF48:DI87 CB74:CE74 CB96:CE1048576 CF28:DG42 CF88:DK1048576 DL48:DM95 DR44:XFD46 CH44:DK46 DL44 DL46:DO46 DN44 AM44:AW86 AI1:AM12 C1:AH7 G9:AH12 B16 B24:B30 B6:B13 CL9:DM23 CH9:CH21 CJ9:CJ21 CH22:CJ23 CI11:CI21 AM9:BA23 DR9:XFD23 B40 C40:C41 C37:C38 D82:F96" xr:uid="{00000000-0002-0000-0400-000000000000}"/>
    <dataValidation type="whole" operator="greaterThanOrEqual" allowBlank="1" showInputMessage="1" showErrorMessage="1" errorTitle=" Error de ingreso" error="Debe ingresar sólo números enteros positivos." sqref="G28:AL42 G75:AL80 G48:AL73 G82:AL96 G13:AL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in="1" max="36" man="1"/>
  </rowBreaks>
  <colBreaks count="2" manualBreakCount="2">
    <brk id="16" max="57" man="1"/>
    <brk id="37" max="1048575" man="1"/>
  </colBreaks>
  <ignoredErrors>
    <ignoredError sqref="AM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W82"/>
  <sheetViews>
    <sheetView showGridLines="0" zoomScaleNormal="100" workbookViewId="0"/>
  </sheetViews>
  <sheetFormatPr baseColWidth="10" defaultColWidth="11.42578125" defaultRowHeight="15" x14ac:dyDescent="0.25"/>
  <cols>
    <col min="1" max="1" width="19" style="108" customWidth="1"/>
    <col min="2" max="2" width="21.5703125" style="108" customWidth="1"/>
    <col min="3" max="3" width="18.140625" style="108" customWidth="1"/>
    <col min="4" max="4" width="12.85546875" style="108" customWidth="1"/>
    <col min="5" max="5" width="11.42578125" style="108"/>
    <col min="6" max="6" width="12.42578125" style="108" bestFit="1" customWidth="1"/>
    <col min="7" max="22" width="10.140625" style="108" customWidth="1"/>
    <col min="23" max="25" width="9.7109375" style="108" customWidth="1"/>
    <col min="26" max="26" width="9.140625" style="108" customWidth="1"/>
    <col min="27" max="27" width="11.42578125" style="108" customWidth="1"/>
    <col min="28" max="28" width="11.7109375" style="108" customWidth="1"/>
    <col min="29" max="29" width="11.42578125" style="1564"/>
    <col min="53" max="54" width="11.42578125" style="108" customWidth="1"/>
    <col min="55" max="78" width="11.42578125" style="108"/>
    <col min="79" max="79" width="11.42578125" style="108" customWidth="1"/>
    <col min="80" max="81" width="12.28515625" style="108" hidden="1" customWidth="1"/>
    <col min="82" max="90" width="9.7109375" style="108" hidden="1" customWidth="1"/>
    <col min="91" max="91" width="12.5703125" style="108" hidden="1" customWidth="1"/>
    <col min="92" max="92" width="9.28515625" style="108" hidden="1" customWidth="1"/>
    <col min="93" max="99" width="9.7109375" style="108" hidden="1" customWidth="1"/>
    <col min="100" max="102" width="9.7109375" style="108" customWidth="1"/>
    <col min="103" max="103" width="11.5703125" style="108" customWidth="1"/>
    <col min="104" max="109" width="11.42578125" style="108" customWidth="1"/>
    <col min="110" max="16384" width="11.42578125" style="108"/>
  </cols>
  <sheetData>
    <row r="1" spans="1:99" s="34" customFormat="1" ht="13.5" customHeight="1" x14ac:dyDescent="0.15">
      <c r="B1" s="33" t="s">
        <v>0</v>
      </c>
    </row>
    <row r="2" spans="1:99" s="34" customFormat="1" ht="13.5" customHeight="1" x14ac:dyDescent="0.15">
      <c r="B2" s="33" t="str">
        <f>CONCATENATE("COMUNA: ",NOMBRE!$B$2,"   ","( ",NOMBRE!$C$2,NOMBRE!$D$2,NOMBRE!$E$2,NOMBRE!$F$2,NOMBRE!$G$2," )")</f>
        <v>COMUNA:    (  )</v>
      </c>
    </row>
    <row r="3" spans="1:99" s="34" customFormat="1" ht="13.5" customHeight="1" x14ac:dyDescent="0.15">
      <c r="B3" s="33" t="str">
        <f>CONCATENATE("ESTABLECIMIENTO/ESTRATEGIA: ",NOMBRE!$B$3,"   ","( ",NOMBRE!$C$3,NOMBRE!$D$3,NOMBRE!$E$3,NOMBRE!$F$3,NOMBRE!$G$3,NOMBRE!$H$3," )")</f>
        <v>ESTABLECIMIENTO/ESTRATEGIA:    (  )</v>
      </c>
      <c r="E3" s="83"/>
    </row>
    <row r="4" spans="1:99" s="34" customFormat="1" ht="13.5" customHeight="1" x14ac:dyDescent="0.15">
      <c r="B4" s="33" t="str">
        <f>CONCATENATE("MES: ",NOMBRE!$B$6,"   ","( ",NOMBRE!$C$6,NOMBRE!$D$6," )")</f>
        <v>MES:    (  )</v>
      </c>
    </row>
    <row r="5" spans="1:99" s="34" customFormat="1" ht="13.5" customHeight="1" x14ac:dyDescent="0.15">
      <c r="B5" s="33" t="str">
        <f>CONCATENATE("AÑO: ",NOMBRE!$B$7)</f>
        <v>AÑO: 2025</v>
      </c>
    </row>
    <row r="6" spans="1:99" s="34" customFormat="1" ht="15" customHeight="1" x14ac:dyDescent="0.15">
      <c r="B6" s="82"/>
    </row>
    <row r="7" spans="1:99" ht="33" customHeight="1" x14ac:dyDescent="0.25">
      <c r="B7" s="2078" t="s">
        <v>574</v>
      </c>
      <c r="C7" s="2078"/>
      <c r="D7" s="2078"/>
      <c r="E7" s="2078"/>
      <c r="F7" s="2078"/>
      <c r="G7" s="2078"/>
      <c r="H7" s="2078"/>
      <c r="I7" s="2078"/>
      <c r="J7" s="2078"/>
      <c r="K7" s="2078"/>
      <c r="L7" s="2078"/>
      <c r="M7" s="2078"/>
      <c r="N7" s="2078"/>
      <c r="O7" s="2078"/>
      <c r="P7" s="2078"/>
      <c r="Q7" s="2078"/>
      <c r="R7" s="2078"/>
      <c r="S7" s="2078"/>
      <c r="T7" s="2078"/>
      <c r="U7" s="2078"/>
      <c r="V7" s="2078"/>
    </row>
    <row r="8" spans="1:99" s="1104" customFormat="1" ht="17.100000000000001" customHeight="1" x14ac:dyDescent="0.2">
      <c r="B8" s="1107" t="s">
        <v>575</v>
      </c>
      <c r="C8" s="1107"/>
      <c r="D8" s="1107"/>
      <c r="E8" s="1107"/>
      <c r="F8" s="1108"/>
      <c r="G8" s="1108"/>
      <c r="H8" s="1108"/>
      <c r="I8" s="1105"/>
      <c r="N8" s="1106"/>
      <c r="AC8" s="1564"/>
      <c r="AD8" s="1103"/>
      <c r="AE8" s="1103"/>
      <c r="AF8" s="1103"/>
      <c r="AG8" s="1103"/>
      <c r="AH8" s="1103"/>
      <c r="AI8" s="1103"/>
      <c r="AJ8" s="1103"/>
      <c r="AK8" s="1103"/>
      <c r="AL8" s="1103"/>
      <c r="AM8" s="1103"/>
      <c r="AN8" s="1103"/>
      <c r="AO8" s="1103"/>
      <c r="AP8" s="1103"/>
      <c r="AQ8" s="1103"/>
      <c r="AR8" s="1103"/>
      <c r="AS8" s="1103"/>
      <c r="AT8" s="1103"/>
      <c r="AU8" s="1103"/>
      <c r="AV8" s="1103"/>
      <c r="AW8" s="1103"/>
      <c r="AX8" s="1103"/>
      <c r="AY8" s="1103"/>
      <c r="AZ8" s="1103"/>
      <c r="CC8" s="1763" t="s">
        <v>51</v>
      </c>
      <c r="CD8" s="1753"/>
      <c r="CE8" s="1763" t="s">
        <v>576</v>
      </c>
      <c r="CF8" s="1753"/>
      <c r="CG8" s="1763" t="s">
        <v>577</v>
      </c>
      <c r="CH8" s="1753"/>
      <c r="CK8" s="1109"/>
      <c r="CL8" s="1109"/>
      <c r="CM8" s="1109"/>
      <c r="CN8" s="1109"/>
      <c r="CP8" s="1763" t="s">
        <v>51</v>
      </c>
      <c r="CQ8" s="1753"/>
      <c r="CR8" s="1763" t="s">
        <v>576</v>
      </c>
      <c r="CS8" s="1753"/>
      <c r="CT8" s="1763" t="s">
        <v>577</v>
      </c>
      <c r="CU8" s="1753"/>
    </row>
    <row r="9" spans="1:99" ht="21" customHeight="1" x14ac:dyDescent="0.25">
      <c r="B9" s="2100" t="s">
        <v>578</v>
      </c>
      <c r="C9" s="2101"/>
      <c r="D9" s="2079" t="s">
        <v>49</v>
      </c>
      <c r="E9" s="2079"/>
      <c r="F9" s="2079"/>
      <c r="G9" s="2083" t="s">
        <v>376</v>
      </c>
      <c r="H9" s="2084"/>
      <c r="I9" s="2084"/>
      <c r="J9" s="2084"/>
      <c r="K9" s="2084"/>
      <c r="L9" s="2084"/>
      <c r="M9" s="2084"/>
      <c r="N9" s="2084"/>
      <c r="O9" s="2084"/>
      <c r="P9" s="2084"/>
      <c r="Q9" s="2084"/>
      <c r="R9" s="2084"/>
      <c r="S9" s="2084"/>
      <c r="T9" s="2084"/>
      <c r="U9" s="2084"/>
      <c r="V9" s="2085"/>
      <c r="W9" s="1855" t="s">
        <v>51</v>
      </c>
      <c r="X9" s="1854"/>
      <c r="Y9" s="1853" t="s">
        <v>52</v>
      </c>
      <c r="Z9" s="1854"/>
      <c r="AA9" s="1853" t="s">
        <v>577</v>
      </c>
      <c r="AB9" s="1854"/>
      <c r="CC9" s="1764"/>
      <c r="CD9" s="1706"/>
      <c r="CE9" s="1764"/>
      <c r="CF9" s="1706"/>
      <c r="CG9" s="1764"/>
      <c r="CH9" s="1706"/>
      <c r="CK9" s="184"/>
      <c r="CL9" s="184"/>
      <c r="CM9" s="184"/>
      <c r="CN9" s="184"/>
      <c r="CP9" s="1764"/>
      <c r="CQ9" s="1706"/>
      <c r="CR9" s="1764"/>
      <c r="CS9" s="1706"/>
      <c r="CT9" s="1764"/>
      <c r="CU9" s="1706"/>
    </row>
    <row r="10" spans="1:99" ht="18" customHeight="1" x14ac:dyDescent="0.25">
      <c r="B10" s="2102"/>
      <c r="C10" s="2103"/>
      <c r="D10" s="2079"/>
      <c r="E10" s="2079"/>
      <c r="F10" s="2079"/>
      <c r="G10" s="1938" t="s">
        <v>67</v>
      </c>
      <c r="H10" s="1933"/>
      <c r="I10" s="1932" t="s">
        <v>406</v>
      </c>
      <c r="J10" s="1933"/>
      <c r="K10" s="1932" t="s">
        <v>407</v>
      </c>
      <c r="L10" s="1933"/>
      <c r="M10" s="1932" t="s">
        <v>579</v>
      </c>
      <c r="N10" s="1938"/>
      <c r="O10" s="1932" t="s">
        <v>580</v>
      </c>
      <c r="P10" s="1938"/>
      <c r="Q10" s="1932" t="s">
        <v>581</v>
      </c>
      <c r="R10" s="1938"/>
      <c r="S10" s="1932" t="s">
        <v>582</v>
      </c>
      <c r="T10" s="1938"/>
      <c r="U10" s="1932" t="s">
        <v>904</v>
      </c>
      <c r="V10" s="1938"/>
      <c r="W10" s="1855"/>
      <c r="X10" s="1854"/>
      <c r="Y10" s="1853"/>
      <c r="Z10" s="1854"/>
      <c r="AA10" s="1853"/>
      <c r="AB10" s="1854"/>
      <c r="CC10" s="1494" t="s">
        <v>86</v>
      </c>
      <c r="CD10" s="1494" t="s">
        <v>227</v>
      </c>
      <c r="CE10" s="1494" t="s">
        <v>86</v>
      </c>
      <c r="CF10" s="1494" t="s">
        <v>227</v>
      </c>
      <c r="CG10" s="1494" t="s">
        <v>86</v>
      </c>
      <c r="CH10" s="1494" t="s">
        <v>227</v>
      </c>
      <c r="CK10" s="1064"/>
      <c r="CL10" s="1064"/>
      <c r="CM10" s="1064"/>
      <c r="CN10" s="1064"/>
      <c r="CP10" s="1494" t="s">
        <v>86</v>
      </c>
      <c r="CQ10" s="1494" t="s">
        <v>227</v>
      </c>
      <c r="CR10" s="1494" t="s">
        <v>86</v>
      </c>
      <c r="CS10" s="1494" t="s">
        <v>227</v>
      </c>
      <c r="CT10" s="1494" t="s">
        <v>86</v>
      </c>
      <c r="CU10" s="1494" t="s">
        <v>227</v>
      </c>
    </row>
    <row r="11" spans="1:99" ht="21" x14ac:dyDescent="0.25">
      <c r="B11" s="2104"/>
      <c r="C11" s="2105"/>
      <c r="D11" s="1471" t="s">
        <v>409</v>
      </c>
      <c r="E11" s="1495" t="s">
        <v>86</v>
      </c>
      <c r="F11" s="1214" t="s">
        <v>227</v>
      </c>
      <c r="G11" s="1260" t="s">
        <v>410</v>
      </c>
      <c r="H11" s="874" t="s">
        <v>227</v>
      </c>
      <c r="I11" s="1260" t="s">
        <v>410</v>
      </c>
      <c r="J11" s="874" t="s">
        <v>227</v>
      </c>
      <c r="K11" s="1260" t="s">
        <v>410</v>
      </c>
      <c r="L11" s="874" t="s">
        <v>227</v>
      </c>
      <c r="M11" s="1260" t="s">
        <v>410</v>
      </c>
      <c r="N11" s="87" t="s">
        <v>227</v>
      </c>
      <c r="O11" s="1260" t="s">
        <v>410</v>
      </c>
      <c r="P11" s="87" t="s">
        <v>227</v>
      </c>
      <c r="Q11" s="1260" t="s">
        <v>410</v>
      </c>
      <c r="R11" s="87" t="s">
        <v>227</v>
      </c>
      <c r="S11" s="1260" t="s">
        <v>410</v>
      </c>
      <c r="T11" s="87" t="s">
        <v>227</v>
      </c>
      <c r="U11" s="1260" t="s">
        <v>410</v>
      </c>
      <c r="V11" s="87" t="s">
        <v>227</v>
      </c>
      <c r="W11" s="190" t="s">
        <v>86</v>
      </c>
      <c r="X11" s="1420" t="s">
        <v>227</v>
      </c>
      <c r="Y11" s="1404" t="s">
        <v>86</v>
      </c>
      <c r="Z11" s="1420" t="s">
        <v>227</v>
      </c>
      <c r="AA11" s="1404" t="s">
        <v>86</v>
      </c>
      <c r="AB11" s="1420" t="s">
        <v>227</v>
      </c>
    </row>
    <row r="12" spans="1:99" ht="15" customHeight="1" x14ac:dyDescent="0.25">
      <c r="A12" s="1585" t="s">
        <v>1303</v>
      </c>
      <c r="B12" s="2106" t="s">
        <v>583</v>
      </c>
      <c r="C12" s="2107"/>
      <c r="D12" s="1154" t="s">
        <v>1616</v>
      </c>
      <c r="E12" s="471" t="s">
        <v>1617</v>
      </c>
      <c r="F12" s="472" t="s">
        <v>1618</v>
      </c>
      <c r="G12" s="473" t="s">
        <v>1619</v>
      </c>
      <c r="H12" s="474" t="s">
        <v>1620</v>
      </c>
      <c r="I12" s="473" t="s">
        <v>1621</v>
      </c>
      <c r="J12" s="474" t="s">
        <v>1622</v>
      </c>
      <c r="K12" s="473" t="s">
        <v>1623</v>
      </c>
      <c r="L12" s="474" t="s">
        <v>1624</v>
      </c>
      <c r="M12" s="473" t="s">
        <v>1625</v>
      </c>
      <c r="N12" s="475" t="s">
        <v>1626</v>
      </c>
      <c r="O12" s="473" t="s">
        <v>1627</v>
      </c>
      <c r="P12" s="475" t="s">
        <v>1628</v>
      </c>
      <c r="Q12" s="473" t="s">
        <v>1629</v>
      </c>
      <c r="R12" s="475" t="s">
        <v>1630</v>
      </c>
      <c r="S12" s="473" t="s">
        <v>1631</v>
      </c>
      <c r="T12" s="475" t="s">
        <v>1632</v>
      </c>
      <c r="U12" s="473" t="s">
        <v>1633</v>
      </c>
      <c r="V12" s="475" t="s">
        <v>1634</v>
      </c>
      <c r="W12" s="476" t="s">
        <v>1635</v>
      </c>
      <c r="X12" s="474" t="s">
        <v>1636</v>
      </c>
      <c r="Y12" s="477" t="s">
        <v>1637</v>
      </c>
      <c r="Z12" s="474" t="s">
        <v>1638</v>
      </c>
      <c r="AA12" s="477" t="s">
        <v>1639</v>
      </c>
      <c r="AB12" s="474" t="s">
        <v>1640</v>
      </c>
      <c r="AC12" s="108" t="str">
        <f>CC12&amp;CD12&amp;CE12&amp;CF12&amp;CG12&amp;CH12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12" s="191" t="str">
        <f>IF(AND(E12&gt;0,OR(W12=""))," * No olvide digitar la variable Pueblos Originarios Hombres. Digite Cero si no tiene.",IF(W12&gt;E12," * La variable Pueblos Originarios Hombres no puede ser Mayor al Total Hombres.",""))</f>
        <v xml:space="preserve"> * La variable Pueblos Originarios Hombres no puede ser Mayor al Total Hombres.</v>
      </c>
      <c r="CD12" s="191" t="str">
        <f>IF(AND(F12&gt;0,OR(X12=""))," * No olvide digitar la variable Pueblos Originarios Mujeres. Digite Cero si no tiene.",IF(X12&gt;F12," * La variable Pueblos Originarios Mujeres no puede ser Mayor al Total Mujeres.",""))</f>
        <v xml:space="preserve"> * La variable Pueblos Originarios Mujeres no puede ser Mayor al Total Mujeres.</v>
      </c>
      <c r="CE12" s="191" t="str">
        <f>IF(AND($E12&gt;0,OR(Y12=""))," * No olvide digitar la variable Migrantes Hombres. Digite Cero si no tiene.",IF(Y12&gt;$E12," * La variable Migrantes Hombres no puede ser Mayor al Total Hombres.",""))</f>
        <v xml:space="preserve"> * La variable Migrantes Hombres no puede ser Mayor al Total Hombres.</v>
      </c>
      <c r="CF12" s="191" t="str">
        <f>IF(AND($F12&gt;0,OR(Z12=""))," * No olvide digitar la variable Migrantes Mujeres. Digite Cero si no tiene.",IF(Z12&gt;$F12," * La variable Migrantes Mujeres no puede ser Mayor al Total Mujeres.",""))</f>
        <v xml:space="preserve"> * La variable Migrantes Mujeres no puede ser Mayor al Total Mujeres.</v>
      </c>
      <c r="CG12" s="191" t="str">
        <f>IF(AND($E12&gt;0,OR(AA12=""))," * No olvide digitar la variable Personas Mayores en ELEAM Hombres. Digite Cero si no tiene.",IF(AA12&gt;$E12," * La variable Personas Mayores en ELEAM Hombres no puede ser Mayor al Total Hombres.",""))</f>
        <v xml:space="preserve"> * La variable Personas Mayores en ELEAM Hombres no puede ser Mayor al Total Hombres.</v>
      </c>
      <c r="CH12" s="191" t="str">
        <f>IF(AND($F12&gt;0,OR(AB12=""))," * No olvide digitar la variable Personas Mayores en ELEAM Mujeres. Digite Cero si no tiene.",IF(AB12&gt;$F12," * La variable Personas Mayores en ELEAM Mujeres no puede ser Mayor al Total Mujeres.",""))</f>
        <v xml:space="preserve"> * La variable Personas Mayores en ELEAM Mujeres no puede ser Mayor al Total Mujeres.</v>
      </c>
      <c r="CP12" s="1047">
        <f>IF(AND(E12&gt;0,OR(W12="")),1,IF(W12&gt;E12,1,0))</f>
        <v>1</v>
      </c>
      <c r="CQ12" s="1047">
        <f>IF(AND(F12&gt;0,OR(X12="")),1,IF(X12&gt;F12,1,0))</f>
        <v>1</v>
      </c>
      <c r="CR12" s="1047">
        <f>IF(AND($E12&gt;0,OR(Y12="")),1,IF(Y12&gt;$E12,1,0))</f>
        <v>1</v>
      </c>
      <c r="CS12" s="1047">
        <f>IF(AND(F12&gt;0,OR(Z12="")),1,IF(Z12&gt;F12,1,0))</f>
        <v>1</v>
      </c>
      <c r="CT12" s="1047">
        <f>IF(AND($E12&gt;0,OR(AA12="")),1,IF(AA12&gt;$E12,1,0))</f>
        <v>1</v>
      </c>
      <c r="CU12" s="1047">
        <f>IF(AND($F12&gt;0,OR(AB12="")),1,IF(AB12&gt;$F12,1,0))</f>
        <v>1</v>
      </c>
    </row>
    <row r="13" spans="1:99" ht="15" customHeight="1" x14ac:dyDescent="0.25">
      <c r="A13" s="1585" t="s">
        <v>1304</v>
      </c>
      <c r="B13" s="2108" t="s">
        <v>584</v>
      </c>
      <c r="C13" s="2109"/>
      <c r="D13" s="1155" t="s">
        <v>1616</v>
      </c>
      <c r="E13" s="478" t="s">
        <v>1617</v>
      </c>
      <c r="F13" s="479" t="s">
        <v>1618</v>
      </c>
      <c r="G13" s="480" t="s">
        <v>1619</v>
      </c>
      <c r="H13" s="481" t="s">
        <v>1620</v>
      </c>
      <c r="I13" s="480" t="s">
        <v>1621</v>
      </c>
      <c r="J13" s="481" t="s">
        <v>1622</v>
      </c>
      <c r="K13" s="480" t="s">
        <v>1623</v>
      </c>
      <c r="L13" s="481" t="s">
        <v>1624</v>
      </c>
      <c r="M13" s="480" t="s">
        <v>1625</v>
      </c>
      <c r="N13" s="482" t="s">
        <v>1626</v>
      </c>
      <c r="O13" s="480" t="s">
        <v>1627</v>
      </c>
      <c r="P13" s="482" t="s">
        <v>1628</v>
      </c>
      <c r="Q13" s="480" t="s">
        <v>1629</v>
      </c>
      <c r="R13" s="482" t="s">
        <v>1630</v>
      </c>
      <c r="S13" s="480" t="s">
        <v>1631</v>
      </c>
      <c r="T13" s="482" t="s">
        <v>1632</v>
      </c>
      <c r="U13" s="480" t="s">
        <v>1633</v>
      </c>
      <c r="V13" s="482" t="s">
        <v>1634</v>
      </c>
      <c r="W13" s="483" t="s">
        <v>1635</v>
      </c>
      <c r="X13" s="481" t="s">
        <v>1636</v>
      </c>
      <c r="Y13" s="484" t="s">
        <v>1637</v>
      </c>
      <c r="Z13" s="481" t="s">
        <v>1638</v>
      </c>
      <c r="AA13" s="484" t="s">
        <v>1639</v>
      </c>
      <c r="AB13" s="481" t="s">
        <v>1640</v>
      </c>
      <c r="AC13" s="108" t="str">
        <f>CC13&amp;CD13&amp;CE13&amp;CF13&amp;CG13&amp;CH13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13" s="191" t="str">
        <f>IF(AND(E13&gt;0,OR(W13=""))," * No olvide digitar la variable Pueblos Originarios Hombres. Digite Cero si no tiene.",IF(W13&gt;E13," * La variable Pueblos Originarios Hombres no puede ser Mayor al Total Hombres.",""))</f>
        <v xml:space="preserve"> * La variable Pueblos Originarios Hombres no puede ser Mayor al Total Hombres.</v>
      </c>
      <c r="CD13" s="191" t="str">
        <f>IF(AND(F13&gt;0,OR(X13=""))," * No olvide digitar la variable Pueblos Originarios Mujeres. Digite Cero si no tiene.",IF(X13&gt;F13," * La variable Pueblos Originarios Mujeres no puede ser Mayor al Total Mujeres.",""))</f>
        <v xml:space="preserve"> * La variable Pueblos Originarios Mujeres no puede ser Mayor al Total Mujeres.</v>
      </c>
      <c r="CE13" s="191" t="str">
        <f>IF(AND($E13&gt;0,OR(Y13=""))," * No olvide digitar la variable Migrantes Hombres. Digite Cero si no tiene.",IF(Y13&gt;$E13," * La variable Migrantes Hombres no puede ser Mayor al Total Hombres.",""))</f>
        <v xml:space="preserve"> * La variable Migrantes Hombres no puede ser Mayor al Total Hombres.</v>
      </c>
      <c r="CF13" s="191" t="str">
        <f>IF(AND($F13&gt;0,OR(Z13=""))," * No olvide digitar la variable Migrantes Mujeres. Digite Cero si no tiene.",IF(Z13&gt;$F13," * La variable Migrantes Mujeres no puede ser Mayor al Total Mujeres.",""))</f>
        <v xml:space="preserve"> * La variable Migrantes Mujeres no puede ser Mayor al Total Mujeres.</v>
      </c>
      <c r="CG13" s="191" t="str">
        <f>IF(AND($E13&gt;0,OR(AA13=""))," * No olvide digitar la variable Personas Mayores en ELEAM Hombres. Digite Cero si no tiene.",IF(AA13&gt;$E13," * La variable Personas Mayores en ELEAM Hombres no puede ser Mayor al Total Hombres.",""))</f>
        <v xml:space="preserve"> * La variable Personas Mayores en ELEAM Hombres no puede ser Mayor al Total Hombres.</v>
      </c>
      <c r="CH13" s="191" t="str">
        <f>IF(AND($F13&gt;0,OR(AB13=""))," * No olvide digitar la variable Personas Mayores en ELEAM Mujeres. Digite Cero si no tiene.",IF(AB13&gt;$F13," * La variable Personas Mayores en ELEAM Mujeres no puede ser Mayor al Total Mujeres.",""))</f>
        <v xml:space="preserve"> * La variable Personas Mayores en ELEAM Mujeres no puede ser Mayor al Total Mujeres.</v>
      </c>
      <c r="CP13" s="1047">
        <f t="shared" ref="CP13:CQ14" si="0">IF(AND(E13&gt;0,OR(W13="")),1,IF(W13&gt;E13,1,0))</f>
        <v>1</v>
      </c>
      <c r="CQ13" s="1047">
        <f t="shared" si="0"/>
        <v>1</v>
      </c>
      <c r="CR13" s="1047">
        <f>IF(AND($E13&gt;0,OR(Y13="")),1,IF(Y13&gt;$E13,1,0))</f>
        <v>1</v>
      </c>
      <c r="CS13" s="1047">
        <f>IF(AND(F13&gt;0,OR(Z13="")),1,IF(Z13&gt;F13,1,0))</f>
        <v>1</v>
      </c>
      <c r="CT13" s="1047">
        <f>IF(AND($E13&gt;0,OR(AA13="")),1,IF(AA13&gt;$E13,1,0))</f>
        <v>1</v>
      </c>
      <c r="CU13" s="1047">
        <f>IF(AND($F13&gt;0,OR(AB13="")),1,IF(AB13&gt;$F13,1,0))</f>
        <v>1</v>
      </c>
    </row>
    <row r="14" spans="1:99" ht="15" customHeight="1" x14ac:dyDescent="0.25">
      <c r="A14" s="1585" t="s">
        <v>1305</v>
      </c>
      <c r="B14" s="2110" t="s">
        <v>585</v>
      </c>
      <c r="C14" s="2111"/>
      <c r="D14" s="1155" t="s">
        <v>1616</v>
      </c>
      <c r="E14" s="478" t="s">
        <v>1617</v>
      </c>
      <c r="F14" s="479" t="s">
        <v>1618</v>
      </c>
      <c r="G14" s="485" t="s">
        <v>1619</v>
      </c>
      <c r="H14" s="486" t="s">
        <v>1620</v>
      </c>
      <c r="I14" s="485" t="s">
        <v>1621</v>
      </c>
      <c r="J14" s="486" t="s">
        <v>1622</v>
      </c>
      <c r="K14" s="485" t="s">
        <v>1623</v>
      </c>
      <c r="L14" s="486" t="s">
        <v>1624</v>
      </c>
      <c r="M14" s="485" t="s">
        <v>1625</v>
      </c>
      <c r="N14" s="487" t="s">
        <v>1626</v>
      </c>
      <c r="O14" s="485" t="s">
        <v>1627</v>
      </c>
      <c r="P14" s="487" t="s">
        <v>1628</v>
      </c>
      <c r="Q14" s="485" t="s">
        <v>1629</v>
      </c>
      <c r="R14" s="487" t="s">
        <v>1630</v>
      </c>
      <c r="S14" s="485" t="s">
        <v>1631</v>
      </c>
      <c r="T14" s="487" t="s">
        <v>1632</v>
      </c>
      <c r="U14" s="986" t="s">
        <v>1633</v>
      </c>
      <c r="V14" s="487" t="s">
        <v>1634</v>
      </c>
      <c r="W14" s="488" t="s">
        <v>1635</v>
      </c>
      <c r="X14" s="486" t="s">
        <v>1636</v>
      </c>
      <c r="Y14" s="489" t="s">
        <v>1637</v>
      </c>
      <c r="Z14" s="486" t="s">
        <v>1638</v>
      </c>
      <c r="AA14" s="489" t="s">
        <v>1639</v>
      </c>
      <c r="AB14" s="486" t="s">
        <v>1640</v>
      </c>
      <c r="AC14" s="108" t="str">
        <f>CC14&amp;CD14&amp;CE14&amp;CF14&amp;CG14&amp;CH14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14" s="191" t="str">
        <f>IF(AND(E14&gt;0,OR(W14=""))," * No olvide digitar la variable Pueblos Originarios Hombres. Digite Cero si no tiene.",IF(W14&gt;E14," * La variable Pueblos Originarios Hombres no puede ser Mayor al Total Hombres.",""))</f>
        <v xml:space="preserve"> * La variable Pueblos Originarios Hombres no puede ser Mayor al Total Hombres.</v>
      </c>
      <c r="CD14" s="191" t="str">
        <f>IF(AND(F14&gt;0,OR(X14=""))," * No olvide digitar la variable Pueblos Originarios Mujeres. Digite Cero si no tiene.",IF(X14&gt;F14," * La variable Pueblos Originarios Mujeres no puede ser Mayor al Total Mujeres.",""))</f>
        <v xml:space="preserve"> * La variable Pueblos Originarios Mujeres no puede ser Mayor al Total Mujeres.</v>
      </c>
      <c r="CE14" s="191" t="str">
        <f>IF(AND($E14&gt;0,OR(Y14=""))," * No olvide digitar la variable Migrantes Hombres. Digite Cero si no tiene.",IF(Y14&gt;$E14," * La variable Migrantes Hombres no puede ser Mayor al Total Hombres.",""))</f>
        <v xml:space="preserve"> * La variable Migrantes Hombres no puede ser Mayor al Total Hombres.</v>
      </c>
      <c r="CF14" s="191" t="str">
        <f>IF(AND($F14&gt;0,OR(Z14=""))," * No olvide digitar la variable Migrantes Mujeres. Digite Cero si no tiene.",IF(Z14&gt;$F14," * La variable Migrantes Mujeres no puede ser Mayor al Total Mujeres.",""))</f>
        <v xml:space="preserve"> * La variable Migrantes Mujeres no puede ser Mayor al Total Mujeres.</v>
      </c>
      <c r="CG14" s="191" t="str">
        <f>IF(AND($E14&gt;0,OR(AA14=""))," * No olvide digitar la variable Personas Mayores en ELEAM Hombres. Digite Cero si no tiene.",IF(AA14&gt;$E14," * La variable Personas Mayores en ELEAM Hombres no puede ser Mayor al Total Hombres.",""))</f>
        <v xml:space="preserve"> * La variable Personas Mayores en ELEAM Hombres no puede ser Mayor al Total Hombres.</v>
      </c>
      <c r="CH14" s="191" t="str">
        <f>IF(AND($F14&gt;0,OR(AB14=""))," * No olvide digitar la variable Personas Mayores en ELEAM Mujeres. Digite Cero si no tiene.",IF(AB14&gt;$F14," * La variable Personas Mayores en ELEAM Mujeres no puede ser Mayor al Total Mujeres.",""))</f>
        <v xml:space="preserve"> * La variable Personas Mayores en ELEAM Mujeres no puede ser Mayor al Total Mujeres.</v>
      </c>
      <c r="CP14" s="1047">
        <f t="shared" si="0"/>
        <v>1</v>
      </c>
      <c r="CQ14" s="1047">
        <f t="shared" si="0"/>
        <v>1</v>
      </c>
      <c r="CR14" s="1047">
        <f>IF(AND($E14&gt;0,OR(Y14="")),1,IF(Y14&gt;$E14,1,0))</f>
        <v>1</v>
      </c>
      <c r="CS14" s="1047">
        <f>IF(AND(F14&gt;0,OR(Z14="")),1,IF(Z14&gt;F14,1,0))</f>
        <v>1</v>
      </c>
      <c r="CT14" s="1047">
        <f>IF(AND($E14&gt;0,OR(AA14="")),1,IF(AA14&gt;$E14,1,0))</f>
        <v>1</v>
      </c>
      <c r="CU14" s="1047">
        <f>IF(AND($F14&gt;0,OR(AB14="")),1,IF(AB14&gt;$F14,1,0))</f>
        <v>1</v>
      </c>
    </row>
    <row r="15" spans="1:99" ht="15" customHeight="1" x14ac:dyDescent="0.25">
      <c r="A15" s="1587"/>
      <c r="B15" s="2112" t="s">
        <v>586</v>
      </c>
      <c r="C15" s="2113"/>
      <c r="D15" s="1496">
        <f>SUM(E15:F15)</f>
        <v>0</v>
      </c>
      <c r="E15" s="1497">
        <f>+G15+I15+K15+M15+O15+Q15+S15+U15</f>
        <v>0</v>
      </c>
      <c r="F15" s="1215">
        <f>+H15+J15+L15+N15+P15+R15+T15+V15</f>
        <v>0</v>
      </c>
      <c r="G15" s="1268">
        <f>SUM(G12:G14)</f>
        <v>0</v>
      </c>
      <c r="H15" s="1215">
        <f t="shared" ref="H15:Y15" si="1">SUM(H12:H14)</f>
        <v>0</v>
      </c>
      <c r="I15" s="1268">
        <f t="shared" si="1"/>
        <v>0</v>
      </c>
      <c r="J15" s="1215">
        <f t="shared" si="1"/>
        <v>0</v>
      </c>
      <c r="K15" s="1268">
        <f t="shared" si="1"/>
        <v>0</v>
      </c>
      <c r="L15" s="1215">
        <f t="shared" si="1"/>
        <v>0</v>
      </c>
      <c r="M15" s="1268">
        <f t="shared" si="1"/>
        <v>0</v>
      </c>
      <c r="N15" s="490">
        <f t="shared" si="1"/>
        <v>0</v>
      </c>
      <c r="O15" s="1268">
        <f t="shared" ref="O15:P15" si="2">SUM(O12:O14)</f>
        <v>0</v>
      </c>
      <c r="P15" s="490">
        <f t="shared" si="2"/>
        <v>0</v>
      </c>
      <c r="Q15" s="1268">
        <f t="shared" ref="Q15:R15" si="3">SUM(Q12:Q14)</f>
        <v>0</v>
      </c>
      <c r="R15" s="490">
        <f t="shared" si="3"/>
        <v>0</v>
      </c>
      <c r="S15" s="1268">
        <f t="shared" ref="S15:T15" si="4">SUM(S12:S14)</f>
        <v>0</v>
      </c>
      <c r="T15" s="490">
        <f t="shared" si="4"/>
        <v>0</v>
      </c>
      <c r="U15" s="1268">
        <f t="shared" si="1"/>
        <v>0</v>
      </c>
      <c r="V15" s="490">
        <f t="shared" si="1"/>
        <v>0</v>
      </c>
      <c r="W15" s="491">
        <f>SUM(W12:W14)</f>
        <v>0</v>
      </c>
      <c r="X15" s="1215">
        <f>SUM(X12:X14)</f>
        <v>0</v>
      </c>
      <c r="Y15" s="1497">
        <f t="shared" si="1"/>
        <v>0</v>
      </c>
      <c r="Z15" s="1215">
        <f>SUM(Z12:Z14)</f>
        <v>0</v>
      </c>
      <c r="AA15" s="1497">
        <f t="shared" ref="AA15" si="5">SUM(AA12:AA14)</f>
        <v>0</v>
      </c>
      <c r="AB15" s="1215">
        <f>SUM(AB12:AB14)</f>
        <v>0</v>
      </c>
      <c r="AC15" s="108"/>
      <c r="BD15" s="606"/>
      <c r="BE15" s="606"/>
      <c r="BF15" s="606"/>
      <c r="BG15" s="606"/>
      <c r="BH15" s="606"/>
      <c r="BI15" s="606"/>
      <c r="BJ15" s="606"/>
      <c r="BK15" s="606"/>
      <c r="BL15" s="606"/>
      <c r="BM15" s="606"/>
      <c r="BN15" s="606"/>
    </row>
    <row r="16" spans="1:99" ht="15" customHeight="1" x14ac:dyDescent="0.25">
      <c r="A16" s="1585" t="s">
        <v>1306</v>
      </c>
      <c r="B16" s="2106" t="s">
        <v>587</v>
      </c>
      <c r="C16" s="2107"/>
      <c r="D16" s="1154" t="s">
        <v>1616</v>
      </c>
      <c r="E16" s="471" t="s">
        <v>1617</v>
      </c>
      <c r="F16" s="472" t="s">
        <v>1618</v>
      </c>
      <c r="G16" s="473" t="s">
        <v>1619</v>
      </c>
      <c r="H16" s="474" t="s">
        <v>1620</v>
      </c>
      <c r="I16" s="473" t="s">
        <v>1621</v>
      </c>
      <c r="J16" s="474" t="s">
        <v>1622</v>
      </c>
      <c r="K16" s="473" t="s">
        <v>1623</v>
      </c>
      <c r="L16" s="474" t="s">
        <v>1624</v>
      </c>
      <c r="M16" s="473" t="s">
        <v>1625</v>
      </c>
      <c r="N16" s="475" t="s">
        <v>1626</v>
      </c>
      <c r="O16" s="473" t="s">
        <v>1627</v>
      </c>
      <c r="P16" s="475" t="s">
        <v>1628</v>
      </c>
      <c r="Q16" s="473" t="s">
        <v>1629</v>
      </c>
      <c r="R16" s="475" t="s">
        <v>1630</v>
      </c>
      <c r="S16" s="473" t="s">
        <v>1631</v>
      </c>
      <c r="T16" s="475" t="s">
        <v>1632</v>
      </c>
      <c r="U16" s="473" t="s">
        <v>1633</v>
      </c>
      <c r="V16" s="475" t="s">
        <v>1634</v>
      </c>
      <c r="W16" s="476" t="s">
        <v>1635</v>
      </c>
      <c r="X16" s="474" t="s">
        <v>1636</v>
      </c>
      <c r="Y16" s="477" t="s">
        <v>1637</v>
      </c>
      <c r="Z16" s="474" t="s">
        <v>1638</v>
      </c>
      <c r="AA16" s="477" t="s">
        <v>1639</v>
      </c>
      <c r="AB16" s="474" t="s">
        <v>1640</v>
      </c>
      <c r="AC16" s="108" t="str">
        <f>CC16&amp;CD16&amp;CE16&amp;CF16&amp;CG16&amp;CH16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16" s="191" t="str">
        <f>IF(AND(E16&gt;0,OR(W16=""))," * No olvide digitar la variable Pueblos Originarios Hombres. Digite Cero si no tiene.",IF(W16&gt;E16," * La variable Pueblos Originarios Hombres no puede ser Mayor al Total Hombres.",""))</f>
        <v xml:space="preserve"> * La variable Pueblos Originarios Hombres no puede ser Mayor al Total Hombres.</v>
      </c>
      <c r="CD16" s="191" t="str">
        <f>IF(AND(F16&gt;0,OR(X16=""))," * No olvide digitar la variable Pueblos Originarios Mujeres. Digite Cero si no tiene.",IF(X16&gt;F16," * La variable Pueblos Originarios Mujeres no puede ser Mayor al Total Mujeres.",""))</f>
        <v xml:space="preserve"> * La variable Pueblos Originarios Mujeres no puede ser Mayor al Total Mujeres.</v>
      </c>
      <c r="CE16" s="191" t="str">
        <f>IF(AND($E16&gt;0,OR(Y16=""))," * No olvide digitar la variable Migrantes Hombres. Digite Cero si no tiene.",IF(Y16&gt;$E16," * La variable Migrantes Hombres no puede ser Mayor al Total Hombres.",""))</f>
        <v xml:space="preserve"> * La variable Migrantes Hombres no puede ser Mayor al Total Hombres.</v>
      </c>
      <c r="CF16" s="191" t="str">
        <f>IF(AND($F16&gt;0,OR(Z16=""))," * No olvide digitar la variable Migrantes Mujeres. Digite Cero si no tiene.",IF(Z16&gt;$F16," * La variable Migrantes Mujeres no puede ser Mayor al Total Mujeres.",""))</f>
        <v xml:space="preserve"> * La variable Migrantes Mujeres no puede ser Mayor al Total Mujeres.</v>
      </c>
      <c r="CG16" s="191" t="str">
        <f>IF(AND($E16&gt;0,OR(AA16=""))," * No olvide digitar la variable Personas Mayores en ELEAM Hombres. Digite Cero si no tiene.",IF(AA16&gt;$E16," * La variable Personas Mayores en ELEAM Hombres no puede ser Mayor al Total Hombres.",""))</f>
        <v xml:space="preserve"> * La variable Personas Mayores en ELEAM Hombres no puede ser Mayor al Total Hombres.</v>
      </c>
      <c r="CH16" s="191" t="str">
        <f>IF(AND($F16&gt;0,OR(AB16=""))," * No olvide digitar la variable Personas Mayores en ELEAM Mujeres. Digite Cero si no tiene.",IF(AB16&gt;$F16," * La variable Personas Mayores en ELEAM Mujeres no puede ser Mayor al Total Mujeres.",""))</f>
        <v xml:space="preserve"> * La variable Personas Mayores en ELEAM Mujeres no puede ser Mayor al Total Mujeres.</v>
      </c>
      <c r="CP16" s="1047">
        <f t="shared" ref="CP16:CQ19" si="6">IF(AND(E16&gt;0,OR(W16="")),1,IF(W16&gt;E16,1,0))</f>
        <v>1</v>
      </c>
      <c r="CQ16" s="1047">
        <f t="shared" si="6"/>
        <v>1</v>
      </c>
      <c r="CR16" s="1047">
        <f>IF(AND($E16&gt;0,OR(Y16="")),1,IF(Y16&gt;$E16,1,0))</f>
        <v>1</v>
      </c>
      <c r="CS16" s="1047">
        <f>IF(AND($F16&gt;0,OR(Z16="")),1,IF(Z16&gt;$F16,1,0))</f>
        <v>1</v>
      </c>
      <c r="CT16" s="1047">
        <f>IF(AND($E16&gt;0,OR(AA16="")),1,IF(AA16&gt;$E16,1,0))</f>
        <v>1</v>
      </c>
      <c r="CU16" s="1047">
        <f>IF(AND($F16&gt;0,OR(AB16="")),1,IF(AB16&gt;$F16,1,0))</f>
        <v>1</v>
      </c>
    </row>
    <row r="17" spans="1:101" ht="15" customHeight="1" x14ac:dyDescent="0.25">
      <c r="A17" s="1585" t="s">
        <v>1307</v>
      </c>
      <c r="B17" s="2092" t="s">
        <v>588</v>
      </c>
      <c r="C17" s="2093"/>
      <c r="D17" s="1155" t="s">
        <v>1616</v>
      </c>
      <c r="E17" s="478" t="s">
        <v>1617</v>
      </c>
      <c r="F17" s="492" t="s">
        <v>1618</v>
      </c>
      <c r="G17" s="480" t="s">
        <v>1619</v>
      </c>
      <c r="H17" s="481" t="s">
        <v>1620</v>
      </c>
      <c r="I17" s="480" t="s">
        <v>1621</v>
      </c>
      <c r="J17" s="481" t="s">
        <v>1622</v>
      </c>
      <c r="K17" s="480" t="s">
        <v>1623</v>
      </c>
      <c r="L17" s="481" t="s">
        <v>1624</v>
      </c>
      <c r="M17" s="480" t="s">
        <v>1625</v>
      </c>
      <c r="N17" s="482" t="s">
        <v>1626</v>
      </c>
      <c r="O17" s="480" t="s">
        <v>1627</v>
      </c>
      <c r="P17" s="482" t="s">
        <v>1628</v>
      </c>
      <c r="Q17" s="480" t="s">
        <v>1629</v>
      </c>
      <c r="R17" s="482" t="s">
        <v>1630</v>
      </c>
      <c r="S17" s="480" t="s">
        <v>1631</v>
      </c>
      <c r="T17" s="482" t="s">
        <v>1632</v>
      </c>
      <c r="U17" s="480" t="s">
        <v>1633</v>
      </c>
      <c r="V17" s="482" t="s">
        <v>1634</v>
      </c>
      <c r="W17" s="483" t="s">
        <v>1635</v>
      </c>
      <c r="X17" s="481" t="s">
        <v>1636</v>
      </c>
      <c r="Y17" s="484" t="s">
        <v>1637</v>
      </c>
      <c r="Z17" s="481" t="s">
        <v>1638</v>
      </c>
      <c r="AA17" s="484" t="s">
        <v>1639</v>
      </c>
      <c r="AB17" s="481" t="s">
        <v>1640</v>
      </c>
      <c r="AC17" s="108" t="str">
        <f>CC17&amp;CD17&amp;CE17&amp;CF17&amp;CG17&amp;CH17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17" s="191" t="str">
        <f>IF(AND(E17&gt;0,OR(W17=""))," * No olvide digitar la variable Pueblos Originarios Hombres. Digite Cero si no tiene.",IF(W17&gt;E17," * La variable Pueblos Originarios Hombres no puede ser Mayor al Total Hombres.",""))</f>
        <v xml:space="preserve"> * La variable Pueblos Originarios Hombres no puede ser Mayor al Total Hombres.</v>
      </c>
      <c r="CD17" s="191" t="str">
        <f>IF(AND(F17&gt;0,OR(X17=""))," * No olvide digitar la variable Pueblos Originarios Mujeres. Digite Cero si no tiene.",IF(X17&gt;F17," * La variable Pueblos Originarios Mujeres no puede ser Mayor al Total Mujeres.",""))</f>
        <v xml:space="preserve"> * La variable Pueblos Originarios Mujeres no puede ser Mayor al Total Mujeres.</v>
      </c>
      <c r="CE17" s="191" t="str">
        <f>IF(AND($E17&gt;0,OR(Y17=""))," * No olvide digitar la variable Migrantes Hombres. Digite Cero si no tiene.",IF(Y17&gt;$E17," * La variable Migrantes Hombres no puede ser Mayor al Total Hombres.",""))</f>
        <v xml:space="preserve"> * La variable Migrantes Hombres no puede ser Mayor al Total Hombres.</v>
      </c>
      <c r="CF17" s="191" t="str">
        <f>IF(AND($F17&gt;0,OR(Z17=""))," * No olvide digitar la variable Migrantes Mujeres. Digite Cero si no tiene.",IF(Z17&gt;$F17," * La variable Migrantes Mujeres no puede ser Mayor al Total Mujeres.",""))</f>
        <v xml:space="preserve"> * La variable Migrantes Mujeres no puede ser Mayor al Total Mujeres.</v>
      </c>
      <c r="CG17" s="191" t="str">
        <f>IF(AND($E17&gt;0,OR(AA17=""))," * No olvide digitar la variable Personas Mayores en ELEAM Hombres. Digite Cero si no tiene.",IF(AA17&gt;$E17," * La variable Personas Mayores en ELEAM Hombres no puede ser Mayor al Total Hombres.",""))</f>
        <v xml:space="preserve"> * La variable Personas Mayores en ELEAM Hombres no puede ser Mayor al Total Hombres.</v>
      </c>
      <c r="CH17" s="191" t="str">
        <f>IF(AND($F17&gt;0,OR(AB17=""))," * No olvide digitar la variable Personas Mayores en ELEAM Mujeres. Digite Cero si no tiene.",IF(AB17&gt;$F17," * La variable Personas Mayores en ELEAM Mujeres no puede ser Mayor al Total Mujeres.",""))</f>
        <v xml:space="preserve"> * La variable Personas Mayores en ELEAM Mujeres no puede ser Mayor al Total Mujeres.</v>
      </c>
      <c r="CP17" s="1047">
        <f t="shared" si="6"/>
        <v>1</v>
      </c>
      <c r="CQ17" s="1047">
        <f t="shared" si="6"/>
        <v>1</v>
      </c>
      <c r="CR17" s="1047">
        <f>IF(AND($E17&gt;0,OR(Y17="")),1,IF(Y17&gt;$E17,1,0))</f>
        <v>1</v>
      </c>
      <c r="CS17" s="1047">
        <f>IF(AND($F17&gt;0,OR(Z17="")),1,IF(Z17&gt;$F17,1,0))</f>
        <v>1</v>
      </c>
      <c r="CT17" s="1047">
        <f>IF(AND($E17&gt;0,OR(AA17="")),1,IF(AA17&gt;$E17,1,0))</f>
        <v>1</v>
      </c>
      <c r="CU17" s="1047">
        <f>IF(AND($F17&gt;0,OR(AB17="")),1,IF(AB17&gt;$F17,1,0))</f>
        <v>1</v>
      </c>
    </row>
    <row r="18" spans="1:101" ht="15" customHeight="1" x14ac:dyDescent="0.25">
      <c r="A18" s="1585" t="s">
        <v>1308</v>
      </c>
      <c r="B18" s="2092" t="s">
        <v>589</v>
      </c>
      <c r="C18" s="2093"/>
      <c r="D18" s="1155" t="s">
        <v>1616</v>
      </c>
      <c r="E18" s="478" t="s">
        <v>1617</v>
      </c>
      <c r="F18" s="492" t="s">
        <v>1618</v>
      </c>
      <c r="G18" s="480" t="s">
        <v>1619</v>
      </c>
      <c r="H18" s="481" t="s">
        <v>1620</v>
      </c>
      <c r="I18" s="480" t="s">
        <v>1621</v>
      </c>
      <c r="J18" s="481" t="s">
        <v>1622</v>
      </c>
      <c r="K18" s="480" t="s">
        <v>1623</v>
      </c>
      <c r="L18" s="481" t="s">
        <v>1624</v>
      </c>
      <c r="M18" s="480" t="s">
        <v>1625</v>
      </c>
      <c r="N18" s="482" t="s">
        <v>1626</v>
      </c>
      <c r="O18" s="480" t="s">
        <v>1627</v>
      </c>
      <c r="P18" s="482" t="s">
        <v>1628</v>
      </c>
      <c r="Q18" s="480" t="s">
        <v>1629</v>
      </c>
      <c r="R18" s="482" t="s">
        <v>1630</v>
      </c>
      <c r="S18" s="480" t="s">
        <v>1631</v>
      </c>
      <c r="T18" s="482" t="s">
        <v>1632</v>
      </c>
      <c r="U18" s="480" t="s">
        <v>1633</v>
      </c>
      <c r="V18" s="482" t="s">
        <v>1634</v>
      </c>
      <c r="W18" s="483" t="s">
        <v>1635</v>
      </c>
      <c r="X18" s="481" t="s">
        <v>1636</v>
      </c>
      <c r="Y18" s="484" t="s">
        <v>1637</v>
      </c>
      <c r="Z18" s="481" t="s">
        <v>1638</v>
      </c>
      <c r="AA18" s="484" t="s">
        <v>1639</v>
      </c>
      <c r="AB18" s="481" t="s">
        <v>1640</v>
      </c>
      <c r="AC18" s="108" t="str">
        <f>CC18&amp;CD18&amp;CE18&amp;CF18&amp;CG18&amp;CH18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18" s="191" t="str">
        <f>IF(AND(E18&gt;0,OR(W18=""))," * No olvide digitar la variable Pueblos Originarios Hombres. Digite Cero si no tiene.",IF(W18&gt;E18," * La variable Pueblos Originarios Hombres no puede ser Mayor al Total Hombres.",""))</f>
        <v xml:space="preserve"> * La variable Pueblos Originarios Hombres no puede ser Mayor al Total Hombres.</v>
      </c>
      <c r="CD18" s="191" t="str">
        <f>IF(AND(F18&gt;0,OR(X18=""))," * No olvide digitar la variable Pueblos Originarios Mujeres. Digite Cero si no tiene.",IF(X18&gt;F18," * La variable Pueblos Originarios Mujeres no puede ser Mayor al Total Mujeres.",""))</f>
        <v xml:space="preserve"> * La variable Pueblos Originarios Mujeres no puede ser Mayor al Total Mujeres.</v>
      </c>
      <c r="CE18" s="191" t="str">
        <f>IF(AND($E18&gt;0,OR(Y18=""))," * No olvide digitar la variable Migrantes Hombres. Digite Cero si no tiene.",IF(Y18&gt;$E18," * La variable Migrantes Hombres no puede ser Mayor al Total Hombres.",""))</f>
        <v xml:space="preserve"> * La variable Migrantes Hombres no puede ser Mayor al Total Hombres.</v>
      </c>
      <c r="CF18" s="191" t="str">
        <f>IF(AND($F18&gt;0,OR(Z18=""))," * No olvide digitar la variable Migrantes Mujeres. Digite Cero si no tiene.",IF(Z18&gt;$F18," * La variable Migrantes Mujeres no puede ser Mayor al Total Mujeres.",""))</f>
        <v xml:space="preserve"> * La variable Migrantes Mujeres no puede ser Mayor al Total Mujeres.</v>
      </c>
      <c r="CG18" s="191" t="str">
        <f>IF(AND($E18&gt;0,OR(AA18=""))," * No olvide digitar la variable Personas Mayores en ELEAM Hombres. Digite Cero si no tiene.",IF(AA18&gt;$E18," * La variable Personas Mayores en ELEAM Hombres no puede ser Mayor al Total Hombres.",""))</f>
        <v xml:space="preserve"> * La variable Personas Mayores en ELEAM Hombres no puede ser Mayor al Total Hombres.</v>
      </c>
      <c r="CH18" s="191" t="str">
        <f>IF(AND($F18&gt;0,OR(AB18=""))," * No olvide digitar la variable Personas Mayores en ELEAM Mujeres. Digite Cero si no tiene.",IF(AB18&gt;$F18," * La variable Personas Mayores en ELEAM Mujeres no puede ser Mayor al Total Mujeres.",""))</f>
        <v xml:space="preserve"> * La variable Personas Mayores en ELEAM Mujeres no puede ser Mayor al Total Mujeres.</v>
      </c>
      <c r="CP18" s="1047">
        <f t="shared" si="6"/>
        <v>1</v>
      </c>
      <c r="CQ18" s="1047">
        <f t="shared" si="6"/>
        <v>1</v>
      </c>
      <c r="CR18" s="1047">
        <f>IF(AND($E18&gt;0,OR(Y18="")),1,IF(Y18&gt;$E18,1,0))</f>
        <v>1</v>
      </c>
      <c r="CS18" s="1047">
        <f>IF(AND($F18&gt;0,OR(Z18="")),1,IF(Z18&gt;$F18,1,0))</f>
        <v>1</v>
      </c>
      <c r="CT18" s="1047">
        <f>IF(AND($E18&gt;0,OR(AA18="")),1,IF(AA18&gt;$E18,1,0))</f>
        <v>1</v>
      </c>
      <c r="CU18" s="1047">
        <f>IF(AND($F18&gt;0,OR(AB18="")),1,IF(AB18&gt;$F18,1,0))</f>
        <v>1</v>
      </c>
    </row>
    <row r="19" spans="1:101" ht="15" customHeight="1" x14ac:dyDescent="0.25">
      <c r="A19" s="1585" t="s">
        <v>1309</v>
      </c>
      <c r="B19" s="2086" t="s">
        <v>590</v>
      </c>
      <c r="C19" s="2087"/>
      <c r="D19" s="1380" t="s">
        <v>1616</v>
      </c>
      <c r="E19" s="493" t="s">
        <v>1617</v>
      </c>
      <c r="F19" s="494" t="s">
        <v>1618</v>
      </c>
      <c r="G19" s="495" t="s">
        <v>1619</v>
      </c>
      <c r="H19" s="496" t="s">
        <v>1620</v>
      </c>
      <c r="I19" s="495" t="s">
        <v>1621</v>
      </c>
      <c r="J19" s="496" t="s">
        <v>1622</v>
      </c>
      <c r="K19" s="495" t="s">
        <v>1623</v>
      </c>
      <c r="L19" s="496" t="s">
        <v>1624</v>
      </c>
      <c r="M19" s="495" t="s">
        <v>1625</v>
      </c>
      <c r="N19" s="497" t="s">
        <v>1626</v>
      </c>
      <c r="O19" s="495" t="s">
        <v>1627</v>
      </c>
      <c r="P19" s="497" t="s">
        <v>1628</v>
      </c>
      <c r="Q19" s="495" t="s">
        <v>1629</v>
      </c>
      <c r="R19" s="497" t="s">
        <v>1630</v>
      </c>
      <c r="S19" s="495" t="s">
        <v>1631</v>
      </c>
      <c r="T19" s="497" t="s">
        <v>1632</v>
      </c>
      <c r="U19" s="495" t="s">
        <v>1633</v>
      </c>
      <c r="V19" s="497" t="s">
        <v>1634</v>
      </c>
      <c r="W19" s="498" t="s">
        <v>1635</v>
      </c>
      <c r="X19" s="496" t="s">
        <v>1636</v>
      </c>
      <c r="Y19" s="500" t="s">
        <v>1637</v>
      </c>
      <c r="Z19" s="496" t="s">
        <v>1638</v>
      </c>
      <c r="AA19" s="500" t="s">
        <v>1639</v>
      </c>
      <c r="AB19" s="496" t="s">
        <v>1640</v>
      </c>
      <c r="AC19" s="108" t="str">
        <f>CC19&amp;CD19&amp;CE19&amp;CF19&amp;CG19&amp;CH19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19" s="191" t="str">
        <f>IF(AND(E19&gt;0,OR(W19=""))," * No olvide digitar la variable Pueblos Originarios Hombres. Digite Cero si no tiene.",IF(W19&gt;E19," * La variable Pueblos Originarios Hombres no puede ser Mayor al Total Hombres.",""))</f>
        <v xml:space="preserve"> * La variable Pueblos Originarios Hombres no puede ser Mayor al Total Hombres.</v>
      </c>
      <c r="CD19" s="191" t="str">
        <f>IF(AND(F19&gt;0,OR(X19=""))," * No olvide digitar la variable Pueblos Originarios Mujeres. Digite Cero si no tiene.",IF(X19&gt;F19," * La variable Pueblos Originarios Mujeres no puede ser Mayor al Total Mujeres.",""))</f>
        <v xml:space="preserve"> * La variable Pueblos Originarios Mujeres no puede ser Mayor al Total Mujeres.</v>
      </c>
      <c r="CE19" s="191" t="str">
        <f>IF(AND($E19&gt;0,OR(Y19=""))," * No olvide digitar la variable Migrantes Hombres. Digite Cero si no tiene.",IF(Y19&gt;$E19," * La variable Migrantes Hombres no puede ser Mayor al Total Hombres.",""))</f>
        <v xml:space="preserve"> * La variable Migrantes Hombres no puede ser Mayor al Total Hombres.</v>
      </c>
      <c r="CF19" s="191" t="str">
        <f>IF(AND($F19&gt;0,OR(Z19=""))," * No olvide digitar la variable Migrantes Mujeres. Digite Cero si no tiene.",IF(Z19&gt;$F19," * La variable Migrantes Mujeres no puede ser Mayor al Total Mujeres.",""))</f>
        <v xml:space="preserve"> * La variable Migrantes Mujeres no puede ser Mayor al Total Mujeres.</v>
      </c>
      <c r="CG19" s="191" t="str">
        <f>IF(AND($E19&gt;0,OR(AA19=""))," * No olvide digitar la variable Personas Mayores en ELEAM Hombres. Digite Cero si no tiene.",IF(AA19&gt;$E19," * La variable Personas Mayores en ELEAM Hombres no puede ser Mayor al Total Hombres.",""))</f>
        <v xml:space="preserve"> * La variable Personas Mayores en ELEAM Hombres no puede ser Mayor al Total Hombres.</v>
      </c>
      <c r="CH19" s="191" t="str">
        <f>IF(AND($F19&gt;0,OR(AB19=""))," * No olvide digitar la variable Personas Mayores en ELEAM Mujeres. Digite Cero si no tiene.",IF(AB19&gt;$F19," * La variable Personas Mayores en ELEAM Mujeres no puede ser Mayor al Total Mujeres.",""))</f>
        <v xml:space="preserve"> * La variable Personas Mayores en ELEAM Mujeres no puede ser Mayor al Total Mujeres.</v>
      </c>
      <c r="CP19" s="1047">
        <f t="shared" si="6"/>
        <v>1</v>
      </c>
      <c r="CQ19" s="1047">
        <f t="shared" si="6"/>
        <v>1</v>
      </c>
      <c r="CR19" s="1047">
        <f>IF(AND($E19&gt;0,OR(Y19="")),1,IF(Y19&gt;$E19,1,0))</f>
        <v>1</v>
      </c>
      <c r="CS19" s="1047">
        <f>IF(AND($F19&gt;0,OR(Z19="")),1,IF(Z19&gt;$F19,1,0))</f>
        <v>1</v>
      </c>
      <c r="CT19" s="1047">
        <f>IF(AND($E19&gt;0,OR(AA19="")),1,IF(AA19&gt;$E19,1,0))</f>
        <v>1</v>
      </c>
      <c r="CU19" s="1047">
        <f>IF(AND($F19&gt;0,OR(AB19="")),1,IF(AB19&gt;$F19,1,0))</f>
        <v>1</v>
      </c>
    </row>
    <row r="20" spans="1:101" ht="15" customHeight="1" x14ac:dyDescent="0.25">
      <c r="A20" s="1591"/>
      <c r="B20" s="2114" t="s">
        <v>591</v>
      </c>
      <c r="C20" s="2115"/>
      <c r="D20" s="1496">
        <f>SUM(E20:F20)</f>
        <v>0</v>
      </c>
      <c r="E20" s="1497">
        <f>+G20+I20+K20+M20+O20+Q20+S20+U20</f>
        <v>0</v>
      </c>
      <c r="F20" s="1498">
        <f>+H20+J20+L20+N20+P20+R20+T20+V20</f>
        <v>0</v>
      </c>
      <c r="G20" s="1269">
        <f>SUM(G16:G19)</f>
        <v>0</v>
      </c>
      <c r="H20" s="1499">
        <f t="shared" ref="H20:Y20" si="7">SUM(H16:H19)</f>
        <v>0</v>
      </c>
      <c r="I20" s="1269">
        <f t="shared" si="7"/>
        <v>0</v>
      </c>
      <c r="J20" s="1499">
        <f t="shared" si="7"/>
        <v>0</v>
      </c>
      <c r="K20" s="501">
        <f t="shared" si="7"/>
        <v>0</v>
      </c>
      <c r="L20" s="1499">
        <f t="shared" si="7"/>
        <v>0</v>
      </c>
      <c r="M20" s="1269">
        <f t="shared" si="7"/>
        <v>0</v>
      </c>
      <c r="N20" s="502">
        <f t="shared" si="7"/>
        <v>0</v>
      </c>
      <c r="O20" s="1269">
        <f t="shared" ref="O20:P20" si="8">SUM(O16:O19)</f>
        <v>0</v>
      </c>
      <c r="P20" s="502">
        <f t="shared" si="8"/>
        <v>0</v>
      </c>
      <c r="Q20" s="1269">
        <f t="shared" ref="Q20:R20" si="9">SUM(Q16:Q19)</f>
        <v>0</v>
      </c>
      <c r="R20" s="502">
        <f t="shared" si="9"/>
        <v>0</v>
      </c>
      <c r="S20" s="1269">
        <f t="shared" ref="S20:T20" si="10">SUM(S16:S19)</f>
        <v>0</v>
      </c>
      <c r="T20" s="502">
        <f t="shared" si="10"/>
        <v>0</v>
      </c>
      <c r="U20" s="1269">
        <f t="shared" si="7"/>
        <v>0</v>
      </c>
      <c r="V20" s="502">
        <f t="shared" si="7"/>
        <v>0</v>
      </c>
      <c r="W20" s="503">
        <f>SUM(W16:W19)</f>
        <v>0</v>
      </c>
      <c r="X20" s="1216">
        <f>SUM(X16:X19)</f>
        <v>0</v>
      </c>
      <c r="Y20" s="1500">
        <f t="shared" si="7"/>
        <v>0</v>
      </c>
      <c r="Z20" s="1216">
        <f>SUM(Z16:Z19)</f>
        <v>0</v>
      </c>
      <c r="AA20" s="1500">
        <f t="shared" ref="AA20" si="11">SUM(AA16:AA19)</f>
        <v>0</v>
      </c>
      <c r="AB20" s="1216">
        <f>SUM(AB16:AB19)</f>
        <v>0</v>
      </c>
      <c r="AC20" s="108"/>
      <c r="BD20" s="606"/>
      <c r="BE20" s="606"/>
      <c r="BF20" s="606"/>
      <c r="BG20" s="606"/>
      <c r="BH20" s="606"/>
      <c r="BI20" s="606"/>
      <c r="BJ20" s="606"/>
      <c r="BK20" s="606"/>
      <c r="BL20" s="606"/>
      <c r="BM20" s="606"/>
      <c r="BN20" s="606"/>
    </row>
    <row r="21" spans="1:101" ht="15" customHeight="1" x14ac:dyDescent="0.25">
      <c r="A21" s="1591"/>
      <c r="B21" s="2112" t="s">
        <v>592</v>
      </c>
      <c r="C21" s="2113"/>
      <c r="D21" s="1496">
        <f t="shared" ref="D21" si="12">SUM(E21:F21)</f>
        <v>0</v>
      </c>
      <c r="E21" s="1497">
        <f>+G21+I21+K21+M21+O21+Q21+S21+U21</f>
        <v>0</v>
      </c>
      <c r="F21" s="1498">
        <f>+H21+J21+L21+N21+P21+R21+T21+V21</f>
        <v>0</v>
      </c>
      <c r="G21" s="1269">
        <f>+G15+G20</f>
        <v>0</v>
      </c>
      <c r="H21" s="1499">
        <f t="shared" ref="H21:Y21" si="13">+H15+H20</f>
        <v>0</v>
      </c>
      <c r="I21" s="1269">
        <f t="shared" si="13"/>
        <v>0</v>
      </c>
      <c r="J21" s="1499">
        <f t="shared" si="13"/>
        <v>0</v>
      </c>
      <c r="K21" s="1269">
        <f t="shared" si="13"/>
        <v>0</v>
      </c>
      <c r="L21" s="1499">
        <f t="shared" si="13"/>
        <v>0</v>
      </c>
      <c r="M21" s="1269">
        <f t="shared" si="13"/>
        <v>0</v>
      </c>
      <c r="N21" s="502">
        <f t="shared" si="13"/>
        <v>0</v>
      </c>
      <c r="O21" s="1269">
        <f t="shared" ref="O21:P21" si="14">+O15+O20</f>
        <v>0</v>
      </c>
      <c r="P21" s="502">
        <f t="shared" si="14"/>
        <v>0</v>
      </c>
      <c r="Q21" s="1269">
        <f t="shared" ref="Q21:R21" si="15">+Q15+Q20</f>
        <v>0</v>
      </c>
      <c r="R21" s="502">
        <f t="shared" si="15"/>
        <v>0</v>
      </c>
      <c r="S21" s="1269">
        <f t="shared" ref="S21:T21" si="16">+S15+S20</f>
        <v>0</v>
      </c>
      <c r="T21" s="502">
        <f t="shared" si="16"/>
        <v>0</v>
      </c>
      <c r="U21" s="1269">
        <f t="shared" si="13"/>
        <v>0</v>
      </c>
      <c r="V21" s="502">
        <f t="shared" si="13"/>
        <v>0</v>
      </c>
      <c r="W21" s="503">
        <f>+W15+W20</f>
        <v>0</v>
      </c>
      <c r="X21" s="1499">
        <f>+X15+X20</f>
        <v>0</v>
      </c>
      <c r="Y21" s="1500">
        <f t="shared" si="13"/>
        <v>0</v>
      </c>
      <c r="Z21" s="1499">
        <f>+Z15+Z20</f>
        <v>0</v>
      </c>
      <c r="AA21" s="1500">
        <f t="shared" ref="AA21" si="17">+AA15+AA20</f>
        <v>0</v>
      </c>
      <c r="AB21" s="1499">
        <f>+AB15+AB20</f>
        <v>0</v>
      </c>
      <c r="AC21" s="108"/>
    </row>
    <row r="22" spans="1:101" s="1104" customFormat="1" ht="17.100000000000001" customHeight="1" x14ac:dyDescent="0.2">
      <c r="A22" s="108"/>
      <c r="B22" s="1270" t="s">
        <v>593</v>
      </c>
      <c r="C22" s="1270"/>
      <c r="D22" s="1270"/>
      <c r="E22" s="1270"/>
      <c r="F22" s="1270"/>
      <c r="G22" s="1270"/>
      <c r="H22" s="1270"/>
      <c r="I22" s="1270"/>
      <c r="J22" s="1271"/>
      <c r="K22" s="1271"/>
      <c r="L22" s="1271"/>
      <c r="M22" s="1271"/>
      <c r="N22" s="1271"/>
      <c r="O22" s="1271"/>
      <c r="P22" s="1271"/>
      <c r="Q22" s="1271"/>
      <c r="R22" s="1272"/>
      <c r="S22" s="1273"/>
      <c r="T22" s="1273"/>
      <c r="U22" s="1273"/>
      <c r="V22" s="1273"/>
      <c r="W22" s="1273"/>
      <c r="X22" s="1273"/>
      <c r="Y22" s="1273"/>
      <c r="Z22" s="1273"/>
      <c r="AA22" s="1273"/>
      <c r="AB22" s="1273"/>
      <c r="AC22" s="1564"/>
      <c r="AD22" s="1103"/>
      <c r="AE22" s="1103"/>
      <c r="AF22" s="1103"/>
      <c r="AG22" s="1103"/>
      <c r="AH22" s="1103"/>
      <c r="AI22" s="1103"/>
      <c r="AJ22" s="1103"/>
      <c r="AK22" s="1103"/>
      <c r="AL22" s="1103"/>
      <c r="AM22" s="1103"/>
      <c r="AN22" s="1103"/>
      <c r="AO22" s="1103"/>
      <c r="AP22" s="1103"/>
      <c r="AQ22" s="1103"/>
      <c r="AR22" s="1103"/>
      <c r="AS22" s="1103"/>
      <c r="AT22" s="1103"/>
      <c r="AU22" s="1103"/>
      <c r="AV22" s="1103"/>
      <c r="AW22" s="1103"/>
      <c r="AX22" s="1103"/>
      <c r="AY22" s="1103"/>
      <c r="AZ22" s="1103"/>
    </row>
    <row r="23" spans="1:101" ht="19.5" customHeight="1" x14ac:dyDescent="0.25">
      <c r="B23" s="2100" t="s">
        <v>578</v>
      </c>
      <c r="C23" s="2101"/>
      <c r="D23" s="2079" t="s">
        <v>49</v>
      </c>
      <c r="E23" s="2079"/>
      <c r="F23" s="2079"/>
      <c r="G23" s="2116" t="s">
        <v>376</v>
      </c>
      <c r="H23" s="2117"/>
      <c r="I23" s="2117"/>
      <c r="J23" s="2117"/>
      <c r="K23" s="2117"/>
      <c r="L23" s="2117"/>
      <c r="M23" s="2117"/>
      <c r="N23" s="2117"/>
      <c r="O23" s="2117"/>
      <c r="P23" s="2117"/>
      <c r="Q23" s="2117"/>
      <c r="R23" s="2117"/>
      <c r="S23" s="2117"/>
      <c r="T23" s="2117"/>
      <c r="U23" s="2117"/>
      <c r="V23" s="2117"/>
      <c r="W23" s="2117"/>
      <c r="X23" s="2118"/>
      <c r="Y23" s="1679" t="s">
        <v>51</v>
      </c>
      <c r="Z23" s="1708"/>
      <c r="AA23" s="1706" t="s">
        <v>52</v>
      </c>
      <c r="AB23" s="1708"/>
      <c r="CC23" s="184"/>
      <c r="CD23" s="184"/>
      <c r="CE23" s="184"/>
      <c r="CF23" s="184"/>
      <c r="CG23" s="184"/>
      <c r="CH23" s="184"/>
      <c r="CK23" s="184"/>
      <c r="CL23" s="184"/>
      <c r="CM23" s="184"/>
      <c r="CN23" s="184"/>
      <c r="CP23" s="184"/>
      <c r="CQ23" s="184"/>
      <c r="CR23" s="184"/>
      <c r="CS23" s="184"/>
      <c r="CT23" s="184"/>
      <c r="CU23" s="184"/>
    </row>
    <row r="24" spans="1:101" ht="16.5" customHeight="1" x14ac:dyDescent="0.25">
      <c r="B24" s="2102"/>
      <c r="C24" s="2103"/>
      <c r="D24" s="2079"/>
      <c r="E24" s="2079"/>
      <c r="F24" s="2079"/>
      <c r="G24" s="1932" t="s">
        <v>66</v>
      </c>
      <c r="H24" s="1933"/>
      <c r="I24" s="1932" t="s">
        <v>67</v>
      </c>
      <c r="J24" s="1933"/>
      <c r="K24" s="1932" t="s">
        <v>406</v>
      </c>
      <c r="L24" s="1933"/>
      <c r="M24" s="1932" t="s">
        <v>407</v>
      </c>
      <c r="N24" s="1933"/>
      <c r="O24" s="1932" t="s">
        <v>579</v>
      </c>
      <c r="P24" s="1938"/>
      <c r="Q24" s="1932" t="s">
        <v>580</v>
      </c>
      <c r="R24" s="1938"/>
      <c r="S24" s="1932" t="s">
        <v>581</v>
      </c>
      <c r="T24" s="1938"/>
      <c r="U24" s="1932" t="s">
        <v>582</v>
      </c>
      <c r="V24" s="1938"/>
      <c r="W24" s="1932" t="s">
        <v>904</v>
      </c>
      <c r="X24" s="1938"/>
      <c r="Y24" s="1855"/>
      <c r="Z24" s="1854"/>
      <c r="AA24" s="1853"/>
      <c r="AB24" s="1854"/>
      <c r="CC24" s="184"/>
      <c r="CD24" s="184"/>
      <c r="CE24" s="184"/>
      <c r="CF24" s="184"/>
      <c r="CG24" s="184"/>
      <c r="CH24" s="184"/>
      <c r="CK24" s="184"/>
      <c r="CL24" s="184"/>
      <c r="CM24" s="184"/>
      <c r="CN24" s="184"/>
      <c r="CP24" s="184"/>
      <c r="CQ24" s="184"/>
      <c r="CR24" s="184"/>
      <c r="CS24" s="184"/>
      <c r="CT24" s="184"/>
      <c r="CU24" s="184"/>
    </row>
    <row r="25" spans="1:101" ht="21" x14ac:dyDescent="0.25">
      <c r="B25" s="2104"/>
      <c r="C25" s="2105"/>
      <c r="D25" s="1471" t="s">
        <v>409</v>
      </c>
      <c r="E25" s="1495" t="s">
        <v>86</v>
      </c>
      <c r="F25" s="1492" t="s">
        <v>227</v>
      </c>
      <c r="G25" s="1260" t="s">
        <v>410</v>
      </c>
      <c r="H25" s="874" t="s">
        <v>227</v>
      </c>
      <c r="I25" s="1260" t="s">
        <v>410</v>
      </c>
      <c r="J25" s="874" t="s">
        <v>227</v>
      </c>
      <c r="K25" s="1260" t="s">
        <v>410</v>
      </c>
      <c r="L25" s="874" t="s">
        <v>227</v>
      </c>
      <c r="M25" s="1260" t="s">
        <v>410</v>
      </c>
      <c r="N25" s="874" t="s">
        <v>227</v>
      </c>
      <c r="O25" s="1260" t="s">
        <v>410</v>
      </c>
      <c r="P25" s="87" t="s">
        <v>227</v>
      </c>
      <c r="Q25" s="1260" t="s">
        <v>410</v>
      </c>
      <c r="R25" s="874" t="s">
        <v>227</v>
      </c>
      <c r="S25" s="1260" t="s">
        <v>410</v>
      </c>
      <c r="T25" s="874" t="s">
        <v>227</v>
      </c>
      <c r="U25" s="1260" t="s">
        <v>410</v>
      </c>
      <c r="V25" s="87" t="s">
        <v>227</v>
      </c>
      <c r="W25" s="1260" t="s">
        <v>410</v>
      </c>
      <c r="X25" s="87" t="s">
        <v>227</v>
      </c>
      <c r="Y25" s="190" t="s">
        <v>86</v>
      </c>
      <c r="Z25" s="1420" t="s">
        <v>227</v>
      </c>
      <c r="AA25" s="1404" t="s">
        <v>86</v>
      </c>
      <c r="AB25" s="1420" t="s">
        <v>227</v>
      </c>
      <c r="CC25" s="38"/>
      <c r="CD25" s="38"/>
      <c r="CE25" s="38"/>
      <c r="CF25" s="38"/>
      <c r="CG25" s="1064"/>
      <c r="CH25" s="1064"/>
      <c r="CK25" s="1064"/>
      <c r="CL25" s="1064"/>
      <c r="CM25" s="1064"/>
      <c r="CN25" s="1064"/>
      <c r="CP25" s="38"/>
      <c r="CQ25" s="38"/>
      <c r="CR25" s="38"/>
      <c r="CS25" s="38"/>
      <c r="CT25" s="1064"/>
      <c r="CU25" s="1064"/>
    </row>
    <row r="26" spans="1:101" ht="15" customHeight="1" x14ac:dyDescent="0.25">
      <c r="A26" s="1585" t="s">
        <v>1310</v>
      </c>
      <c r="B26" s="2106" t="s">
        <v>583</v>
      </c>
      <c r="C26" s="2107"/>
      <c r="D26" s="1154" t="s">
        <v>1616</v>
      </c>
      <c r="E26" s="471" t="s">
        <v>1617</v>
      </c>
      <c r="F26" s="505" t="s">
        <v>1618</v>
      </c>
      <c r="G26" s="506" t="s">
        <v>1619</v>
      </c>
      <c r="H26" s="507" t="s">
        <v>1620</v>
      </c>
      <c r="I26" s="506" t="s">
        <v>1621</v>
      </c>
      <c r="J26" s="507" t="s">
        <v>1622</v>
      </c>
      <c r="K26" s="506" t="s">
        <v>1623</v>
      </c>
      <c r="L26" s="507" t="s">
        <v>1624</v>
      </c>
      <c r="M26" s="506" t="s">
        <v>1625</v>
      </c>
      <c r="N26" s="507" t="s">
        <v>1626</v>
      </c>
      <c r="O26" s="506" t="s">
        <v>1627</v>
      </c>
      <c r="P26" s="508" t="s">
        <v>1628</v>
      </c>
      <c r="Q26" s="506" t="s">
        <v>1629</v>
      </c>
      <c r="R26" s="507" t="s">
        <v>1630</v>
      </c>
      <c r="S26" s="506" t="s">
        <v>1631</v>
      </c>
      <c r="T26" s="507" t="s">
        <v>1632</v>
      </c>
      <c r="U26" s="506" t="s">
        <v>1633</v>
      </c>
      <c r="V26" s="508" t="s">
        <v>1634</v>
      </c>
      <c r="W26" s="506" t="s">
        <v>1635</v>
      </c>
      <c r="X26" s="508" t="s">
        <v>1636</v>
      </c>
      <c r="Y26" s="509" t="s">
        <v>1637</v>
      </c>
      <c r="Z26" s="507" t="s">
        <v>1638</v>
      </c>
      <c r="AA26" s="477" t="s">
        <v>1639</v>
      </c>
      <c r="AB26" s="474" t="s">
        <v>1640</v>
      </c>
      <c r="AC26" s="108" t="str">
        <f>CC26&amp;CD26&amp;CE26&amp;CF26</f>
        <v xml:space="preserve"> * La variable Pueblos Originarios Hombres no puede ser Mayor al Total Hombres. * La variable Pueblos Originarios Mujeres no puede ser Mayor al Total Mujeres. * La variable Pueblos Originarios Hombres no puede ser Mayor al Total Hombres. * La variable Migrantes Mujeres no puede ser Mayor al Total Mujeres.</v>
      </c>
      <c r="CC26" s="191" t="str">
        <f>IF(AND($E26&gt;0,OR(Y26=""))," * No olvide digitar la variable Pueblos Originarios Hombres. Digite Cero si no tiene.",IF(Y26&gt;$E26," * La variable Pueblos Originarios Hombres no puede ser Mayor al Total Hombres.",""))</f>
        <v xml:space="preserve"> * La variable Pueblos Originarios Hombres no puede ser Mayor al Total Hombres.</v>
      </c>
      <c r="CD26" s="191" t="str">
        <f>IF(AND($F26&gt;0,OR(Z26=""))," * No olvide digitar la variable Pueblos Originarios Mujeres. Digite Cero si no tiene.",IF(Z26&gt;$F26," * La variable Pueblos Originarios Mujeres no puede ser Mayor al Total Mujeres.",""))</f>
        <v xml:space="preserve"> * La variable Pueblos Originarios Mujeres no puede ser Mayor al Total Mujeres.</v>
      </c>
      <c r="CE26" s="191" t="str">
        <f>IF(AND($E26&gt;0,OR(AA26=""))," * No olvide digitar la variable Pueblos Originarios Hombres. Digite Cero si no tiene.",IF(AA26&gt;$E26," * La variable Pueblos Originarios Hombres no puede ser Mayor al Total Hombres.",""))</f>
        <v xml:space="preserve"> * La variable Pueblos Originarios Hombres no puede ser Mayor al Total Hombres.</v>
      </c>
      <c r="CF26" s="191" t="str">
        <f>IF(AND($F26&gt;0,OR(AB26=""))," * No olvide digitar la variable Migrantes Mujeres. Digite Cero si no tiene.",IF(AB26&gt;$F26," * La variable Migrantes Mujeres no puede ser Mayor al Total Mujeres.",""))</f>
        <v xml:space="preserve"> * La variable Migrantes Mujeres no puede ser Mayor al Total Mujeres.</v>
      </c>
      <c r="CP26" s="1047">
        <f>IF(AND(E26&gt;0,OR(Y26="")),1,IF(Y26&gt;E26,1,0))</f>
        <v>1</v>
      </c>
      <c r="CQ26" s="1047">
        <f>IF(AND(F26&gt;0,OR(Z26="")),1,IF(Z26&gt;F26,1,0))</f>
        <v>1</v>
      </c>
      <c r="CR26" s="1047">
        <f>IF(AND($E26&gt;0,OR(AA26="")),1,IF(AA26&gt;$E26,1,0))</f>
        <v>1</v>
      </c>
      <c r="CS26" s="1047">
        <f>IF(AND($F26&gt;0,OR(AB26="")),1,IF(AB26&gt;$F26,1,0))</f>
        <v>1</v>
      </c>
    </row>
    <row r="27" spans="1:101" ht="15" customHeight="1" x14ac:dyDescent="0.25">
      <c r="A27" s="1585" t="s">
        <v>1311</v>
      </c>
      <c r="B27" s="2108" t="s">
        <v>584</v>
      </c>
      <c r="C27" s="2109"/>
      <c r="D27" s="1160" t="s">
        <v>1616</v>
      </c>
      <c r="E27" s="1156" t="s">
        <v>1617</v>
      </c>
      <c r="F27" s="511" t="s">
        <v>1618</v>
      </c>
      <c r="G27" s="873" t="s">
        <v>1619</v>
      </c>
      <c r="H27" s="872" t="s">
        <v>1620</v>
      </c>
      <c r="I27" s="512" t="s">
        <v>1621</v>
      </c>
      <c r="J27" s="513" t="s">
        <v>1622</v>
      </c>
      <c r="K27" s="512" t="s">
        <v>1623</v>
      </c>
      <c r="L27" s="513" t="s">
        <v>1624</v>
      </c>
      <c r="M27" s="512" t="s">
        <v>1625</v>
      </c>
      <c r="N27" s="513" t="s">
        <v>1626</v>
      </c>
      <c r="O27" s="512" t="s">
        <v>1627</v>
      </c>
      <c r="P27" s="514" t="s">
        <v>1628</v>
      </c>
      <c r="Q27" s="512" t="s">
        <v>1629</v>
      </c>
      <c r="R27" s="513" t="s">
        <v>1630</v>
      </c>
      <c r="S27" s="512" t="s">
        <v>1631</v>
      </c>
      <c r="T27" s="513" t="s">
        <v>1632</v>
      </c>
      <c r="U27" s="512" t="s">
        <v>1633</v>
      </c>
      <c r="V27" s="514" t="s">
        <v>1634</v>
      </c>
      <c r="W27" s="512" t="s">
        <v>1635</v>
      </c>
      <c r="X27" s="514" t="s">
        <v>1636</v>
      </c>
      <c r="Y27" s="515" t="s">
        <v>1637</v>
      </c>
      <c r="Z27" s="513" t="s">
        <v>1638</v>
      </c>
      <c r="AA27" s="484" t="s">
        <v>1639</v>
      </c>
      <c r="AB27" s="481" t="s">
        <v>1640</v>
      </c>
      <c r="AC27" s="108" t="str">
        <f>CC27&amp;CD27&amp;CE27&amp;CF27</f>
        <v xml:space="preserve"> * La variable Pueblos Originarios Hombres no puede ser Mayor al Total Hombres. * La variable Pueblos Originarios Mujeres no puede ser Mayor al Total Mujeres. * La variable Pueblos Originarios Hombres no puede ser Mayor al Total Hombres. * La variable Migrantes Mujeres no puede ser Mayor al Total Mujeres.</v>
      </c>
      <c r="CC27" s="191" t="str">
        <f>IF(AND($E27&gt;0,OR(Y27=""))," * No olvide digitar la variable Pueblos Originarios Hombres. Digite Cero si no tiene.",IF(Y27&gt;$E27," * La variable Pueblos Originarios Hombres no puede ser Mayor al Total Hombres.",""))</f>
        <v xml:space="preserve"> * La variable Pueblos Originarios Hombres no puede ser Mayor al Total Hombres.</v>
      </c>
      <c r="CD27" s="191" t="str">
        <f t="shared" ref="CD27:CD28" si="18">IF(AND($F27&gt;0,OR(Z27=""))," * No olvide digitar la variable Pueblos Originarios Mujeres. Digite Cero si no tiene.",IF(Z27&gt;$F27," * La variable Pueblos Originarios Mujeres no puede ser Mayor al Total Mujeres.",""))</f>
        <v xml:space="preserve"> * La variable Pueblos Originarios Mujeres no puede ser Mayor al Total Mujeres.</v>
      </c>
      <c r="CE27" s="191" t="str">
        <f>IF(AND($E27&gt;0,OR(AA27=""))," * No olvide digitar la variable Pueblos Originarios Hombres. Digite Cero si no tiene.",IF(AA27&gt;$E27," * La variable Pueblos Originarios Hombres no puede ser Mayor al Total Hombres.",""))</f>
        <v xml:space="preserve"> * La variable Pueblos Originarios Hombres no puede ser Mayor al Total Hombres.</v>
      </c>
      <c r="CF27" s="191" t="str">
        <f t="shared" ref="CF27:CF28" si="19">IF(AND($F27&gt;0,OR(AB27=""))," * No olvide digitar la variable Migrantes Mujeres. Digite Cero si no tiene.",IF(AB27&gt;$F27," * La variable Migrantes Mujeres no puede ser Mayor al Total Mujeres.",""))</f>
        <v xml:space="preserve"> * La variable Migrantes Mujeres no puede ser Mayor al Total Mujeres.</v>
      </c>
      <c r="CP27" s="1047">
        <f t="shared" ref="CP27:CQ28" si="20">IF(AND(E27&gt;0,OR(Y27="")),1,IF(Y27&gt;E27,1,0))</f>
        <v>1</v>
      </c>
      <c r="CQ27" s="1047">
        <f t="shared" si="20"/>
        <v>1</v>
      </c>
      <c r="CR27" s="1047">
        <f>IF(AND($E27&gt;0,OR(AA27="")),1,IF(AA27&gt;$E27,1,0))</f>
        <v>1</v>
      </c>
      <c r="CS27" s="1047">
        <f>IF(AND($F27&gt;0,OR(AB27="")),1,IF(AB27&gt;$F27,1,0))</f>
        <v>1</v>
      </c>
    </row>
    <row r="28" spans="1:101" ht="15" customHeight="1" x14ac:dyDescent="0.25">
      <c r="A28" s="1585" t="s">
        <v>1312</v>
      </c>
      <c r="B28" s="2110" t="s">
        <v>585</v>
      </c>
      <c r="C28" s="2111"/>
      <c r="D28" s="1161" t="s">
        <v>1616</v>
      </c>
      <c r="E28" s="1156" t="s">
        <v>1617</v>
      </c>
      <c r="F28" s="511" t="s">
        <v>1618</v>
      </c>
      <c r="G28" s="871" t="s">
        <v>1619</v>
      </c>
      <c r="H28" s="870" t="s">
        <v>1620</v>
      </c>
      <c r="I28" s="495" t="s">
        <v>1621</v>
      </c>
      <c r="J28" s="496" t="s">
        <v>1622</v>
      </c>
      <c r="K28" s="495" t="s">
        <v>1623</v>
      </c>
      <c r="L28" s="496" t="s">
        <v>1624</v>
      </c>
      <c r="M28" s="495" t="s">
        <v>1625</v>
      </c>
      <c r="N28" s="496" t="s">
        <v>1626</v>
      </c>
      <c r="O28" s="495" t="s">
        <v>1627</v>
      </c>
      <c r="P28" s="497" t="s">
        <v>1628</v>
      </c>
      <c r="Q28" s="495" t="s">
        <v>1629</v>
      </c>
      <c r="R28" s="496" t="s">
        <v>1630</v>
      </c>
      <c r="S28" s="495" t="s">
        <v>1631</v>
      </c>
      <c r="T28" s="496" t="s">
        <v>1632</v>
      </c>
      <c r="U28" s="495" t="s">
        <v>1633</v>
      </c>
      <c r="V28" s="497" t="s">
        <v>1634</v>
      </c>
      <c r="W28" s="495" t="s">
        <v>1635</v>
      </c>
      <c r="X28" s="497" t="s">
        <v>1636</v>
      </c>
      <c r="Y28" s="498" t="s">
        <v>1637</v>
      </c>
      <c r="Z28" s="496" t="s">
        <v>1638</v>
      </c>
      <c r="AA28" s="489" t="s">
        <v>1639</v>
      </c>
      <c r="AB28" s="486" t="s">
        <v>1640</v>
      </c>
      <c r="AC28" s="108" t="str">
        <f>CC28&amp;CD28&amp;CE28&amp;CF28</f>
        <v xml:space="preserve"> * La variable Pueblos Originarios Hombres no puede ser Mayor al Total Hombres. * La variable Pueblos Originarios Mujeres no puede ser Mayor al Total Mujeres. * La variable Pueblos Originarios Hombres no puede ser Mayor al Total Hombres. * La variable Migrantes Mujeres no puede ser Mayor al Total Mujeres.</v>
      </c>
      <c r="CC28" s="191" t="str">
        <f>IF(AND($E28&gt;0,OR(Y28=""))," * No olvide digitar la variable Pueblos Originarios Hombres. Digite Cero si no tiene.",IF(Y28&gt;$E28," * La variable Pueblos Originarios Hombres no puede ser Mayor al Total Hombres.",""))</f>
        <v xml:space="preserve"> * La variable Pueblos Originarios Hombres no puede ser Mayor al Total Hombres.</v>
      </c>
      <c r="CD28" s="191" t="str">
        <f t="shared" si="18"/>
        <v xml:space="preserve"> * La variable Pueblos Originarios Mujeres no puede ser Mayor al Total Mujeres.</v>
      </c>
      <c r="CE28" s="191" t="str">
        <f>IF(AND($E28&gt;0,OR(AA28=""))," * No olvide digitar la variable Pueblos Originarios Hombres. Digite Cero si no tiene.",IF(AA28&gt;$E28," * La variable Pueblos Originarios Hombres no puede ser Mayor al Total Hombres.",""))</f>
        <v xml:space="preserve"> * La variable Pueblos Originarios Hombres no puede ser Mayor al Total Hombres.</v>
      </c>
      <c r="CF28" s="191" t="str">
        <f t="shared" si="19"/>
        <v xml:space="preserve"> * La variable Migrantes Mujeres no puede ser Mayor al Total Mujeres.</v>
      </c>
      <c r="CP28" s="1047">
        <f t="shared" si="20"/>
        <v>1</v>
      </c>
      <c r="CQ28" s="1047">
        <f t="shared" si="20"/>
        <v>1</v>
      </c>
      <c r="CR28" s="1047">
        <f>IF(AND($E28&gt;0,OR(AA28="")),1,IF(AA28&gt;$E28,1,0))</f>
        <v>1</v>
      </c>
      <c r="CS28" s="1047">
        <f>IF(AND($F28&gt;0,OR(AB28="")),1,IF(AB28&gt;$F28,1,0))</f>
        <v>1</v>
      </c>
    </row>
    <row r="29" spans="1:101" ht="15" customHeight="1" x14ac:dyDescent="0.25">
      <c r="A29" s="1591"/>
      <c r="B29" s="2112" t="s">
        <v>594</v>
      </c>
      <c r="C29" s="2113"/>
      <c r="D29" s="1496">
        <f>SUM(E29:F29)</f>
        <v>0</v>
      </c>
      <c r="E29" s="1497">
        <f>+G29+I29+K29+M29+O29+Q29+S29+U29+W29</f>
        <v>0</v>
      </c>
      <c r="F29" s="1498">
        <f>+H29+J29+L29+N29+P29+R29+T29+V29+X29</f>
        <v>0</v>
      </c>
      <c r="G29" s="1268">
        <f>SUM(G26)</f>
        <v>0</v>
      </c>
      <c r="H29" s="1497">
        <f>SUM(H26)</f>
        <v>0</v>
      </c>
      <c r="I29" s="1268">
        <f>SUM(I26:I28)</f>
        <v>0</v>
      </c>
      <c r="J29" s="1215">
        <f t="shared" ref="J29:P29" si="21">SUM(J26:J28)</f>
        <v>0</v>
      </c>
      <c r="K29" s="1268">
        <f t="shared" si="21"/>
        <v>0</v>
      </c>
      <c r="L29" s="1215">
        <f t="shared" si="21"/>
        <v>0</v>
      </c>
      <c r="M29" s="1268">
        <f t="shared" si="21"/>
        <v>0</v>
      </c>
      <c r="N29" s="1215">
        <f t="shared" si="21"/>
        <v>0</v>
      </c>
      <c r="O29" s="1268">
        <f t="shared" si="21"/>
        <v>0</v>
      </c>
      <c r="P29" s="490">
        <f t="shared" si="21"/>
        <v>0</v>
      </c>
      <c r="Q29" s="1268">
        <f t="shared" ref="Q29:V29" si="22">SUM(Q26:Q28)</f>
        <v>0</v>
      </c>
      <c r="R29" s="1215">
        <f t="shared" si="22"/>
        <v>0</v>
      </c>
      <c r="S29" s="1268">
        <f t="shared" si="22"/>
        <v>0</v>
      </c>
      <c r="T29" s="1215">
        <f t="shared" si="22"/>
        <v>0</v>
      </c>
      <c r="U29" s="1268">
        <f t="shared" si="22"/>
        <v>0</v>
      </c>
      <c r="V29" s="490">
        <f t="shared" si="22"/>
        <v>0</v>
      </c>
      <c r="W29" s="1268">
        <f t="shared" ref="W29:X29" si="23">SUM(W26:W28)</f>
        <v>0</v>
      </c>
      <c r="X29" s="490">
        <f t="shared" si="23"/>
        <v>0</v>
      </c>
      <c r="Y29" s="491">
        <f>SUM(Y26:Y28)</f>
        <v>0</v>
      </c>
      <c r="Z29" s="1215">
        <f>SUM(Z26:Z28)</f>
        <v>0</v>
      </c>
      <c r="AA29" s="1497">
        <f>SUM(AA26:AA28)</f>
        <v>0</v>
      </c>
      <c r="AB29" s="1215">
        <f>SUM(AB26:AB28)</f>
        <v>0</v>
      </c>
      <c r="BD29" s="606"/>
      <c r="BE29" s="606"/>
      <c r="BF29" s="606"/>
      <c r="BG29" s="606"/>
      <c r="BH29" s="606"/>
      <c r="BI29" s="606"/>
      <c r="BJ29" s="606"/>
      <c r="BK29" s="606"/>
      <c r="BL29" s="606"/>
      <c r="BM29" s="606"/>
    </row>
    <row r="30" spans="1:101" s="1104" customFormat="1" ht="17.100000000000001" customHeight="1" x14ac:dyDescent="0.2">
      <c r="A30" s="108"/>
      <c r="B30" s="1270" t="s">
        <v>595</v>
      </c>
      <c r="C30" s="1270"/>
      <c r="D30" s="1270"/>
      <c r="E30" s="1270"/>
      <c r="F30" s="1270"/>
      <c r="G30" s="1270"/>
      <c r="H30" s="1270"/>
      <c r="I30" s="1105"/>
      <c r="M30" s="1106"/>
      <c r="AC30" s="1564"/>
      <c r="AD30" s="1103"/>
      <c r="AE30" s="1103"/>
      <c r="AF30" s="1103"/>
      <c r="AG30" s="1103"/>
      <c r="AH30" s="1103"/>
      <c r="AI30" s="1103"/>
      <c r="AJ30" s="1103"/>
      <c r="AK30" s="1103"/>
      <c r="AL30" s="1103"/>
      <c r="AM30" s="1103"/>
      <c r="AN30" s="1103"/>
      <c r="AO30" s="1103"/>
      <c r="AP30" s="1103"/>
      <c r="AQ30" s="1103"/>
      <c r="AR30" s="1103"/>
      <c r="AS30" s="1103"/>
      <c r="AT30" s="1103"/>
      <c r="AU30" s="1103"/>
      <c r="AV30" s="1103"/>
      <c r="AW30" s="1103"/>
      <c r="AX30" s="1103"/>
      <c r="AY30" s="1103"/>
      <c r="AZ30" s="1103"/>
    </row>
    <row r="31" spans="1:101" ht="23.25" customHeight="1" x14ac:dyDescent="0.25">
      <c r="B31" s="2080" t="s">
        <v>596</v>
      </c>
      <c r="C31" s="2080"/>
      <c r="D31" s="2079" t="s">
        <v>49</v>
      </c>
      <c r="E31" s="2079"/>
      <c r="F31" s="2079"/>
      <c r="G31" s="2083" t="s">
        <v>376</v>
      </c>
      <c r="H31" s="2084"/>
      <c r="I31" s="2084"/>
      <c r="J31" s="2084"/>
      <c r="K31" s="2084"/>
      <c r="L31" s="2084"/>
      <c r="M31" s="2084"/>
      <c r="N31" s="2084"/>
      <c r="O31" s="2084"/>
      <c r="P31" s="2084"/>
      <c r="Q31" s="2084"/>
      <c r="R31" s="2084"/>
      <c r="S31" s="2084"/>
      <c r="T31" s="2084"/>
      <c r="U31" s="2084"/>
      <c r="V31" s="2085"/>
      <c r="W31" s="1855" t="s">
        <v>51</v>
      </c>
      <c r="X31" s="1854"/>
      <c r="Y31" s="1853" t="s">
        <v>108</v>
      </c>
      <c r="Z31" s="1854"/>
      <c r="AA31" s="1853" t="s">
        <v>577</v>
      </c>
      <c r="AB31" s="1854"/>
      <c r="BA31"/>
      <c r="BB31"/>
      <c r="CC31" s="184"/>
      <c r="CD31" s="184"/>
      <c r="CE31" s="184"/>
      <c r="CF31" s="184"/>
      <c r="CG31" s="184"/>
      <c r="CH31" s="184"/>
      <c r="CK31" s="184"/>
      <c r="CL31" s="184"/>
      <c r="CM31" s="184"/>
      <c r="CN31" s="184"/>
      <c r="CP31" s="184"/>
      <c r="CQ31" s="184"/>
      <c r="CR31" s="184"/>
      <c r="CS31" s="184"/>
      <c r="CT31" s="184"/>
      <c r="CU31" s="184"/>
      <c r="CV31" s="184"/>
      <c r="CW31" s="2053"/>
    </row>
    <row r="32" spans="1:101" ht="15.75" customHeight="1" x14ac:dyDescent="0.25">
      <c r="B32" s="2080"/>
      <c r="C32" s="2080"/>
      <c r="D32" s="2079"/>
      <c r="E32" s="2079"/>
      <c r="F32" s="2079"/>
      <c r="G32" s="1938" t="s">
        <v>67</v>
      </c>
      <c r="H32" s="1933"/>
      <c r="I32" s="1932" t="s">
        <v>406</v>
      </c>
      <c r="J32" s="1933"/>
      <c r="K32" s="1932" t="s">
        <v>407</v>
      </c>
      <c r="L32" s="1933"/>
      <c r="M32" s="1932" t="s">
        <v>579</v>
      </c>
      <c r="N32" s="1933"/>
      <c r="O32" s="1938" t="s">
        <v>580</v>
      </c>
      <c r="P32" s="1938"/>
      <c r="Q32" s="1932" t="s">
        <v>581</v>
      </c>
      <c r="R32" s="1938"/>
      <c r="S32" s="1932" t="s">
        <v>582</v>
      </c>
      <c r="T32" s="1933"/>
      <c r="U32" s="1938" t="s">
        <v>904</v>
      </c>
      <c r="V32" s="1938"/>
      <c r="W32" s="1855"/>
      <c r="X32" s="1854"/>
      <c r="Y32" s="1853"/>
      <c r="Z32" s="1854"/>
      <c r="AA32" s="1853"/>
      <c r="AB32" s="1854"/>
      <c r="BA32"/>
      <c r="BB32"/>
      <c r="CC32" s="184"/>
      <c r="CD32" s="184"/>
      <c r="CE32" s="184"/>
      <c r="CF32" s="184"/>
      <c r="CG32" s="184"/>
      <c r="CH32" s="184"/>
      <c r="CK32" s="184"/>
      <c r="CL32" s="184"/>
      <c r="CM32" s="184"/>
      <c r="CN32" s="184"/>
      <c r="CP32" s="184"/>
      <c r="CQ32" s="184"/>
      <c r="CR32" s="184"/>
      <c r="CS32" s="184"/>
      <c r="CT32" s="184"/>
      <c r="CU32" s="184"/>
      <c r="CV32" s="184"/>
      <c r="CW32" s="2053"/>
    </row>
    <row r="33" spans="1:101" ht="21" x14ac:dyDescent="0.25">
      <c r="B33" s="2080"/>
      <c r="C33" s="2080"/>
      <c r="D33" s="1471" t="s">
        <v>409</v>
      </c>
      <c r="E33" s="1501" t="s">
        <v>86</v>
      </c>
      <c r="F33" s="1217" t="s">
        <v>227</v>
      </c>
      <c r="G33" s="1476" t="s">
        <v>410</v>
      </c>
      <c r="H33" s="874" t="s">
        <v>227</v>
      </c>
      <c r="I33" s="1260" t="s">
        <v>410</v>
      </c>
      <c r="J33" s="874" t="s">
        <v>227</v>
      </c>
      <c r="K33" s="1260" t="s">
        <v>410</v>
      </c>
      <c r="L33" s="874" t="s">
        <v>227</v>
      </c>
      <c r="M33" s="1274" t="s">
        <v>86</v>
      </c>
      <c r="N33" s="1214" t="s">
        <v>227</v>
      </c>
      <c r="O33" s="1476" t="s">
        <v>410</v>
      </c>
      <c r="P33" s="874" t="s">
        <v>227</v>
      </c>
      <c r="Q33" s="1476" t="s">
        <v>410</v>
      </c>
      <c r="R33" s="874" t="s">
        <v>227</v>
      </c>
      <c r="S33" s="1274" t="s">
        <v>86</v>
      </c>
      <c r="T33" s="1214" t="s">
        <v>227</v>
      </c>
      <c r="U33" s="1495" t="s">
        <v>86</v>
      </c>
      <c r="V33" s="107" t="s">
        <v>227</v>
      </c>
      <c r="W33" s="190" t="s">
        <v>86</v>
      </c>
      <c r="X33" s="1420" t="s">
        <v>227</v>
      </c>
      <c r="Y33" s="1404" t="s">
        <v>86</v>
      </c>
      <c r="Z33" s="1420" t="s">
        <v>227</v>
      </c>
      <c r="AA33" s="1404" t="s">
        <v>86</v>
      </c>
      <c r="AB33" s="1420" t="s">
        <v>227</v>
      </c>
      <c r="BA33"/>
      <c r="BB33"/>
      <c r="CC33" s="38"/>
      <c r="CD33" s="38"/>
      <c r="CE33" s="38"/>
      <c r="CF33" s="38"/>
      <c r="CG33" s="1064"/>
      <c r="CH33" s="1064"/>
      <c r="CK33" s="1064"/>
      <c r="CL33" s="1064"/>
      <c r="CM33" s="1064"/>
      <c r="CN33" s="1064"/>
      <c r="CP33" s="38"/>
      <c r="CQ33" s="38"/>
      <c r="CR33" s="38"/>
      <c r="CS33" s="38"/>
      <c r="CT33" s="1064"/>
      <c r="CU33" s="1064"/>
      <c r="CV33" s="1064"/>
      <c r="CW33" s="1064"/>
    </row>
    <row r="34" spans="1:101" ht="15" customHeight="1" x14ac:dyDescent="0.25">
      <c r="A34" s="1585" t="s">
        <v>1313</v>
      </c>
      <c r="B34" s="2090" t="s">
        <v>176</v>
      </c>
      <c r="C34" s="2091"/>
      <c r="D34" s="1154" t="s">
        <v>1616</v>
      </c>
      <c r="E34" s="1157" t="s">
        <v>1617</v>
      </c>
      <c r="F34" s="517" t="s">
        <v>1618</v>
      </c>
      <c r="G34" s="506" t="s">
        <v>1619</v>
      </c>
      <c r="H34" s="508" t="s">
        <v>1620</v>
      </c>
      <c r="I34" s="506" t="s">
        <v>1621</v>
      </c>
      <c r="J34" s="507" t="s">
        <v>1622</v>
      </c>
      <c r="K34" s="506" t="s">
        <v>1623</v>
      </c>
      <c r="L34" s="507" t="s">
        <v>1624</v>
      </c>
      <c r="M34" s="518" t="s">
        <v>1625</v>
      </c>
      <c r="N34" s="507" t="s">
        <v>1626</v>
      </c>
      <c r="O34" s="518" t="s">
        <v>1627</v>
      </c>
      <c r="P34" s="507" t="s">
        <v>1628</v>
      </c>
      <c r="Q34" s="518" t="s">
        <v>1629</v>
      </c>
      <c r="R34" s="507" t="s">
        <v>1630</v>
      </c>
      <c r="S34" s="518" t="s">
        <v>1631</v>
      </c>
      <c r="T34" s="507" t="s">
        <v>1632</v>
      </c>
      <c r="U34" s="518" t="s">
        <v>1633</v>
      </c>
      <c r="V34" s="510" t="s">
        <v>1634</v>
      </c>
      <c r="W34" s="509" t="s">
        <v>1635</v>
      </c>
      <c r="X34" s="656" t="s">
        <v>1636</v>
      </c>
      <c r="Y34" s="518" t="s">
        <v>1637</v>
      </c>
      <c r="Z34" s="507" t="s">
        <v>1638</v>
      </c>
      <c r="AA34" s="518" t="s">
        <v>1639</v>
      </c>
      <c r="AB34" s="507" t="s">
        <v>1640</v>
      </c>
      <c r="AC34" s="108" t="str">
        <f>CC34&amp;CD34&amp;CE34&amp;CF34&amp;CG34&amp;CH34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BA34"/>
      <c r="BB34"/>
      <c r="CC34" s="191" t="str">
        <f>IF(AND($E34&gt;0,OR(W34=""))," * No olvide digitar la variable Pueblos Originarios Hombres. Digite Cero si no tiene.",IF(W34&gt;$E34," * La variable Pueblos Originarios Hombres no puede ser Mayor al Total Hombres.",""))</f>
        <v xml:space="preserve"> * La variable Pueblos Originarios Hombres no puede ser Mayor al Total Hombres.</v>
      </c>
      <c r="CD34" s="191" t="str">
        <f>IF(AND($F34&gt;0,OR(X34=""))," * No olvide digitar la variable Pueblos Originarios Mujeres. Digite Cero si no tiene.",IF(X34&gt;$F34," * La variable Pueblos Originarios Mujeres no puede ser Mayor al Total Mujeres.",""))</f>
        <v xml:space="preserve"> * La variable Pueblos Originarios Mujeres no puede ser Mayor al Total Mujeres.</v>
      </c>
      <c r="CE34" s="191" t="str">
        <f>IF(AND($E34&gt;0,OR(Y34=""))," * No olvide digitar la variable Migrantes Hombres. Digite Cero si no tiene.",IF(Y34&gt;$E34," * La variable Migrantes Hombres no puede ser Mayor al Total Hombres.",""))</f>
        <v xml:space="preserve"> * La variable Migrantes Hombres no puede ser Mayor al Total Hombres.</v>
      </c>
      <c r="CF34" s="191" t="str">
        <f>IF(AND($F34&gt;0,OR(Z34=""))," * No olvide digitar la variable Migrantes Mujeres. Digite Cero si no tiene.",IF(Z34&gt;$F34," * La variable Migrantes Mujeres no puede ser Mayor al Total Mujeres.",""))</f>
        <v xml:space="preserve"> * La variable Migrantes Mujeres no puede ser Mayor al Total Mujeres.</v>
      </c>
      <c r="CG34" s="191" t="str">
        <f>IF(AND($E34&gt;0,OR(AA34=""))," * No olvide digitar la variable Personas Mayores en ELEAM Hombres. Digite Cero si no tiene.",IF(AA34&gt;$E34," * La variable Personas Mayores en ELEAM Hombres no puede ser Mayor al Total Hombres.",""))</f>
        <v xml:space="preserve"> * La variable Personas Mayores en ELEAM Hombres no puede ser Mayor al Total Hombres.</v>
      </c>
      <c r="CH34" s="191" t="str">
        <f>IF(AND($F34&gt;0,OR(AB34=""))," * No olvide digitar la variable Personas Mayores en ELEAM Mujeres. Digite Cero si no tiene.",IF(AB34&gt;$F34," * La variable Personas Mayores en ELEAM Mujeres no puede ser Mayor al Total Mujeres.",""))</f>
        <v xml:space="preserve"> * La variable Personas Mayores en ELEAM Mujeres no puede ser Mayor al Total Mujeres.</v>
      </c>
      <c r="CP34" s="1047">
        <f t="shared" ref="CP34:CQ37" si="24">IF(AND(E34&gt;0,OR(W34="")),1,IF(W34&gt;E34,1,0))</f>
        <v>1</v>
      </c>
      <c r="CQ34" s="1047">
        <f t="shared" si="24"/>
        <v>1</v>
      </c>
      <c r="CR34" s="1047">
        <f>IF(AND($E34&gt;0,OR(Y34="")),1,IF(Y34&gt;$E34,1,0))</f>
        <v>1</v>
      </c>
      <c r="CS34" s="1047">
        <f>IF(AND($F34&gt;0,OR(Z34="")),1,IF(Z34&gt;$F34,1,0))</f>
        <v>1</v>
      </c>
      <c r="CT34" s="1047">
        <f>IF(AND($E34&gt;0,OR(AA34="")),1,IF(AA34&gt;$E34,1,0))</f>
        <v>1</v>
      </c>
      <c r="CU34" s="1047">
        <f>IF(AND($F34&gt;0,OR(AB34="")),1,IF(AB34&gt;$F34,1,0))</f>
        <v>1</v>
      </c>
    </row>
    <row r="35" spans="1:101" ht="15" customHeight="1" x14ac:dyDescent="0.25">
      <c r="A35" s="1585" t="s">
        <v>1314</v>
      </c>
      <c r="B35" s="2092" t="s">
        <v>126</v>
      </c>
      <c r="C35" s="2093"/>
      <c r="D35" s="1155" t="s">
        <v>1616</v>
      </c>
      <c r="E35" s="1158" t="s">
        <v>1617</v>
      </c>
      <c r="F35" s="492" t="s">
        <v>1618</v>
      </c>
      <c r="G35" s="512" t="s">
        <v>1619</v>
      </c>
      <c r="H35" s="514" t="s">
        <v>1620</v>
      </c>
      <c r="I35" s="512" t="s">
        <v>1621</v>
      </c>
      <c r="J35" s="513" t="s">
        <v>1622</v>
      </c>
      <c r="K35" s="512" t="s">
        <v>1623</v>
      </c>
      <c r="L35" s="513" t="s">
        <v>1624</v>
      </c>
      <c r="M35" s="519" t="s">
        <v>1625</v>
      </c>
      <c r="N35" s="513" t="s">
        <v>1626</v>
      </c>
      <c r="O35" s="519" t="s">
        <v>1627</v>
      </c>
      <c r="P35" s="513" t="s">
        <v>1628</v>
      </c>
      <c r="Q35" s="519" t="s">
        <v>1629</v>
      </c>
      <c r="R35" s="513" t="s">
        <v>1630</v>
      </c>
      <c r="S35" s="519" t="s">
        <v>1631</v>
      </c>
      <c r="T35" s="513" t="s">
        <v>1632</v>
      </c>
      <c r="U35" s="519" t="s">
        <v>1633</v>
      </c>
      <c r="V35" s="516" t="s">
        <v>1634</v>
      </c>
      <c r="W35" s="515" t="s">
        <v>1635</v>
      </c>
      <c r="X35" s="657" t="s">
        <v>1636</v>
      </c>
      <c r="Y35" s="519" t="s">
        <v>1637</v>
      </c>
      <c r="Z35" s="513" t="s">
        <v>1638</v>
      </c>
      <c r="AA35" s="519" t="s">
        <v>1639</v>
      </c>
      <c r="AB35" s="513" t="s">
        <v>1640</v>
      </c>
      <c r="AC35" s="108" t="str">
        <f>CC35&amp;CD35&amp;CE35&amp;CF35&amp;CG35&amp;CH35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BA35"/>
      <c r="BB35"/>
      <c r="CC35" s="191" t="str">
        <f>IF(AND($E35&gt;0,OR(W35=""))," * No olvide digitar la variable Pueblos Originarios Hombres. Digite Cero si no tiene.",IF(W35&gt;$E35," * La variable Pueblos Originarios Hombres no puede ser Mayor al Total Hombres.",""))</f>
        <v xml:space="preserve"> * La variable Pueblos Originarios Hombres no puede ser Mayor al Total Hombres.</v>
      </c>
      <c r="CD35" s="191" t="str">
        <f>IF(AND($F35&gt;0,OR(X35=""))," * No olvide digitar la variable Pueblos Originarios Mujeres. Digite Cero si no tiene.",IF(X35&gt;$F35," * La variable Pueblos Originarios Mujeres no puede ser Mayor al Total Mujeres.",""))</f>
        <v xml:space="preserve"> * La variable Pueblos Originarios Mujeres no puede ser Mayor al Total Mujeres.</v>
      </c>
      <c r="CE35" s="191" t="str">
        <f>IF(AND($E35&gt;0,OR(Y35=""))," * No olvide digitar la variable Migrantes Hombres. Digite Cero si no tiene.",IF(Y35&gt;$E35," * La variable Migrantes Hombres no puede ser Mayor al Total Hombres.",""))</f>
        <v xml:space="preserve"> * La variable Migrantes Hombres no puede ser Mayor al Total Hombres.</v>
      </c>
      <c r="CF35" s="191" t="str">
        <f>IF(AND($F35&gt;0,OR(Z35=""))," * No olvide digitar la variable Migrantes Mujeres. Digite Cero si no tiene.",IF(Z35&gt;$F35," * La variable Migrantes Mujeres no puede ser Mayor al Total Mujeres.",""))</f>
        <v xml:space="preserve"> * La variable Migrantes Mujeres no puede ser Mayor al Total Mujeres.</v>
      </c>
      <c r="CG35" s="191" t="str">
        <f>IF(AND($E35&gt;0,OR(AA35=""))," * No olvide digitar la variable Personas Mayores en ELEAM Hombres. Digite Cero si no tiene.",IF(AA35&gt;$E35," * La variable Personas Mayores en ELEAM Hombres no puede ser Mayor al Total Hombres.",""))</f>
        <v xml:space="preserve"> * La variable Personas Mayores en ELEAM Hombres no puede ser Mayor al Total Hombres.</v>
      </c>
      <c r="CH35" s="191" t="str">
        <f>IF(AND($F35&gt;0,OR(AB35=""))," * No olvide digitar la variable Personas Mayores en ELEAM Mujeres. Digite Cero si no tiene.",IF(AB35&gt;$F35," * La variable Personas Mayores en ELEAM Mujeres no puede ser Mayor al Total Mujeres.",""))</f>
        <v xml:space="preserve"> * La variable Personas Mayores en ELEAM Mujeres no puede ser Mayor al Total Mujeres.</v>
      </c>
      <c r="CP35" s="1047">
        <f t="shared" si="24"/>
        <v>1</v>
      </c>
      <c r="CQ35" s="1047">
        <f t="shared" si="24"/>
        <v>1</v>
      </c>
      <c r="CR35" s="1047">
        <f>IF(AND($E35&gt;0,OR(Y35="")),1,IF(Y35&gt;$E35,1,0))</f>
        <v>1</v>
      </c>
      <c r="CS35" s="1047">
        <f>IF(AND($F35&gt;0,OR(Z35="")),1,IF(Z35&gt;$F35,1,0))</f>
        <v>1</v>
      </c>
      <c r="CT35" s="1047">
        <f>IF(AND($E35&gt;0,OR(AA35="")),1,IF(AA35&gt;$E35,1,0))</f>
        <v>1</v>
      </c>
      <c r="CU35" s="1047">
        <f>IF(AND($F35&gt;0,OR(AB35="")),1,IF(AB35&gt;$F35,1,0))</f>
        <v>1</v>
      </c>
    </row>
    <row r="36" spans="1:101" ht="15" customHeight="1" x14ac:dyDescent="0.25">
      <c r="A36" s="1585" t="s">
        <v>1315</v>
      </c>
      <c r="B36" s="2092" t="s">
        <v>125</v>
      </c>
      <c r="C36" s="2093"/>
      <c r="D36" s="1155" t="s">
        <v>1616</v>
      </c>
      <c r="E36" s="1158" t="s">
        <v>1617</v>
      </c>
      <c r="F36" s="492" t="s">
        <v>1618</v>
      </c>
      <c r="G36" s="512" t="s">
        <v>1619</v>
      </c>
      <c r="H36" s="514" t="s">
        <v>1620</v>
      </c>
      <c r="I36" s="512" t="s">
        <v>1621</v>
      </c>
      <c r="J36" s="513" t="s">
        <v>1622</v>
      </c>
      <c r="K36" s="512" t="s">
        <v>1623</v>
      </c>
      <c r="L36" s="513" t="s">
        <v>1624</v>
      </c>
      <c r="M36" s="519" t="s">
        <v>1625</v>
      </c>
      <c r="N36" s="513" t="s">
        <v>1626</v>
      </c>
      <c r="O36" s="519" t="s">
        <v>1627</v>
      </c>
      <c r="P36" s="513" t="s">
        <v>1628</v>
      </c>
      <c r="Q36" s="519" t="s">
        <v>1629</v>
      </c>
      <c r="R36" s="513" t="s">
        <v>1630</v>
      </c>
      <c r="S36" s="519" t="s">
        <v>1631</v>
      </c>
      <c r="T36" s="513" t="s">
        <v>1632</v>
      </c>
      <c r="U36" s="519" t="s">
        <v>1633</v>
      </c>
      <c r="V36" s="516" t="s">
        <v>1634</v>
      </c>
      <c r="W36" s="515" t="s">
        <v>1635</v>
      </c>
      <c r="X36" s="657" t="s">
        <v>1636</v>
      </c>
      <c r="Y36" s="519" t="s">
        <v>1637</v>
      </c>
      <c r="Z36" s="513" t="s">
        <v>1638</v>
      </c>
      <c r="AA36" s="519" t="s">
        <v>1639</v>
      </c>
      <c r="AB36" s="513" t="s">
        <v>1640</v>
      </c>
      <c r="AC36" s="108" t="str">
        <f>CC36&amp;CD36&amp;CE36&amp;CF36&amp;CG36&amp;CH36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BA36"/>
      <c r="BB36"/>
      <c r="CC36" s="191" t="str">
        <f>IF(AND($E36&gt;0,OR(W36=""))," * No olvide digitar la variable Pueblos Originarios Hombres. Digite Cero si no tiene.",IF(W36&gt;$E36," * La variable Pueblos Originarios Hombres no puede ser Mayor al Total Hombres.",""))</f>
        <v xml:space="preserve"> * La variable Pueblos Originarios Hombres no puede ser Mayor al Total Hombres.</v>
      </c>
      <c r="CD36" s="191" t="str">
        <f>IF(AND($F36&gt;0,OR(X36=""))," * No olvide digitar la variable Pueblos Originarios Mujeres. Digite Cero si no tiene.",IF(X36&gt;$F36," * La variable Pueblos Originarios Mujeres no puede ser Mayor al Total Mujeres.",""))</f>
        <v xml:space="preserve"> * La variable Pueblos Originarios Mujeres no puede ser Mayor al Total Mujeres.</v>
      </c>
      <c r="CE36" s="191" t="str">
        <f>IF(AND($E36&gt;0,OR(Y36=""))," * No olvide digitar la variable Migrantes Hombres. Digite Cero si no tiene.",IF(Y36&gt;$E36," * La variable Migrantes Hombres no puede ser Mayor al Total Hombres.",""))</f>
        <v xml:space="preserve"> * La variable Migrantes Hombres no puede ser Mayor al Total Hombres.</v>
      </c>
      <c r="CF36" s="191" t="str">
        <f>IF(AND($F36&gt;0,OR(Z36=""))," * No olvide digitar la variable Migrantes Mujeres. Digite Cero si no tiene.",IF(Z36&gt;$F36," * La variable Migrantes Mujeres no puede ser Mayor al Total Mujeres.",""))</f>
        <v xml:space="preserve"> * La variable Migrantes Mujeres no puede ser Mayor al Total Mujeres.</v>
      </c>
      <c r="CG36" s="191" t="str">
        <f>IF(AND($E36&gt;0,OR(AA36=""))," * No olvide digitar la variable Personas Mayores en ELEAM Hombres. Digite Cero si no tiene.",IF(AA36&gt;$E36," * La variable Personas Mayores en ELEAM Hombres no puede ser Mayor al Total Hombres.",""))</f>
        <v xml:space="preserve"> * La variable Personas Mayores en ELEAM Hombres no puede ser Mayor al Total Hombres.</v>
      </c>
      <c r="CH36" s="191" t="str">
        <f>IF(AND($F36&gt;0,OR(AB36=""))," * No olvide digitar la variable Personas Mayores en ELEAM Mujeres. Digite Cero si no tiene.",IF(AB36&gt;$F36," * La variable Personas Mayores en ELEAM Mujeres no puede ser Mayor al Total Mujeres.",""))</f>
        <v xml:space="preserve"> * La variable Personas Mayores en ELEAM Mujeres no puede ser Mayor al Total Mujeres.</v>
      </c>
      <c r="CP36" s="1047">
        <f t="shared" si="24"/>
        <v>1</v>
      </c>
      <c r="CQ36" s="1047">
        <f t="shared" si="24"/>
        <v>1</v>
      </c>
      <c r="CR36" s="1047">
        <f>IF(AND($E36&gt;0,OR(Y36="")),1,IF(Y36&gt;$E36,1,0))</f>
        <v>1</v>
      </c>
      <c r="CS36" s="1047">
        <f>IF(AND($F36&gt;0,OR(Z36="")),1,IF(Z36&gt;$F36,1,0))</f>
        <v>1</v>
      </c>
      <c r="CT36" s="1047">
        <f>IF(AND($E36&gt;0,OR(AA36="")),1,IF(AA36&gt;$E36,1,0))</f>
        <v>1</v>
      </c>
      <c r="CU36" s="1047">
        <f>IF(AND($F36&gt;0,OR(AB36="")),1,IF(AB36&gt;$F36,1,0))</f>
        <v>1</v>
      </c>
    </row>
    <row r="37" spans="1:101" ht="15" customHeight="1" x14ac:dyDescent="0.25">
      <c r="A37" s="1585" t="s">
        <v>1316</v>
      </c>
      <c r="B37" s="2086" t="s">
        <v>241</v>
      </c>
      <c r="C37" s="2087"/>
      <c r="D37" s="1162" t="s">
        <v>1616</v>
      </c>
      <c r="E37" s="1159" t="s">
        <v>1617</v>
      </c>
      <c r="F37" s="520" t="s">
        <v>1618</v>
      </c>
      <c r="G37" s="495" t="s">
        <v>1619</v>
      </c>
      <c r="H37" s="497" t="s">
        <v>1620</v>
      </c>
      <c r="I37" s="495" t="s">
        <v>1621</v>
      </c>
      <c r="J37" s="496" t="s">
        <v>1622</v>
      </c>
      <c r="K37" s="495" t="s">
        <v>1623</v>
      </c>
      <c r="L37" s="496" t="s">
        <v>1624</v>
      </c>
      <c r="M37" s="500" t="s">
        <v>1625</v>
      </c>
      <c r="N37" s="496" t="s">
        <v>1626</v>
      </c>
      <c r="O37" s="500" t="s">
        <v>1627</v>
      </c>
      <c r="P37" s="496" t="s">
        <v>1628</v>
      </c>
      <c r="Q37" s="500" t="s">
        <v>1629</v>
      </c>
      <c r="R37" s="496" t="s">
        <v>1630</v>
      </c>
      <c r="S37" s="500" t="s">
        <v>1631</v>
      </c>
      <c r="T37" s="496" t="s">
        <v>1632</v>
      </c>
      <c r="U37" s="500" t="s">
        <v>1633</v>
      </c>
      <c r="V37" s="499" t="s">
        <v>1634</v>
      </c>
      <c r="W37" s="498" t="s">
        <v>1635</v>
      </c>
      <c r="X37" s="658" t="s">
        <v>1636</v>
      </c>
      <c r="Y37" s="500" t="s">
        <v>1637</v>
      </c>
      <c r="Z37" s="496" t="s">
        <v>1638</v>
      </c>
      <c r="AA37" s="500" t="s">
        <v>1639</v>
      </c>
      <c r="AB37" s="496" t="s">
        <v>1640</v>
      </c>
      <c r="AC37" s="108" t="str">
        <f>CC37&amp;CD37&amp;CE37&amp;CF37&amp;CG37&amp;CH37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BA37"/>
      <c r="BB37"/>
      <c r="CC37" s="191" t="str">
        <f>IF(AND($E37&gt;0,OR(W37=""))," * No olvide digitar la variable Pueblos Originarios Hombres. Digite Cero si no tiene.",IF(W37&gt;$E37," * La variable Pueblos Originarios Hombres no puede ser Mayor al Total Hombres.",""))</f>
        <v xml:space="preserve"> * La variable Pueblos Originarios Hombres no puede ser Mayor al Total Hombres.</v>
      </c>
      <c r="CD37" s="191" t="str">
        <f>IF(AND($F37&gt;0,OR(X37=""))," * No olvide digitar la variable Pueblos Originarios Mujeres. Digite Cero si no tiene.",IF(X37&gt;$F37," * La variable Pueblos Originarios Mujeres no puede ser Mayor al Total Mujeres.",""))</f>
        <v xml:space="preserve"> * La variable Pueblos Originarios Mujeres no puede ser Mayor al Total Mujeres.</v>
      </c>
      <c r="CE37" s="191" t="str">
        <f>IF(AND($E37&gt;0,OR(Y37=""))," * No olvide digitar la variable Migrantes Hombres. Digite Cero si no tiene.",IF(Y37&gt;$E37," * La variable Migrantes Hombres no puede ser Mayor al Total Hombres.",""))</f>
        <v xml:space="preserve"> * La variable Migrantes Hombres no puede ser Mayor al Total Hombres.</v>
      </c>
      <c r="CF37" s="191" t="str">
        <f>IF(AND($F37&gt;0,OR(Z37=""))," * No olvide digitar la variable Migrantes Mujeres. Digite Cero si no tiene.",IF(Z37&gt;$F37," * La variable Migrantes Mujeres no puede ser Mayor al Total Mujeres.",""))</f>
        <v xml:space="preserve"> * La variable Migrantes Mujeres no puede ser Mayor al Total Mujeres.</v>
      </c>
      <c r="CG37" s="191" t="str">
        <f>IF(AND($E37&gt;0,OR(AA37=""))," * No olvide digitar la variable Personas Mayores en ELEAM Hombres. Digite Cero si no tiene.",IF(AA37&gt;$E37," * La variable Personas Mayores en ELEAM Hombres no puede ser Mayor al Total Hombres.",""))</f>
        <v xml:space="preserve"> * La variable Personas Mayores en ELEAM Hombres no puede ser Mayor al Total Hombres.</v>
      </c>
      <c r="CH37" s="191" t="str">
        <f>IF(AND($F37&gt;0,OR(AB37=""))," * No olvide digitar la variable Personas Mayores en ELEAM Mujeres. Digite Cero si no tiene.",IF(AB37&gt;$F37," * La variable Personas Mayores en ELEAM Mujeres no puede ser Mayor al Total Mujeres.",""))</f>
        <v xml:space="preserve"> * La variable Personas Mayores en ELEAM Mujeres no puede ser Mayor al Total Mujeres.</v>
      </c>
      <c r="CP37" s="1047">
        <f t="shared" si="24"/>
        <v>1</v>
      </c>
      <c r="CQ37" s="1047">
        <f t="shared" si="24"/>
        <v>1</v>
      </c>
      <c r="CR37" s="1047">
        <f>IF(AND($E37&gt;0,OR(Y37="")),1,IF(Y37&gt;$E37,1,0))</f>
        <v>1</v>
      </c>
      <c r="CS37" s="1047">
        <f>IF(AND($F37&gt;0,OR(Z37="")),1,IF(Z37&gt;$F37,1,0))</f>
        <v>1</v>
      </c>
      <c r="CT37" s="1047">
        <f>IF(AND($E37&gt;0,OR(AA37="")),1,IF(AA37&gt;$E37,1,0))</f>
        <v>1</v>
      </c>
      <c r="CU37" s="1047">
        <f>IF(AND($F37&gt;0,OR(AB37="")),1,IF(AB37&gt;$F37,1,0))</f>
        <v>1</v>
      </c>
    </row>
    <row r="38" spans="1:101" ht="15" customHeight="1" x14ac:dyDescent="0.25">
      <c r="A38" s="1591"/>
      <c r="B38" s="2088" t="s">
        <v>497</v>
      </c>
      <c r="C38" s="2089"/>
      <c r="D38" s="1496">
        <f>SUM(E38:F38)</f>
        <v>0</v>
      </c>
      <c r="E38" s="1500">
        <f>+G38+I38+K38+M38+O38+Q38+S38+U38</f>
        <v>0</v>
      </c>
      <c r="F38" s="1216">
        <f>+H38+J38+L38+N38+P38+R38+T38+V38</f>
        <v>0</v>
      </c>
      <c r="G38" s="1500">
        <f>SUM(G34:G37)</f>
        <v>0</v>
      </c>
      <c r="H38" s="1216">
        <f t="shared" ref="H38:Z38" si="25">SUM(H34:H37)</f>
        <v>0</v>
      </c>
      <c r="I38" s="1269">
        <f t="shared" si="25"/>
        <v>0</v>
      </c>
      <c r="J38" s="1216">
        <f t="shared" si="25"/>
        <v>0</v>
      </c>
      <c r="K38" s="1269">
        <f t="shared" ref="K38:N38" si="26">SUM(K34:K37)</f>
        <v>0</v>
      </c>
      <c r="L38" s="1216">
        <f t="shared" si="26"/>
        <v>0</v>
      </c>
      <c r="M38" s="1269">
        <f t="shared" si="26"/>
        <v>0</v>
      </c>
      <c r="N38" s="1216">
        <f t="shared" si="26"/>
        <v>0</v>
      </c>
      <c r="O38" s="1500">
        <f t="shared" si="25"/>
        <v>0</v>
      </c>
      <c r="P38" s="1216">
        <f t="shared" si="25"/>
        <v>0</v>
      </c>
      <c r="Q38" s="1500">
        <f t="shared" ref="Q38:T38" si="27">SUM(Q34:Q37)</f>
        <v>0</v>
      </c>
      <c r="R38" s="1216">
        <f t="shared" si="27"/>
        <v>0</v>
      </c>
      <c r="S38" s="1269">
        <f t="shared" si="27"/>
        <v>0</v>
      </c>
      <c r="T38" s="1216">
        <f t="shared" si="27"/>
        <v>0</v>
      </c>
      <c r="U38" s="1500">
        <f t="shared" si="25"/>
        <v>0</v>
      </c>
      <c r="V38" s="504">
        <f t="shared" si="25"/>
        <v>0</v>
      </c>
      <c r="W38" s="503">
        <f>SUM(W34:W37)</f>
        <v>0</v>
      </c>
      <c r="X38" s="1216">
        <f>SUM(X34:X37)</f>
        <v>0</v>
      </c>
      <c r="Y38" s="1500">
        <f t="shared" si="25"/>
        <v>0</v>
      </c>
      <c r="Z38" s="1216">
        <f t="shared" si="25"/>
        <v>0</v>
      </c>
      <c r="AA38" s="1500">
        <f t="shared" ref="AA38:AB38" si="28">SUM(AA34:AA37)</f>
        <v>0</v>
      </c>
      <c r="AB38" s="1216">
        <f t="shared" si="28"/>
        <v>0</v>
      </c>
      <c r="BA38"/>
      <c r="BB38"/>
      <c r="BD38" s="606"/>
      <c r="BE38" s="606"/>
      <c r="BF38" s="606"/>
      <c r="BG38" s="606"/>
      <c r="BH38" s="606"/>
      <c r="BI38" s="606"/>
      <c r="BJ38" s="606"/>
      <c r="BK38" s="606"/>
      <c r="BL38" s="606"/>
      <c r="BM38" s="606"/>
    </row>
    <row r="39" spans="1:101" s="1104" customFormat="1" ht="17.100000000000001" customHeight="1" x14ac:dyDescent="0.2">
      <c r="A39" s="108"/>
      <c r="B39" s="2081" t="s">
        <v>597</v>
      </c>
      <c r="C39" s="2081"/>
      <c r="D39" s="2081"/>
      <c r="E39" s="2081"/>
      <c r="F39" s="2081"/>
      <c r="G39" s="2082"/>
      <c r="H39" s="2082"/>
      <c r="I39" s="1110"/>
      <c r="J39" s="1110"/>
      <c r="K39" s="1110"/>
      <c r="L39" s="1110"/>
      <c r="M39" s="1106"/>
      <c r="AC39" s="1564"/>
      <c r="AD39" s="1103"/>
      <c r="AE39" s="1103"/>
      <c r="AF39" s="1103"/>
      <c r="AG39" s="1103"/>
      <c r="AH39" s="1103"/>
      <c r="AI39" s="1103"/>
      <c r="AJ39" s="1103"/>
      <c r="AK39" s="1103"/>
      <c r="AL39" s="1103"/>
      <c r="AM39" s="1103"/>
      <c r="AN39" s="1103"/>
      <c r="AO39" s="1103"/>
      <c r="AP39" s="1103"/>
      <c r="AQ39" s="1103"/>
      <c r="AR39" s="1103"/>
      <c r="AS39" s="1103"/>
      <c r="AT39" s="1103"/>
      <c r="AU39" s="1103"/>
      <c r="AV39" s="1103"/>
      <c r="AW39" s="1103"/>
      <c r="AX39" s="1103"/>
      <c r="AY39" s="1103"/>
      <c r="AZ39" s="1103"/>
    </row>
    <row r="40" spans="1:101" ht="22.5" customHeight="1" x14ac:dyDescent="0.25">
      <c r="B40" s="2080" t="s">
        <v>445</v>
      </c>
      <c r="C40" s="2080"/>
      <c r="D40" s="2079" t="s">
        <v>49</v>
      </c>
      <c r="E40" s="2079"/>
      <c r="F40" s="2079"/>
      <c r="G40" s="2083" t="s">
        <v>376</v>
      </c>
      <c r="H40" s="2084"/>
      <c r="I40" s="2084"/>
      <c r="J40" s="2084"/>
      <c r="K40" s="2084"/>
      <c r="L40" s="2084"/>
      <c r="M40" s="2084"/>
      <c r="N40" s="2084"/>
      <c r="O40" s="2084"/>
      <c r="P40" s="2084"/>
      <c r="Q40" s="2084"/>
      <c r="R40" s="2084"/>
      <c r="S40" s="2084"/>
      <c r="T40" s="2084"/>
      <c r="U40" s="2084"/>
      <c r="V40" s="2085"/>
      <c r="W40" s="1925" t="s">
        <v>51</v>
      </c>
      <c r="X40" s="1922"/>
      <c r="Y40" s="1925" t="s">
        <v>108</v>
      </c>
      <c r="Z40" s="1922"/>
      <c r="AA40" s="1925" t="s">
        <v>577</v>
      </c>
      <c r="AB40" s="1922"/>
    </row>
    <row r="41" spans="1:101" ht="17.25" customHeight="1" x14ac:dyDescent="0.25">
      <c r="B41" s="2080"/>
      <c r="C41" s="2080"/>
      <c r="D41" s="2079"/>
      <c r="E41" s="2079"/>
      <c r="F41" s="2079"/>
      <c r="G41" s="1932" t="s">
        <v>67</v>
      </c>
      <c r="H41" s="1933"/>
      <c r="I41" s="1932" t="s">
        <v>406</v>
      </c>
      <c r="J41" s="1933"/>
      <c r="K41" s="1932" t="s">
        <v>407</v>
      </c>
      <c r="L41" s="1933"/>
      <c r="M41" s="1932" t="s">
        <v>579</v>
      </c>
      <c r="N41" s="1933"/>
      <c r="O41" s="1938" t="s">
        <v>580</v>
      </c>
      <c r="P41" s="1938"/>
      <c r="Q41" s="1932" t="s">
        <v>581</v>
      </c>
      <c r="R41" s="1938"/>
      <c r="S41" s="1932" t="s">
        <v>582</v>
      </c>
      <c r="T41" s="1933"/>
      <c r="U41" s="1932" t="s">
        <v>904</v>
      </c>
      <c r="V41" s="1940"/>
      <c r="W41" s="1923"/>
      <c r="X41" s="1924"/>
      <c r="Y41" s="1923"/>
      <c r="Z41" s="1924"/>
      <c r="AA41" s="1923"/>
      <c r="AB41" s="1924"/>
    </row>
    <row r="42" spans="1:101" ht="31.15" customHeight="1" x14ac:dyDescent="0.25">
      <c r="B42" s="2080"/>
      <c r="C42" s="2080"/>
      <c r="D42" s="1471" t="s">
        <v>409</v>
      </c>
      <c r="E42" s="1501" t="s">
        <v>86</v>
      </c>
      <c r="F42" s="1502" t="s">
        <v>227</v>
      </c>
      <c r="G42" s="1260" t="s">
        <v>410</v>
      </c>
      <c r="H42" s="874" t="s">
        <v>227</v>
      </c>
      <c r="I42" s="1260" t="s">
        <v>410</v>
      </c>
      <c r="J42" s="874" t="s">
        <v>227</v>
      </c>
      <c r="K42" s="1260" t="s">
        <v>410</v>
      </c>
      <c r="L42" s="874" t="s">
        <v>227</v>
      </c>
      <c r="M42" s="1274" t="s">
        <v>86</v>
      </c>
      <c r="N42" s="1214" t="s">
        <v>227</v>
      </c>
      <c r="O42" s="1274" t="s">
        <v>86</v>
      </c>
      <c r="P42" s="1214" t="s">
        <v>227</v>
      </c>
      <c r="Q42" s="1274" t="s">
        <v>86</v>
      </c>
      <c r="R42" s="1214" t="s">
        <v>227</v>
      </c>
      <c r="S42" s="1274" t="s">
        <v>86</v>
      </c>
      <c r="T42" s="1214" t="s">
        <v>227</v>
      </c>
      <c r="U42" s="1274" t="s">
        <v>86</v>
      </c>
      <c r="V42" s="107" t="s">
        <v>227</v>
      </c>
      <c r="W42" s="1404" t="s">
        <v>86</v>
      </c>
      <c r="X42" s="1420" t="s">
        <v>227</v>
      </c>
      <c r="Y42" s="1404" t="s">
        <v>86</v>
      </c>
      <c r="Z42" s="1420" t="s">
        <v>227</v>
      </c>
      <c r="AA42" s="1404" t="s">
        <v>86</v>
      </c>
      <c r="AB42" s="1420" t="s">
        <v>227</v>
      </c>
    </row>
    <row r="43" spans="1:101" ht="15" customHeight="1" x14ac:dyDescent="0.25">
      <c r="A43" s="1585" t="s">
        <v>1317</v>
      </c>
      <c r="B43" s="2092" t="s">
        <v>598</v>
      </c>
      <c r="C43" s="2093"/>
      <c r="D43" s="1496" t="s">
        <v>1616</v>
      </c>
      <c r="E43" s="1500" t="s">
        <v>1617</v>
      </c>
      <c r="F43" s="1499" t="s">
        <v>1618</v>
      </c>
      <c r="G43" s="1275" t="s">
        <v>1619</v>
      </c>
      <c r="H43" s="1218" t="s">
        <v>1620</v>
      </c>
      <c r="I43" s="1275" t="s">
        <v>1621</v>
      </c>
      <c r="J43" s="1218" t="s">
        <v>1622</v>
      </c>
      <c r="K43" s="1275" t="s">
        <v>1623</v>
      </c>
      <c r="L43" s="1218" t="s">
        <v>1624</v>
      </c>
      <c r="M43" s="1275" t="s">
        <v>1625</v>
      </c>
      <c r="N43" s="1218" t="s">
        <v>1626</v>
      </c>
      <c r="O43" s="1275" t="s">
        <v>1627</v>
      </c>
      <c r="P43" s="1218" t="s">
        <v>1628</v>
      </c>
      <c r="Q43" s="1275" t="s">
        <v>1629</v>
      </c>
      <c r="R43" s="1218" t="s">
        <v>1630</v>
      </c>
      <c r="S43" s="1275" t="s">
        <v>1631</v>
      </c>
      <c r="T43" s="1218" t="s">
        <v>1632</v>
      </c>
      <c r="U43" s="1275" t="s">
        <v>1633</v>
      </c>
      <c r="V43" s="736" t="s">
        <v>1634</v>
      </c>
      <c r="W43" s="1503" t="s">
        <v>1635</v>
      </c>
      <c r="X43" s="1218" t="s">
        <v>1636</v>
      </c>
      <c r="Y43" s="1275" t="s">
        <v>1637</v>
      </c>
      <c r="Z43" s="1218" t="s">
        <v>1638</v>
      </c>
      <c r="AA43" s="1275" t="s">
        <v>1639</v>
      </c>
      <c r="AB43" s="1218" t="s">
        <v>1640</v>
      </c>
      <c r="AC43" s="108" t="str">
        <f>CB43&amp;CC43&amp;CD43&amp;CE43&amp;CF43&amp;CG43&amp;CH43</f>
        <v>* Total de personas mayores con sospecha de maltrato no puede ser mayor al Total de Personas Mayores en Control de la sección A.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BD43" s="606"/>
      <c r="BE43" s="606"/>
      <c r="BF43" s="606"/>
      <c r="BG43" s="606"/>
      <c r="BH43" s="606"/>
      <c r="BI43" s="606"/>
      <c r="BJ43" s="606"/>
      <c r="BK43" s="606"/>
      <c r="BL43" s="606"/>
      <c r="BM43" s="606"/>
      <c r="CB43" s="191" t="str">
        <f>IF(D43&gt;D21,"* Total de personas mayores con sospecha de maltrato no puede ser mayor al Total de Personas Mayores en Control de la sección A. ","")</f>
        <v xml:space="preserve">* Total de personas mayores con sospecha de maltrato no puede ser mayor al Total de Personas Mayores en Control de la sección A. </v>
      </c>
      <c r="CC43" s="191" t="str">
        <f>IF(AND($E43&gt;0,OR(W43=""))," * No olvide digitar la variable Pueblos Originarios Hombres. Digite Cero si no tiene.",IF(W43&gt;$E43," * La variable Pueblos Originarios Hombres no puede ser Mayor al Total Hombres.",""))</f>
        <v xml:space="preserve"> * La variable Pueblos Originarios Hombres no puede ser Mayor al Total Hombres.</v>
      </c>
      <c r="CD43" s="191" t="str">
        <f>IF(AND($F43&gt;0,OR(X43=""))," * No olvide digitar la variable Pueblos Originarios Mujeres. Digite Cero si no tiene.",IF(X43&gt;$F43," * La variable Pueblos Originarios Mujeres no puede ser Mayor al Total Mujeres.",""))</f>
        <v xml:space="preserve"> * La variable Pueblos Originarios Mujeres no puede ser Mayor al Total Mujeres.</v>
      </c>
      <c r="CE43" s="191" t="str">
        <f>IF(AND($E43&gt;0,OR(Y43=""))," * No olvide digitar la variable Migrantes Hombres. Digite Cero si no tiene.",IF(Y43&gt;$E43," * La variable Migrantes Hombres no puede ser Mayor al Total Hombres.",""))</f>
        <v xml:space="preserve"> * La variable Migrantes Hombres no puede ser Mayor al Total Hombres.</v>
      </c>
      <c r="CF43" s="191" t="str">
        <f>IF(AND($F43&gt;0,OR(Z43=""))," * No olvide digitar la variable Migrantes Mujeres. Digite Cero si no tiene.",IF(Z43&gt;$F43," * La variable Migrantes Mujeres no puede ser Mayor al Total Mujeres.",""))</f>
        <v xml:space="preserve"> * La variable Migrantes Mujeres no puede ser Mayor al Total Mujeres.</v>
      </c>
      <c r="CG43" s="191" t="str">
        <f>IF(AND($E43&gt;0,OR(AA43=""))," * No olvide digitar la variable Personas Mayores en ELEAM Hombres. Digite Cero si no tiene.",IF(AA43&gt;$E43," * La variable Personas Mayores en ELEAM Hombres no puede ser Mayor al Total Hombres.",""))</f>
        <v xml:space="preserve"> * La variable Personas Mayores en ELEAM Hombres no puede ser Mayor al Total Hombres.</v>
      </c>
      <c r="CH43" s="191" t="str">
        <f>IF(AND($F43&gt;0,OR(AB43=""))," * No olvide digitar la variable Personas Mayores en ELEAM Mujeres. Digite Cero si no tiene.",IF(AB43&gt;$F43," * La variable Personas Mayores en ELEAM Mujeres no puede ser Mayor al Total Mujeres.",""))</f>
        <v xml:space="preserve"> * La variable Personas Mayores en ELEAM Mujeres no puede ser Mayor al Total Mujeres.</v>
      </c>
      <c r="CO43" s="1047">
        <f>IF(D43&gt;D21,1,0)</f>
        <v>1</v>
      </c>
      <c r="CP43" s="1047">
        <f>IF(AND(E43&gt;0,OR(W43="")),1,IF(W43&gt;E43,1,0))</f>
        <v>1</v>
      </c>
      <c r="CQ43" s="1047">
        <f>IF(AND(F43&gt;0,OR(X43="")),1,IF(X43&gt;F43,1,0))</f>
        <v>1</v>
      </c>
      <c r="CR43" s="1047">
        <f>IF(AND($E43&gt;0,OR(Y43="")),1,IF(Y43&gt;$E43,1,0))</f>
        <v>1</v>
      </c>
      <c r="CS43" s="1047">
        <f>IF(AND($F43&gt;0,OR(Z43="")),1,IF(Z43&gt;$F43,1,0))</f>
        <v>1</v>
      </c>
      <c r="CT43" s="1047">
        <f>IF(AND($E43&gt;0,OR(AA43="")),1,IF(AA43&gt;$E43,1,0))</f>
        <v>1</v>
      </c>
      <c r="CU43" s="1047">
        <f>IF(AND($F43&gt;0,OR(AB43="")),1,IF(AB43&gt;$F43,1,0))</f>
        <v>1</v>
      </c>
    </row>
    <row r="44" spans="1:101" s="1104" customFormat="1" ht="17.100000000000001" customHeight="1" x14ac:dyDescent="0.2">
      <c r="A44" s="1608"/>
      <c r="B44" s="2095" t="s">
        <v>599</v>
      </c>
      <c r="C44" s="2095"/>
      <c r="D44" s="2095"/>
      <c r="E44" s="2095"/>
      <c r="F44" s="2095"/>
      <c r="G44" s="2096"/>
      <c r="H44" s="2096"/>
      <c r="I44" s="2096"/>
      <c r="J44" s="1110"/>
      <c r="K44" s="1110"/>
      <c r="L44" s="1110"/>
      <c r="M44" s="1106"/>
      <c r="AC44" s="1564"/>
      <c r="AD44" s="1103"/>
      <c r="AE44" s="1103"/>
      <c r="AF44" s="1103"/>
      <c r="AG44" s="1103"/>
      <c r="AH44" s="1103"/>
      <c r="AI44" s="1103"/>
      <c r="AJ44" s="1103"/>
      <c r="AK44" s="1103"/>
      <c r="AL44" s="1103"/>
      <c r="AM44" s="1103"/>
      <c r="AN44" s="1103"/>
      <c r="AO44" s="1103"/>
      <c r="AP44" s="1103"/>
      <c r="AQ44" s="1103"/>
      <c r="AR44" s="1103"/>
      <c r="AS44" s="1103"/>
      <c r="AT44" s="1103"/>
      <c r="AU44" s="1103"/>
      <c r="AV44" s="1103"/>
      <c r="AW44" s="1103"/>
      <c r="AX44" s="1103"/>
      <c r="AY44" s="1103"/>
      <c r="AZ44" s="1103"/>
    </row>
    <row r="45" spans="1:101" ht="20.25" customHeight="1" x14ac:dyDescent="0.25">
      <c r="A45" s="1608"/>
      <c r="B45" s="2080" t="s">
        <v>445</v>
      </c>
      <c r="C45" s="2080"/>
      <c r="D45" s="2079" t="s">
        <v>49</v>
      </c>
      <c r="E45" s="2079"/>
      <c r="F45" s="2079"/>
      <c r="G45" s="2083" t="s">
        <v>376</v>
      </c>
      <c r="H45" s="2084"/>
      <c r="I45" s="2084"/>
      <c r="J45" s="2084"/>
      <c r="K45" s="2084"/>
      <c r="L45" s="2084"/>
      <c r="M45" s="2084"/>
      <c r="N45" s="2084"/>
      <c r="O45" s="2084"/>
      <c r="P45" s="2084"/>
      <c r="Q45" s="2084"/>
      <c r="R45" s="2084"/>
      <c r="S45" s="2084"/>
      <c r="T45" s="2084"/>
      <c r="U45" s="2084"/>
      <c r="V45" s="2085"/>
      <c r="W45" s="1925" t="s">
        <v>51</v>
      </c>
      <c r="X45" s="1922"/>
      <c r="Y45" s="1925" t="s">
        <v>108</v>
      </c>
      <c r="Z45" s="1922"/>
      <c r="AA45" s="1925" t="s">
        <v>577</v>
      </c>
      <c r="AB45" s="1922"/>
    </row>
    <row r="46" spans="1:101" ht="19.5" customHeight="1" x14ac:dyDescent="0.25">
      <c r="A46" s="1608"/>
      <c r="B46" s="2080"/>
      <c r="C46" s="2080"/>
      <c r="D46" s="2079"/>
      <c r="E46" s="2079"/>
      <c r="F46" s="2079"/>
      <c r="G46" s="1932" t="s">
        <v>67</v>
      </c>
      <c r="H46" s="1933"/>
      <c r="I46" s="1932" t="s">
        <v>406</v>
      </c>
      <c r="J46" s="1933"/>
      <c r="K46" s="1932" t="s">
        <v>407</v>
      </c>
      <c r="L46" s="1933"/>
      <c r="M46" s="1932" t="s">
        <v>579</v>
      </c>
      <c r="N46" s="1933"/>
      <c r="O46" s="1938" t="s">
        <v>580</v>
      </c>
      <c r="P46" s="1938"/>
      <c r="Q46" s="1932" t="s">
        <v>581</v>
      </c>
      <c r="R46" s="1938"/>
      <c r="S46" s="1932" t="s">
        <v>582</v>
      </c>
      <c r="T46" s="1933"/>
      <c r="U46" s="1932" t="s">
        <v>904</v>
      </c>
      <c r="V46" s="1940"/>
      <c r="W46" s="1923"/>
      <c r="X46" s="1924"/>
      <c r="Y46" s="1923"/>
      <c r="Z46" s="1924"/>
      <c r="AA46" s="1923"/>
      <c r="AB46" s="1924"/>
    </row>
    <row r="47" spans="1:101" ht="21" x14ac:dyDescent="0.25">
      <c r="A47" s="1608"/>
      <c r="B47" s="2080"/>
      <c r="C47" s="2080"/>
      <c r="D47" s="1471" t="s">
        <v>409</v>
      </c>
      <c r="E47" s="1501" t="s">
        <v>86</v>
      </c>
      <c r="F47" s="1217" t="s">
        <v>227</v>
      </c>
      <c r="G47" s="1260" t="s">
        <v>410</v>
      </c>
      <c r="H47" s="874" t="s">
        <v>227</v>
      </c>
      <c r="I47" s="1260" t="s">
        <v>410</v>
      </c>
      <c r="J47" s="874" t="s">
        <v>227</v>
      </c>
      <c r="K47" s="1260" t="s">
        <v>410</v>
      </c>
      <c r="L47" s="874" t="s">
        <v>227</v>
      </c>
      <c r="M47" s="1274" t="s">
        <v>86</v>
      </c>
      <c r="N47" s="1214" t="s">
        <v>227</v>
      </c>
      <c r="O47" s="1274" t="s">
        <v>86</v>
      </c>
      <c r="P47" s="1214" t="s">
        <v>227</v>
      </c>
      <c r="Q47" s="1274" t="s">
        <v>86</v>
      </c>
      <c r="R47" s="1214" t="s">
        <v>227</v>
      </c>
      <c r="S47" s="1274" t="s">
        <v>86</v>
      </c>
      <c r="T47" s="1214" t="s">
        <v>227</v>
      </c>
      <c r="U47" s="1274" t="s">
        <v>86</v>
      </c>
      <c r="V47" s="107" t="s">
        <v>227</v>
      </c>
      <c r="W47" s="1404" t="s">
        <v>86</v>
      </c>
      <c r="X47" s="1420" t="s">
        <v>227</v>
      </c>
      <c r="Y47" s="1404" t="s">
        <v>86</v>
      </c>
      <c r="Z47" s="1420" t="s">
        <v>227</v>
      </c>
      <c r="AA47" s="1404" t="s">
        <v>86</v>
      </c>
      <c r="AB47" s="1420" t="s">
        <v>227</v>
      </c>
    </row>
    <row r="48" spans="1:101" ht="15" customHeight="1" x14ac:dyDescent="0.25">
      <c r="A48" s="1585" t="s">
        <v>1318</v>
      </c>
      <c r="B48" s="2092" t="s">
        <v>600</v>
      </c>
      <c r="C48" s="2093"/>
      <c r="D48" s="1496" t="s">
        <v>1616</v>
      </c>
      <c r="E48" s="1500" t="s">
        <v>1617</v>
      </c>
      <c r="F48" s="1216" t="s">
        <v>1618</v>
      </c>
      <c r="G48" s="1275" t="s">
        <v>1619</v>
      </c>
      <c r="H48" s="1218" t="s">
        <v>1620</v>
      </c>
      <c r="I48" s="1275" t="s">
        <v>1621</v>
      </c>
      <c r="J48" s="1218" t="s">
        <v>1622</v>
      </c>
      <c r="K48" s="1275" t="s">
        <v>1623</v>
      </c>
      <c r="L48" s="1218" t="s">
        <v>1624</v>
      </c>
      <c r="M48" s="1275" t="s">
        <v>1625</v>
      </c>
      <c r="N48" s="1218" t="s">
        <v>1626</v>
      </c>
      <c r="O48" s="1275" t="s">
        <v>1627</v>
      </c>
      <c r="P48" s="1218" t="s">
        <v>1628</v>
      </c>
      <c r="Q48" s="1275" t="s">
        <v>1629</v>
      </c>
      <c r="R48" s="1218" t="s">
        <v>1630</v>
      </c>
      <c r="S48" s="1275" t="s">
        <v>1631</v>
      </c>
      <c r="T48" s="1218" t="s">
        <v>1632</v>
      </c>
      <c r="U48" s="1275" t="s">
        <v>1633</v>
      </c>
      <c r="V48" s="736" t="s">
        <v>1634</v>
      </c>
      <c r="W48" s="1503" t="s">
        <v>1635</v>
      </c>
      <c r="X48" s="1218" t="s">
        <v>1636</v>
      </c>
      <c r="Y48" s="1275" t="s">
        <v>1637</v>
      </c>
      <c r="Z48" s="1218" t="s">
        <v>1638</v>
      </c>
      <c r="AA48" s="1275" t="s">
        <v>1639</v>
      </c>
      <c r="AB48" s="1218" t="s">
        <v>1640</v>
      </c>
      <c r="AC48" s="108" t="str">
        <f>CB48&amp;CC48&amp;CD48&amp;CE48&amp;CF48&amp;CG48&amp;CH48</f>
        <v>* Los Adultos Mayores en actividad física no pueden ser mayor que el SUBTOTAL (EFAM) de Autovalentes sin/con Riesgo y Riesgo de Dependencia de la Sección A.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BD48" s="606"/>
      <c r="BE48" s="606"/>
      <c r="BF48" s="606"/>
      <c r="BG48" s="606"/>
      <c r="BH48" s="606"/>
      <c r="BI48" s="606"/>
      <c r="BJ48" s="606"/>
      <c r="BK48" s="606"/>
      <c r="BL48" s="606"/>
      <c r="BM48" s="606"/>
      <c r="CB48" s="191" t="str">
        <f>IF($D$48&lt;=$D$15,"","* Los Adultos Mayores en actividad física no pueden ser mayor que el SUBTOTAL (EFAM) de Autovalentes sin/con Riesgo y Riesgo de Dependencia de la Sección A. ")</f>
        <v xml:space="preserve">* Los Adultos Mayores en actividad física no pueden ser mayor que el SUBTOTAL (EFAM) de Autovalentes sin/con Riesgo y Riesgo de Dependencia de la Sección A. </v>
      </c>
      <c r="CC48" s="191" t="str">
        <f>IF(AND($E48&gt;0,OR(W48=""))," * No olvide digitar la variable Pueblos Originarios Hombres. Digite Cero si no tiene.",IF(W48&gt;$E48," * La variable Pueblos Originarios Hombres no puede ser Mayor al Total Hombres.",""))</f>
        <v xml:space="preserve"> * La variable Pueblos Originarios Hombres no puede ser Mayor al Total Hombres.</v>
      </c>
      <c r="CD48" s="191" t="str">
        <f>IF(AND($F48&gt;0,OR(X48=""))," * No olvide digitar la variable Pueblos Originarios Mujeres. Digite Cero si no tiene.",IF(X48&gt;$F48," * La variable Pueblos Originarios Mujeres no puede ser Mayor al Total Mujeres.",""))</f>
        <v xml:space="preserve"> * La variable Pueblos Originarios Mujeres no puede ser Mayor al Total Mujeres.</v>
      </c>
      <c r="CE48" s="191" t="str">
        <f>IF(AND($E48&gt;0,OR(Y48=""))," * No olvide digitar la variable Migrantes Hombres. Digite Cero si no tiene.",IF(Y48&gt;$E48," * La variable Migrantes Hombres no puede ser Mayor al Total Hombres.",""))</f>
        <v xml:space="preserve"> * La variable Migrantes Hombres no puede ser Mayor al Total Hombres.</v>
      </c>
      <c r="CF48" s="191" t="str">
        <f>IF(AND($F48&gt;0,OR(Z48=""))," * No olvide digitar la variable Migrantes Mujeres. Digite Cero si no tiene.",IF(Z48&gt;$F48," * La variable Migrantes Mujeres no puede ser Mayor al Total Mujeres.",""))</f>
        <v xml:space="preserve"> * La variable Migrantes Mujeres no puede ser Mayor al Total Mujeres.</v>
      </c>
      <c r="CG48" s="191" t="str">
        <f>IF(AND($E48&gt;0,OR(AA48=""))," * No olvide digitar la variable Personas Mayores en ELEAM Hombres. Digite Cero si no tiene.",IF(AA48&gt;$E48," * La variable Personas Mayores en ELEAM Hombres no puede ser Mayor al Total Hombres.",""))</f>
        <v xml:space="preserve"> * La variable Personas Mayores en ELEAM Hombres no puede ser Mayor al Total Hombres.</v>
      </c>
      <c r="CH48" s="191" t="str">
        <f>IF(AND($F48&gt;0,OR(AB48=""))," * No olvide digitar la variable Personas Mayores en ELEAM Mujeres. Digite Cero si no tiene.",IF(AB48&gt;$F48," * La variable Personas Mayores en ELEAM Mujeres no puede ser Mayor al Total Mujeres.",""))</f>
        <v xml:space="preserve"> * La variable Personas Mayores en ELEAM Mujeres no puede ser Mayor al Total Mujeres.</v>
      </c>
      <c r="CO48" s="1047">
        <f>IF($D$48&lt;=$D$15,0,1)</f>
        <v>1</v>
      </c>
      <c r="CP48" s="1047">
        <f>IF(AND(E48&gt;0,OR(W48="")),1,IF(W48&gt;E48,1,0))</f>
        <v>1</v>
      </c>
      <c r="CQ48" s="1047">
        <f>IF(AND(F48&gt;0,OR(X48="")),1,IF(X48&gt;F48,1,0))</f>
        <v>1</v>
      </c>
      <c r="CR48" s="1047">
        <f>IF(AND($E48&gt;0,OR(Y48="")),1,IF(Y48&gt;$E48,1,0))</f>
        <v>1</v>
      </c>
      <c r="CS48" s="1047">
        <f>IF(AND($F48&gt;0,OR(Z48="")),1,IF(Z48&gt;$F48,1,0))</f>
        <v>1</v>
      </c>
      <c r="CT48" s="1047">
        <f>IF(AND($E48&gt;0,OR(AA48="")),1,IF(AA48&gt;$E48,1,0))</f>
        <v>1</v>
      </c>
      <c r="CU48" s="1047">
        <f>IF(AND($F48&gt;0,OR(AB48="")),1,IF(AB48&gt;$F48,1,0))</f>
        <v>1</v>
      </c>
    </row>
    <row r="49" spans="1:99" s="1104" customFormat="1" ht="17.100000000000001" customHeight="1" x14ac:dyDescent="0.2">
      <c r="A49" s="108"/>
      <c r="B49" s="2094" t="s">
        <v>601</v>
      </c>
      <c r="C49" s="2094"/>
      <c r="D49" s="2094"/>
      <c r="E49" s="2094"/>
      <c r="F49" s="2094"/>
      <c r="G49" s="2094"/>
      <c r="H49" s="2094"/>
      <c r="I49" s="2094"/>
      <c r="J49" s="2094"/>
      <c r="AC49" s="1564"/>
      <c r="AD49" s="1103"/>
      <c r="AE49" s="1103"/>
      <c r="AF49" s="1103"/>
      <c r="AG49" s="1103"/>
      <c r="AH49" s="1103"/>
      <c r="AI49" s="1103"/>
      <c r="AJ49" s="1103"/>
      <c r="AK49" s="1103"/>
      <c r="AL49" s="1103"/>
      <c r="AM49" s="1103"/>
      <c r="AN49" s="1103"/>
      <c r="AO49" s="1103"/>
      <c r="AP49" s="1103"/>
      <c r="AQ49" s="1103"/>
      <c r="AR49" s="1103"/>
      <c r="AS49" s="1103"/>
      <c r="AT49" s="1103"/>
      <c r="AU49" s="1103"/>
      <c r="AV49" s="1103"/>
      <c r="AW49" s="1103"/>
      <c r="AX49" s="1103"/>
      <c r="AY49" s="1103"/>
      <c r="AZ49" s="1103"/>
    </row>
    <row r="50" spans="1:99" ht="25.5" customHeight="1" x14ac:dyDescent="0.25">
      <c r="B50" s="1970" t="s">
        <v>602</v>
      </c>
      <c r="C50" s="2097" t="s">
        <v>603</v>
      </c>
      <c r="D50" s="2079" t="s">
        <v>49</v>
      </c>
      <c r="E50" s="2079"/>
      <c r="F50" s="2079"/>
      <c r="G50" s="2083" t="s">
        <v>376</v>
      </c>
      <c r="H50" s="2084"/>
      <c r="I50" s="2084"/>
      <c r="J50" s="2084"/>
      <c r="K50" s="2084"/>
      <c r="L50" s="2084"/>
      <c r="M50" s="2084"/>
      <c r="N50" s="2084"/>
      <c r="O50" s="2084"/>
      <c r="P50" s="2084"/>
      <c r="Q50" s="2084"/>
      <c r="R50" s="2084"/>
      <c r="S50" s="2084"/>
      <c r="T50" s="2084"/>
      <c r="U50" s="2084"/>
      <c r="V50" s="2085"/>
      <c r="W50" s="1925" t="s">
        <v>51</v>
      </c>
      <c r="X50" s="1922"/>
      <c r="Y50" s="1925" t="s">
        <v>108</v>
      </c>
      <c r="Z50" s="1922"/>
      <c r="AA50" s="1925" t="s">
        <v>577</v>
      </c>
      <c r="AB50" s="1922"/>
    </row>
    <row r="51" spans="1:99" ht="15.75" customHeight="1" x14ac:dyDescent="0.25">
      <c r="B51" s="1991"/>
      <c r="C51" s="2098"/>
      <c r="D51" s="2079"/>
      <c r="E51" s="2079"/>
      <c r="F51" s="2079"/>
      <c r="G51" s="1938" t="s">
        <v>67</v>
      </c>
      <c r="H51" s="1933"/>
      <c r="I51" s="1932" t="s">
        <v>406</v>
      </c>
      <c r="J51" s="1933"/>
      <c r="K51" s="1932" t="s">
        <v>407</v>
      </c>
      <c r="L51" s="1933"/>
      <c r="M51" s="1932" t="s">
        <v>579</v>
      </c>
      <c r="N51" s="1933"/>
      <c r="O51" s="1938" t="s">
        <v>580</v>
      </c>
      <c r="P51" s="1938"/>
      <c r="Q51" s="1932" t="s">
        <v>581</v>
      </c>
      <c r="R51" s="1938"/>
      <c r="S51" s="1932" t="s">
        <v>582</v>
      </c>
      <c r="T51" s="1933"/>
      <c r="U51" s="1932" t="s">
        <v>904</v>
      </c>
      <c r="V51" s="1940"/>
      <c r="W51" s="1923"/>
      <c r="X51" s="1924"/>
      <c r="Y51" s="1923"/>
      <c r="Z51" s="1924"/>
      <c r="AA51" s="1923"/>
      <c r="AB51" s="1924"/>
    </row>
    <row r="52" spans="1:99" ht="24.75" customHeight="1" x14ac:dyDescent="0.25">
      <c r="B52" s="1708"/>
      <c r="C52" s="2099"/>
      <c r="D52" s="1471" t="s">
        <v>409</v>
      </c>
      <c r="E52" s="1501" t="s">
        <v>86</v>
      </c>
      <c r="F52" s="1217" t="s">
        <v>227</v>
      </c>
      <c r="G52" s="1260" t="s">
        <v>410</v>
      </c>
      <c r="H52" s="874" t="s">
        <v>227</v>
      </c>
      <c r="I52" s="1260" t="s">
        <v>410</v>
      </c>
      <c r="J52" s="874" t="s">
        <v>227</v>
      </c>
      <c r="K52" s="1260" t="s">
        <v>410</v>
      </c>
      <c r="L52" s="874" t="s">
        <v>227</v>
      </c>
      <c r="M52" s="1274" t="s">
        <v>86</v>
      </c>
      <c r="N52" s="1214" t="s">
        <v>227</v>
      </c>
      <c r="O52" s="1274" t="s">
        <v>86</v>
      </c>
      <c r="P52" s="1214" t="s">
        <v>227</v>
      </c>
      <c r="Q52" s="1274" t="s">
        <v>86</v>
      </c>
      <c r="R52" s="1214" t="s">
        <v>227</v>
      </c>
      <c r="S52" s="1274" t="s">
        <v>86</v>
      </c>
      <c r="T52" s="1214" t="s">
        <v>227</v>
      </c>
      <c r="U52" s="1274" t="s">
        <v>86</v>
      </c>
      <c r="V52" s="107" t="s">
        <v>227</v>
      </c>
      <c r="W52" s="1404" t="s">
        <v>86</v>
      </c>
      <c r="X52" s="1420" t="s">
        <v>227</v>
      </c>
      <c r="Y52" s="1404" t="s">
        <v>86</v>
      </c>
      <c r="Z52" s="1420" t="s">
        <v>227</v>
      </c>
      <c r="AA52" s="1404" t="s">
        <v>86</v>
      </c>
      <c r="AB52" s="1420" t="s">
        <v>227</v>
      </c>
    </row>
    <row r="53" spans="1:99" ht="15" customHeight="1" x14ac:dyDescent="0.25">
      <c r="A53" s="1585" t="s">
        <v>1319</v>
      </c>
      <c r="B53" s="1970" t="s">
        <v>604</v>
      </c>
      <c r="C53" s="743" t="s">
        <v>126</v>
      </c>
      <c r="D53" s="1276" t="s">
        <v>1616</v>
      </c>
      <c r="E53" s="1277" t="s">
        <v>1617</v>
      </c>
      <c r="F53" s="1278" t="s">
        <v>1618</v>
      </c>
      <c r="G53" s="506" t="s">
        <v>1619</v>
      </c>
      <c r="H53" s="507" t="s">
        <v>1620</v>
      </c>
      <c r="I53" s="506" t="s">
        <v>1621</v>
      </c>
      <c r="J53" s="507" t="s">
        <v>1622</v>
      </c>
      <c r="K53" s="506" t="s">
        <v>1623</v>
      </c>
      <c r="L53" s="507" t="s">
        <v>1624</v>
      </c>
      <c r="M53" s="506" t="s">
        <v>1625</v>
      </c>
      <c r="N53" s="507" t="s">
        <v>1626</v>
      </c>
      <c r="O53" s="506" t="s">
        <v>1627</v>
      </c>
      <c r="P53" s="507" t="s">
        <v>1628</v>
      </c>
      <c r="Q53" s="506" t="s">
        <v>1629</v>
      </c>
      <c r="R53" s="507" t="s">
        <v>1630</v>
      </c>
      <c r="S53" s="506" t="s">
        <v>1631</v>
      </c>
      <c r="T53" s="507" t="s">
        <v>1632</v>
      </c>
      <c r="U53" s="506" t="s">
        <v>1633</v>
      </c>
      <c r="V53" s="510" t="s">
        <v>1634</v>
      </c>
      <c r="W53" s="518" t="s">
        <v>1635</v>
      </c>
      <c r="X53" s="507" t="s">
        <v>1636</v>
      </c>
      <c r="Y53" s="506" t="s">
        <v>1637</v>
      </c>
      <c r="Z53" s="507" t="s">
        <v>1638</v>
      </c>
      <c r="AA53" s="506" t="s">
        <v>1639</v>
      </c>
      <c r="AB53" s="507" t="s">
        <v>1640</v>
      </c>
      <c r="AC53" s="108" t="str">
        <f>CB53&amp;CC53&amp;CD53&amp;CE53&amp;CF53&amp;CG53&amp;CH53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BD53" s="606"/>
      <c r="BE53" s="606"/>
      <c r="BF53" s="606"/>
      <c r="BG53" s="606"/>
      <c r="BH53" s="606"/>
      <c r="BI53" s="606"/>
      <c r="BJ53" s="606"/>
      <c r="BK53" s="606"/>
      <c r="BL53" s="606"/>
      <c r="BM53" s="606"/>
      <c r="CC53" s="191" t="str">
        <f>IF(AND($E53&gt;0,OR(W53=""))," * No olvide digitar la variable Pueblos Originarios Hombres. Digite Cero si no tiene.",IF(W53&gt;$E53," * La variable Pueblos Originarios Hombres no puede ser Mayor al Total Hombres.",""))</f>
        <v xml:space="preserve"> * La variable Pueblos Originarios Hombres no puede ser Mayor al Total Hombres.</v>
      </c>
      <c r="CD53" s="191" t="str">
        <f>IF(AND($F53&gt;0,OR(X53=""))," * No olvide digitar la variable Pueblos Originarios Mujeres. Digite Cero si no tiene.",IF(X53&gt;$F53," * La variable Pueblos Originarios Mujeres no puede ser Mayor al Total Mujeres.",""))</f>
        <v xml:space="preserve"> * La variable Pueblos Originarios Mujeres no puede ser Mayor al Total Mujeres.</v>
      </c>
      <c r="CE53" s="191" t="str">
        <f>IF(AND($E53&gt;0,OR(Y53=""))," * No olvide digitar la variable Migrantes Hombres. Digite Cero si no tiene.",IF(Y53&gt;$E53," * La variable Migrantes Hombres no puede ser Mayor al Total Hombres.",""))</f>
        <v xml:space="preserve"> * La variable Migrantes Hombres no puede ser Mayor al Total Hombres.</v>
      </c>
      <c r="CF53" s="191" t="str">
        <f>IF(AND($F53&gt;0,OR(Z53=""))," * No olvide digitar la variable Migrantes Mujeres. Digite Cero si no tiene.",IF(Z53&gt;$F53," * La variable Migrantes Mujeres no puede ser Mayor al Total Mujeres.",""))</f>
        <v xml:space="preserve"> * La variable Migrantes Mujeres no puede ser Mayor al Total Mujeres.</v>
      </c>
      <c r="CG53" s="191" t="str">
        <f>IF(AND($E53&gt;0,OR(AA53=""))," * No olvide digitar la variable Personas Mayores en ELEAM Hombres. Digite Cero si no tiene.",IF(AA53&gt;$E53," * La variable Personas Mayores en ELEAM Hombres no puede ser Mayor al Total Hombres.",""))</f>
        <v xml:space="preserve"> * La variable Personas Mayores en ELEAM Hombres no puede ser Mayor al Total Hombres.</v>
      </c>
      <c r="CH53" s="191" t="str">
        <f>IF(AND($F53&gt;0,OR(AB53=""))," * No olvide digitar la variable Personas Mayores en ELEAM Mujeres. Digite Cero si no tiene.",IF(AB53&gt;$F53," * La variable Personas Mayores en ELEAM Mujeres no puede ser Mayor al Total Mujeres.",""))</f>
        <v xml:space="preserve"> * La variable Personas Mayores en ELEAM Mujeres no puede ser Mayor al Total Mujeres.</v>
      </c>
      <c r="CO53" s="1047">
        <f t="shared" ref="CO53:CO57" si="29">IF($D$48&lt;=$D$15,0,1)</f>
        <v>1</v>
      </c>
      <c r="CP53" s="1047">
        <f t="shared" ref="CP53:CP57" si="30">IF(AND(E53&gt;0,OR(W53="")),1,IF(W53&gt;E53,1,0))</f>
        <v>1</v>
      </c>
      <c r="CQ53" s="1047">
        <f t="shared" ref="CQ53:CQ57" si="31">IF(AND(F53&gt;0,OR(X53="")),1,IF(X53&gt;F53,1,0))</f>
        <v>1</v>
      </c>
      <c r="CR53" s="1047">
        <f t="shared" ref="CR53:CR57" si="32">IF(AND($E53&gt;0,OR(Y53="")),1,IF(Y53&gt;$E53,1,0))</f>
        <v>1</v>
      </c>
      <c r="CS53" s="1047">
        <f>IF(AND($F53&gt;0,OR(Z53="")),1,IF(Z53&gt;$F53,1,0))</f>
        <v>1</v>
      </c>
      <c r="CT53" s="1047">
        <f t="shared" ref="CT53:CT57" si="33">IF(AND($E53&gt;0,OR(AA53="")),1,IF(AA53&gt;$E53,1,0))</f>
        <v>1</v>
      </c>
      <c r="CU53" s="1047">
        <f t="shared" ref="CU53:CU57" si="34">IF(AND($F53&gt;0,OR(AB53="")),1,IF(AB53&gt;$F53,1,0))</f>
        <v>1</v>
      </c>
    </row>
    <row r="54" spans="1:99" ht="15" customHeight="1" x14ac:dyDescent="0.25">
      <c r="A54" s="1585" t="s">
        <v>1320</v>
      </c>
      <c r="B54" s="1991"/>
      <c r="C54" s="744" t="s">
        <v>282</v>
      </c>
      <c r="D54" s="1155" t="s">
        <v>1616</v>
      </c>
      <c r="E54" s="521" t="s">
        <v>1617</v>
      </c>
      <c r="F54" s="522" t="s">
        <v>1618</v>
      </c>
      <c r="G54" s="512" t="s">
        <v>1619</v>
      </c>
      <c r="H54" s="513" t="s">
        <v>1620</v>
      </c>
      <c r="I54" s="512" t="s">
        <v>1621</v>
      </c>
      <c r="J54" s="513" t="s">
        <v>1622</v>
      </c>
      <c r="K54" s="512" t="s">
        <v>1623</v>
      </c>
      <c r="L54" s="513" t="s">
        <v>1624</v>
      </c>
      <c r="M54" s="512" t="s">
        <v>1625</v>
      </c>
      <c r="N54" s="513" t="s">
        <v>1626</v>
      </c>
      <c r="O54" s="512" t="s">
        <v>1627</v>
      </c>
      <c r="P54" s="513" t="s">
        <v>1628</v>
      </c>
      <c r="Q54" s="512" t="s">
        <v>1629</v>
      </c>
      <c r="R54" s="513" t="s">
        <v>1630</v>
      </c>
      <c r="S54" s="512" t="s">
        <v>1631</v>
      </c>
      <c r="T54" s="513" t="s">
        <v>1632</v>
      </c>
      <c r="U54" s="512" t="s">
        <v>1633</v>
      </c>
      <c r="V54" s="516" t="s">
        <v>1634</v>
      </c>
      <c r="W54" s="519" t="s">
        <v>1635</v>
      </c>
      <c r="X54" s="513" t="s">
        <v>1636</v>
      </c>
      <c r="Y54" s="512" t="s">
        <v>1637</v>
      </c>
      <c r="Z54" s="513" t="s">
        <v>1638</v>
      </c>
      <c r="AA54" s="512" t="s">
        <v>1639</v>
      </c>
      <c r="AB54" s="513" t="s">
        <v>1640</v>
      </c>
      <c r="AC54" s="108" t="str">
        <f t="shared" ref="AC54:AC56" si="35">CB54&amp;CC54&amp;CD54&amp;CE54&amp;CF54&amp;CG54&amp;CH54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54" s="191" t="str">
        <f t="shared" ref="CC54:CC57" si="36">IF(AND($E54&gt;0,OR(W54=""))," * No olvide digitar la variable Pueblos Originarios Hombres. Digite Cero si no tiene.",IF(W54&gt;$E54," * La variable Pueblos Originarios Hombres no puede ser Mayor al Total Hombres.",""))</f>
        <v xml:space="preserve"> * La variable Pueblos Originarios Hombres no puede ser Mayor al Total Hombres.</v>
      </c>
      <c r="CD54" s="191" t="str">
        <f t="shared" ref="CD54:CD57" si="37">IF(AND($F54&gt;0,OR(X54=""))," * No olvide digitar la variable Pueblos Originarios Mujeres. Digite Cero si no tiene.",IF(X54&gt;$F54," * La variable Pueblos Originarios Mujeres no puede ser Mayor al Total Mujeres.",""))</f>
        <v xml:space="preserve"> * La variable Pueblos Originarios Mujeres no puede ser Mayor al Total Mujeres.</v>
      </c>
      <c r="CE54" s="191" t="str">
        <f t="shared" ref="CE54:CE57" si="38">IF(AND($E54&gt;0,OR(Y54=""))," * No olvide digitar la variable Migrantes Hombres. Digite Cero si no tiene.",IF(Y54&gt;$E54," * La variable Migrantes Hombres no puede ser Mayor al Total Hombres.",""))</f>
        <v xml:space="preserve"> * La variable Migrantes Hombres no puede ser Mayor al Total Hombres.</v>
      </c>
      <c r="CF54" s="191" t="str">
        <f t="shared" ref="CF54:CF57" si="39">IF(AND($F54&gt;0,OR(Z54=""))," * No olvide digitar la variable Migrantes Mujeres. Digite Cero si no tiene.",IF(Z54&gt;$F54," * La variable Migrantes Mujeres no puede ser Mayor al Total Mujeres.",""))</f>
        <v xml:space="preserve"> * La variable Migrantes Mujeres no puede ser Mayor al Total Mujeres.</v>
      </c>
      <c r="CG54" s="191" t="str">
        <f t="shared" ref="CG54:CG57" si="40">IF(AND($E54&gt;0,OR(AA54=""))," * No olvide digitar la variable Personas Mayores en ELEAM Hombres. Digite Cero si no tiene.",IF(AA54&gt;$E54," * La variable Personas Mayores en ELEAM Hombres no puede ser Mayor al Total Hombres.",""))</f>
        <v xml:space="preserve"> * La variable Personas Mayores en ELEAM Hombres no puede ser Mayor al Total Hombres.</v>
      </c>
      <c r="CH54" s="191" t="str">
        <f t="shared" ref="CH54:CH57" si="41">IF(AND($F54&gt;0,OR(AB54=""))," * No olvide digitar la variable Personas Mayores en ELEAM Mujeres. Digite Cero si no tiene.",IF(AB54&gt;$F54," * La variable Personas Mayores en ELEAM Mujeres no puede ser Mayor al Total Mujeres.",""))</f>
        <v xml:space="preserve"> * La variable Personas Mayores en ELEAM Mujeres no puede ser Mayor al Total Mujeres.</v>
      </c>
      <c r="CO54" s="1047">
        <f t="shared" si="29"/>
        <v>1</v>
      </c>
      <c r="CP54" s="1047">
        <f t="shared" si="30"/>
        <v>1</v>
      </c>
      <c r="CQ54" s="1047">
        <f t="shared" si="31"/>
        <v>1</v>
      </c>
      <c r="CR54" s="1047">
        <f t="shared" si="32"/>
        <v>1</v>
      </c>
      <c r="CS54" s="1047">
        <f t="shared" ref="CS54:CS57" si="42">IF(AND($F54&gt;0,OR(Z54="")),1,IF(Z54&gt;$F54,1,0))</f>
        <v>1</v>
      </c>
      <c r="CT54" s="1047">
        <f t="shared" si="33"/>
        <v>1</v>
      </c>
      <c r="CU54" s="1047">
        <f t="shared" si="34"/>
        <v>1</v>
      </c>
    </row>
    <row r="55" spans="1:99" ht="15" customHeight="1" x14ac:dyDescent="0.25">
      <c r="A55" s="1585" t="s">
        <v>1321</v>
      </c>
      <c r="B55" s="1708"/>
      <c r="C55" s="742" t="s">
        <v>605</v>
      </c>
      <c r="D55" s="1161" t="s">
        <v>1616</v>
      </c>
      <c r="E55" s="523" t="s">
        <v>1617</v>
      </c>
      <c r="F55" s="524" t="s">
        <v>1618</v>
      </c>
      <c r="G55" s="495" t="s">
        <v>1619</v>
      </c>
      <c r="H55" s="496" t="s">
        <v>1620</v>
      </c>
      <c r="I55" s="495" t="s">
        <v>1621</v>
      </c>
      <c r="J55" s="496" t="s">
        <v>1622</v>
      </c>
      <c r="K55" s="495" t="s">
        <v>1623</v>
      </c>
      <c r="L55" s="496" t="s">
        <v>1624</v>
      </c>
      <c r="M55" s="495" t="s">
        <v>1625</v>
      </c>
      <c r="N55" s="496" t="s">
        <v>1626</v>
      </c>
      <c r="O55" s="495" t="s">
        <v>1627</v>
      </c>
      <c r="P55" s="496" t="s">
        <v>1628</v>
      </c>
      <c r="Q55" s="495" t="s">
        <v>1629</v>
      </c>
      <c r="R55" s="496" t="s">
        <v>1630</v>
      </c>
      <c r="S55" s="495" t="s">
        <v>1631</v>
      </c>
      <c r="T55" s="496" t="s">
        <v>1632</v>
      </c>
      <c r="U55" s="495" t="s">
        <v>1633</v>
      </c>
      <c r="V55" s="499" t="s">
        <v>1634</v>
      </c>
      <c r="W55" s="500" t="s">
        <v>1635</v>
      </c>
      <c r="X55" s="496" t="s">
        <v>1636</v>
      </c>
      <c r="Y55" s="495" t="s">
        <v>1637</v>
      </c>
      <c r="Z55" s="496" t="s">
        <v>1638</v>
      </c>
      <c r="AA55" s="495" t="s">
        <v>1639</v>
      </c>
      <c r="AB55" s="496" t="s">
        <v>1640</v>
      </c>
      <c r="AC55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B55" s="191" t="str">
        <f>IF(SUM($D53:$D55)&gt;$D15,"* La suma de adultos mayores con Riesgo de caída TIMED UP AND GO deben ser menor o igual al SUBTOTAL (EFAM) de la sección A. ","")</f>
        <v/>
      </c>
      <c r="CC55" s="191" t="str">
        <f>IF(AND($E55&gt;0,OR(W55=""))," * No olvide digitar la variable Pueblos Originarios Hombres. Digite Cero si no tiene.",IF(W55&gt;$E55," * La variable Pueblos Originarios Hombres no puede ser Mayor al Total Hombres.",""))</f>
        <v xml:space="preserve"> * La variable Pueblos Originarios Hombres no puede ser Mayor al Total Hombres.</v>
      </c>
      <c r="CD55" s="191" t="str">
        <f t="shared" si="37"/>
        <v xml:space="preserve"> * La variable Pueblos Originarios Mujeres no puede ser Mayor al Total Mujeres.</v>
      </c>
      <c r="CE55" s="191" t="str">
        <f t="shared" si="38"/>
        <v xml:space="preserve"> * La variable Migrantes Hombres no puede ser Mayor al Total Hombres.</v>
      </c>
      <c r="CF55" s="191" t="str">
        <f t="shared" si="39"/>
        <v xml:space="preserve"> * La variable Migrantes Mujeres no puede ser Mayor al Total Mujeres.</v>
      </c>
      <c r="CG55" s="191" t="str">
        <f t="shared" si="40"/>
        <v xml:space="preserve"> * La variable Personas Mayores en ELEAM Hombres no puede ser Mayor al Total Hombres.</v>
      </c>
      <c r="CH55" s="191" t="str">
        <f t="shared" si="41"/>
        <v xml:space="preserve"> * La variable Personas Mayores en ELEAM Mujeres no puede ser Mayor al Total Mujeres.</v>
      </c>
      <c r="CN55" s="1047">
        <f>IF(SUM($D53:$D55)&gt;$D15,1,0)</f>
        <v>0</v>
      </c>
      <c r="CO55" s="1047">
        <f t="shared" si="29"/>
        <v>1</v>
      </c>
      <c r="CP55" s="1047">
        <f t="shared" si="30"/>
        <v>1</v>
      </c>
      <c r="CQ55" s="1047">
        <f t="shared" si="31"/>
        <v>1</v>
      </c>
      <c r="CR55" s="1047">
        <f t="shared" si="32"/>
        <v>1</v>
      </c>
      <c r="CS55" s="1047">
        <f t="shared" si="42"/>
        <v>1</v>
      </c>
      <c r="CT55" s="1047">
        <f t="shared" si="33"/>
        <v>1</v>
      </c>
      <c r="CU55" s="1047">
        <f t="shared" si="34"/>
        <v>1</v>
      </c>
    </row>
    <row r="56" spans="1:99" ht="15" customHeight="1" x14ac:dyDescent="0.25">
      <c r="A56" s="1585" t="s">
        <v>1322</v>
      </c>
      <c r="B56" s="1970" t="s">
        <v>606</v>
      </c>
      <c r="C56" s="743" t="s">
        <v>607</v>
      </c>
      <c r="D56" s="1165" t="s">
        <v>1616</v>
      </c>
      <c r="E56" s="1163" t="s">
        <v>1617</v>
      </c>
      <c r="F56" s="525" t="s">
        <v>1618</v>
      </c>
      <c r="G56" s="526" t="s">
        <v>1619</v>
      </c>
      <c r="H56" s="527" t="s">
        <v>1620</v>
      </c>
      <c r="I56" s="526" t="s">
        <v>1621</v>
      </c>
      <c r="J56" s="527" t="s">
        <v>1622</v>
      </c>
      <c r="K56" s="526" t="s">
        <v>1623</v>
      </c>
      <c r="L56" s="527" t="s">
        <v>1624</v>
      </c>
      <c r="M56" s="526" t="s">
        <v>1625</v>
      </c>
      <c r="N56" s="527" t="s">
        <v>1626</v>
      </c>
      <c r="O56" s="526" t="s">
        <v>1627</v>
      </c>
      <c r="P56" s="527" t="s">
        <v>1628</v>
      </c>
      <c r="Q56" s="526" t="s">
        <v>1629</v>
      </c>
      <c r="R56" s="527" t="s">
        <v>1630</v>
      </c>
      <c r="S56" s="526" t="s">
        <v>1631</v>
      </c>
      <c r="T56" s="527" t="s">
        <v>1632</v>
      </c>
      <c r="U56" s="526" t="s">
        <v>1633</v>
      </c>
      <c r="V56" s="740" t="s">
        <v>1634</v>
      </c>
      <c r="W56" s="739" t="s">
        <v>1635</v>
      </c>
      <c r="X56" s="527" t="s">
        <v>1636</v>
      </c>
      <c r="Y56" s="526" t="s">
        <v>1637</v>
      </c>
      <c r="Z56" s="527" t="s">
        <v>1638</v>
      </c>
      <c r="AA56" s="526" t="s">
        <v>1639</v>
      </c>
      <c r="AB56" s="527" t="s">
        <v>1640</v>
      </c>
      <c r="AC56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56" s="191" t="str">
        <f t="shared" si="36"/>
        <v xml:space="preserve"> * La variable Pueblos Originarios Hombres no puede ser Mayor al Total Hombres.</v>
      </c>
      <c r="CD56" s="191" t="str">
        <f t="shared" si="37"/>
        <v xml:space="preserve"> * La variable Pueblos Originarios Mujeres no puede ser Mayor al Total Mujeres.</v>
      </c>
      <c r="CE56" s="191" t="str">
        <f t="shared" si="38"/>
        <v xml:space="preserve"> * La variable Migrantes Hombres no puede ser Mayor al Total Hombres.</v>
      </c>
      <c r="CF56" s="191" t="str">
        <f t="shared" si="39"/>
        <v xml:space="preserve"> * La variable Migrantes Mujeres no puede ser Mayor al Total Mujeres.</v>
      </c>
      <c r="CG56" s="191" t="str">
        <f t="shared" si="40"/>
        <v xml:space="preserve"> * La variable Personas Mayores en ELEAM Hombres no puede ser Mayor al Total Hombres.</v>
      </c>
      <c r="CH56" s="191" t="str">
        <f t="shared" si="41"/>
        <v xml:space="preserve"> * La variable Personas Mayores en ELEAM Mujeres no puede ser Mayor al Total Mujeres.</v>
      </c>
      <c r="CO56" s="1047">
        <f t="shared" si="29"/>
        <v>1</v>
      </c>
      <c r="CP56" s="1047">
        <f t="shared" si="30"/>
        <v>1</v>
      </c>
      <c r="CQ56" s="1047">
        <f t="shared" si="31"/>
        <v>1</v>
      </c>
      <c r="CR56" s="1047">
        <f t="shared" si="32"/>
        <v>1</v>
      </c>
      <c r="CS56" s="1047">
        <f t="shared" si="42"/>
        <v>1</v>
      </c>
      <c r="CT56" s="1047">
        <f t="shared" si="33"/>
        <v>1</v>
      </c>
      <c r="CU56" s="1047">
        <f t="shared" si="34"/>
        <v>1</v>
      </c>
    </row>
    <row r="57" spans="1:99" ht="15" customHeight="1" x14ac:dyDescent="0.25">
      <c r="A57" s="1585" t="s">
        <v>1323</v>
      </c>
      <c r="B57" s="1708"/>
      <c r="C57" s="742" t="s">
        <v>608</v>
      </c>
      <c r="D57" s="1166" t="s">
        <v>1616</v>
      </c>
      <c r="E57" s="1164" t="s">
        <v>1617</v>
      </c>
      <c r="F57" s="528" t="s">
        <v>1618</v>
      </c>
      <c r="G57" s="495" t="s">
        <v>1619</v>
      </c>
      <c r="H57" s="496" t="s">
        <v>1620</v>
      </c>
      <c r="I57" s="495" t="s">
        <v>1621</v>
      </c>
      <c r="J57" s="496" t="s">
        <v>1622</v>
      </c>
      <c r="K57" s="495" t="s">
        <v>1623</v>
      </c>
      <c r="L57" s="496" t="s">
        <v>1624</v>
      </c>
      <c r="M57" s="495" t="s">
        <v>1625</v>
      </c>
      <c r="N57" s="496" t="s">
        <v>1626</v>
      </c>
      <c r="O57" s="495" t="s">
        <v>1627</v>
      </c>
      <c r="P57" s="496" t="s">
        <v>1628</v>
      </c>
      <c r="Q57" s="495" t="s">
        <v>1629</v>
      </c>
      <c r="R57" s="496" t="s">
        <v>1630</v>
      </c>
      <c r="S57" s="495" t="s">
        <v>1631</v>
      </c>
      <c r="T57" s="496" t="s">
        <v>1632</v>
      </c>
      <c r="U57" s="495" t="s">
        <v>1633</v>
      </c>
      <c r="V57" s="499" t="s">
        <v>1634</v>
      </c>
      <c r="W57" s="500" t="s">
        <v>1635</v>
      </c>
      <c r="X57" s="496" t="s">
        <v>1636</v>
      </c>
      <c r="Y57" s="495" t="s">
        <v>1637</v>
      </c>
      <c r="Z57" s="496" t="s">
        <v>1638</v>
      </c>
      <c r="AA57" s="495" t="s">
        <v>1639</v>
      </c>
      <c r="AB57" s="496" t="s">
        <v>1640</v>
      </c>
      <c r="AC57" s="108" t="str">
        <f>CB57&amp;CC57&amp;CD57&amp;CE57&amp;CF57&amp;CG57&amp;CH57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57" s="191" t="str">
        <f t="shared" si="36"/>
        <v xml:space="preserve"> * La variable Pueblos Originarios Hombres no puede ser Mayor al Total Hombres.</v>
      </c>
      <c r="CD57" s="191" t="str">
        <f t="shared" si="37"/>
        <v xml:space="preserve"> * La variable Pueblos Originarios Mujeres no puede ser Mayor al Total Mujeres.</v>
      </c>
      <c r="CE57" s="191" t="str">
        <f t="shared" si="38"/>
        <v xml:space="preserve"> * La variable Migrantes Hombres no puede ser Mayor al Total Hombres.</v>
      </c>
      <c r="CF57" s="191" t="str">
        <f t="shared" si="39"/>
        <v xml:space="preserve"> * La variable Migrantes Mujeres no puede ser Mayor al Total Mujeres.</v>
      </c>
      <c r="CG57" s="191" t="str">
        <f t="shared" si="40"/>
        <v xml:space="preserve"> * La variable Personas Mayores en ELEAM Hombres no puede ser Mayor al Total Hombres.</v>
      </c>
      <c r="CH57" s="191" t="str">
        <f t="shared" si="41"/>
        <v xml:space="preserve"> * La variable Personas Mayores en ELEAM Mujeres no puede ser Mayor al Total Mujeres.</v>
      </c>
      <c r="CO57" s="1047">
        <f t="shared" si="29"/>
        <v>1</v>
      </c>
      <c r="CP57" s="1047">
        <f t="shared" si="30"/>
        <v>1</v>
      </c>
      <c r="CQ57" s="1047">
        <f t="shared" si="31"/>
        <v>1</v>
      </c>
      <c r="CR57" s="1047">
        <f t="shared" si="32"/>
        <v>1</v>
      </c>
      <c r="CS57" s="1047">
        <f t="shared" si="42"/>
        <v>1</v>
      </c>
      <c r="CT57" s="1047">
        <f t="shared" si="33"/>
        <v>1</v>
      </c>
      <c r="CU57" s="1047">
        <f t="shared" si="34"/>
        <v>1</v>
      </c>
    </row>
    <row r="59" spans="1:99" ht="12.75" customHeight="1" x14ac:dyDescent="0.25"/>
    <row r="81" spans="2:52" ht="14.45" hidden="1" customHeight="1" x14ac:dyDescent="0.15">
      <c r="B81" s="1484">
        <f>SUM(D12:D14,D16:D19, D26:D28,D34:D37,D43:D43,D48:D48,D53:D57)</f>
        <v>0</v>
      </c>
      <c r="C81" s="189" t="s">
        <v>206</v>
      </c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  <c r="AZ81" s="108"/>
    </row>
    <row r="82" spans="2:52" ht="14.45" hidden="1" customHeight="1" x14ac:dyDescent="0.15">
      <c r="B82" s="1484">
        <f>SUM(CN12:CU57)</f>
        <v>127</v>
      </c>
      <c r="C82" s="189" t="s">
        <v>207</v>
      </c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  <c r="AZ82" s="108"/>
    </row>
  </sheetData>
  <mergeCells count="119">
    <mergeCell ref="CC8:CD9"/>
    <mergeCell ref="CE8:CF9"/>
    <mergeCell ref="CG8:CH9"/>
    <mergeCell ref="CP8:CQ9"/>
    <mergeCell ref="CR8:CS9"/>
    <mergeCell ref="CT8:CU9"/>
    <mergeCell ref="B35:C35"/>
    <mergeCell ref="B36:C36"/>
    <mergeCell ref="B9:C11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U24:V24"/>
    <mergeCell ref="W24:X24"/>
    <mergeCell ref="AA31:AB32"/>
    <mergeCell ref="G23:X23"/>
    <mergeCell ref="G9:V9"/>
    <mergeCell ref="AA23:AB24"/>
    <mergeCell ref="I24:J24"/>
    <mergeCell ref="K24:L24"/>
    <mergeCell ref="M24:N24"/>
    <mergeCell ref="O24:P24"/>
    <mergeCell ref="G10:H10"/>
    <mergeCell ref="I10:J10"/>
    <mergeCell ref="K10:L10"/>
    <mergeCell ref="U10:V10"/>
    <mergeCell ref="AA9:AB10"/>
    <mergeCell ref="Y23:Z24"/>
    <mergeCell ref="W9:X10"/>
    <mergeCell ref="Y9:Z10"/>
    <mergeCell ref="Y31:Z32"/>
    <mergeCell ref="W31:X32"/>
    <mergeCell ref="O32:P32"/>
    <mergeCell ref="G24:H24"/>
    <mergeCell ref="U32:V32"/>
    <mergeCell ref="I32:J32"/>
    <mergeCell ref="D31:F32"/>
    <mergeCell ref="B31:C33"/>
    <mergeCell ref="D23:F24"/>
    <mergeCell ref="K32:L32"/>
    <mergeCell ref="M32:N32"/>
    <mergeCell ref="Q32:R32"/>
    <mergeCell ref="S32:T32"/>
    <mergeCell ref="G31:V31"/>
    <mergeCell ref="G32:H32"/>
    <mergeCell ref="B23:C25"/>
    <mergeCell ref="B26:C26"/>
    <mergeCell ref="B27:C27"/>
    <mergeCell ref="B28:C28"/>
    <mergeCell ref="B29:C29"/>
    <mergeCell ref="S24:T24"/>
    <mergeCell ref="B43:C43"/>
    <mergeCell ref="B45:C47"/>
    <mergeCell ref="B56:B57"/>
    <mergeCell ref="D50:F51"/>
    <mergeCell ref="B53:B55"/>
    <mergeCell ref="B49:J49"/>
    <mergeCell ref="B44:I44"/>
    <mergeCell ref="I46:J46"/>
    <mergeCell ref="G45:V45"/>
    <mergeCell ref="Q51:R51"/>
    <mergeCell ref="S51:T51"/>
    <mergeCell ref="U51:V51"/>
    <mergeCell ref="M51:N51"/>
    <mergeCell ref="G50:V50"/>
    <mergeCell ref="C50:C52"/>
    <mergeCell ref="O51:P51"/>
    <mergeCell ref="O46:P46"/>
    <mergeCell ref="Q46:R46"/>
    <mergeCell ref="S46:T46"/>
    <mergeCell ref="U46:V46"/>
    <mergeCell ref="B48:C48"/>
    <mergeCell ref="D9:F10"/>
    <mergeCell ref="O41:P41"/>
    <mergeCell ref="O10:P10"/>
    <mergeCell ref="M10:N10"/>
    <mergeCell ref="Q10:R10"/>
    <mergeCell ref="S10:T10"/>
    <mergeCell ref="Q24:R24"/>
    <mergeCell ref="D40:F41"/>
    <mergeCell ref="B39:H39"/>
    <mergeCell ref="G40:V40"/>
    <mergeCell ref="B37:C37"/>
    <mergeCell ref="B38:C38"/>
    <mergeCell ref="B34:C34"/>
    <mergeCell ref="G41:H41"/>
    <mergeCell ref="K41:L41"/>
    <mergeCell ref="I41:J41"/>
    <mergeCell ref="B7:V7"/>
    <mergeCell ref="CW31:CW32"/>
    <mergeCell ref="AA50:AB51"/>
    <mergeCell ref="W50:X51"/>
    <mergeCell ref="Y50:Z51"/>
    <mergeCell ref="Q41:R41"/>
    <mergeCell ref="S41:T41"/>
    <mergeCell ref="U41:V41"/>
    <mergeCell ref="W40:X41"/>
    <mergeCell ref="Y40:Z41"/>
    <mergeCell ref="W45:X46"/>
    <mergeCell ref="Y45:Z46"/>
    <mergeCell ref="AA40:AB41"/>
    <mergeCell ref="AA45:AB46"/>
    <mergeCell ref="B50:B52"/>
    <mergeCell ref="G46:H46"/>
    <mergeCell ref="G51:H51"/>
    <mergeCell ref="K51:L51"/>
    <mergeCell ref="K46:L46"/>
    <mergeCell ref="M46:N46"/>
    <mergeCell ref="I51:J51"/>
    <mergeCell ref="M41:N41"/>
    <mergeCell ref="D45:F46"/>
    <mergeCell ref="B40:C42"/>
  </mergeCells>
  <phoneticPr fontId="25" type="noConversion"/>
  <dataValidations count="3">
    <dataValidation type="whole" allowBlank="1" showInputMessage="1" showErrorMessage="1" sqref="G26:G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D15:BN15 BD20:BN20 BD29:BM29 BD38:BM38 BD43:BM43 BD48:BM48 BD53:BM53 CC8 CG10:CH10 CC10:CF11 CP8 CE8 CR8 CP10:CU10" xr:uid="{00000000-0002-0000-0500-000001000000}"/>
    <dataValidation type="whole" operator="greaterThanOrEqual" allowBlank="1" showInputMessage="1" showErrorMessage="1" sqref="G53:AB57 G16:AB19 H26:AB28 G34:AB37 G43:AB43 G48:AB48 G12:AB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in="1" max="16" man="1"/>
  </rowBreaks>
  <ignoredErrors>
    <ignoredError sqref="CS12:CS14 CS17:CS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IA155"/>
  <sheetViews>
    <sheetView showGridLines="0" zoomScaleNormal="100" workbookViewId="0"/>
  </sheetViews>
  <sheetFormatPr baseColWidth="10" defaultColWidth="11.42578125" defaultRowHeight="15" x14ac:dyDescent="0.25"/>
  <cols>
    <col min="1" max="1" width="18.5703125" style="108" customWidth="1"/>
    <col min="2" max="2" width="34.28515625" style="108" customWidth="1"/>
    <col min="3" max="3" width="58.85546875" style="108" customWidth="1"/>
    <col min="4" max="4" width="13.85546875" style="108" customWidth="1"/>
    <col min="5" max="46" width="10.42578125" style="108" customWidth="1"/>
    <col min="47" max="47" width="14.85546875" style="108" customWidth="1"/>
    <col min="48" max="48" width="12.42578125" style="108" customWidth="1"/>
    <col min="49" max="53" width="11.42578125" style="108"/>
    <col min="54" max="55" width="11" style="108" customWidth="1"/>
    <col min="56" max="78" width="11.42578125" style="606"/>
    <col min="79" max="79" width="0" style="606" hidden="1" customWidth="1"/>
    <col min="80" max="80" width="11.42578125" style="606" hidden="1" customWidth="1"/>
    <col min="81" max="98" width="11" style="108" hidden="1" customWidth="1"/>
    <col min="99" max="101" width="11" style="606" hidden="1" customWidth="1"/>
    <col min="102" max="104" width="11" style="108" hidden="1" customWidth="1"/>
    <col min="105" max="117" width="11" style="108" customWidth="1"/>
    <col min="118" max="120" width="11" style="606" customWidth="1"/>
    <col min="121" max="123" width="11" style="108" customWidth="1"/>
    <col min="124" max="132" width="11.42578125" style="108" customWidth="1"/>
    <col min="133" max="16384" width="11.42578125" style="108"/>
  </cols>
  <sheetData>
    <row r="1" spans="1:127" s="34" customFormat="1" ht="13.5" customHeight="1" x14ac:dyDescent="0.15">
      <c r="B1" s="33" t="s">
        <v>0</v>
      </c>
    </row>
    <row r="2" spans="1:127" s="34" customFormat="1" ht="13.5" customHeight="1" x14ac:dyDescent="0.15">
      <c r="B2" s="33" t="str">
        <f>CONCATENATE("COMUNA: ",NOMBRE!$B$2,"   ","( ",NOMBRE!$C$2,NOMBRE!$D$2,NOMBRE!$E$2,NOMBRE!$F$2,NOMBRE!$G$2," )")</f>
        <v>COMUNA:    (  )</v>
      </c>
    </row>
    <row r="3" spans="1:127" s="34" customFormat="1" ht="13.5" customHeight="1" x14ac:dyDescent="0.15">
      <c r="B3" s="33" t="str">
        <f>CONCATENATE("ESTABLECIMIENTO/ESTRATEGIA: ",NOMBRE!$B$3,"   ","( ",NOMBRE!$C$3,NOMBRE!$D$3,NOMBRE!$E$3,NOMBRE!$F$3,NOMBRE!$G$3,NOMBRE!$H$3," )")</f>
        <v>ESTABLECIMIENTO/ESTRATEGIA:    (  )</v>
      </c>
      <c r="D3" s="83"/>
    </row>
    <row r="4" spans="1:127" s="34" customFormat="1" ht="13.5" customHeight="1" x14ac:dyDescent="0.15">
      <c r="B4" s="33" t="str">
        <f>CONCATENATE("MES: ",NOMBRE!$B$6,"   ","( ",NOMBRE!$C$6,NOMBRE!$D$6," )")</f>
        <v>MES:    (  )</v>
      </c>
    </row>
    <row r="5" spans="1:127" s="34" customFormat="1" ht="13.5" customHeight="1" x14ac:dyDescent="0.15">
      <c r="B5" s="33" t="str">
        <f>CONCATENATE("AÑO: ",NOMBRE!$B$7)</f>
        <v>AÑO: 2025</v>
      </c>
    </row>
    <row r="6" spans="1:127" s="34" customFormat="1" ht="15" customHeight="1" x14ac:dyDescent="0.15">
      <c r="B6" s="82"/>
    </row>
    <row r="7" spans="1:127" ht="21.75" customHeight="1" x14ac:dyDescent="0.25">
      <c r="B7" s="2181" t="s">
        <v>609</v>
      </c>
      <c r="C7" s="2181"/>
      <c r="D7" s="2181"/>
      <c r="E7" s="2181"/>
      <c r="F7" s="2181"/>
      <c r="G7" s="2181"/>
      <c r="H7" s="2181"/>
      <c r="I7" s="2181"/>
      <c r="J7" s="2181"/>
      <c r="K7" s="2181"/>
      <c r="L7" s="2181"/>
      <c r="M7" s="2181"/>
      <c r="N7" s="2181"/>
      <c r="O7" s="2181"/>
      <c r="P7" s="2181"/>
      <c r="Q7" s="2181"/>
      <c r="R7" s="2181"/>
      <c r="S7" s="2181"/>
      <c r="T7" s="2181"/>
      <c r="U7" s="2181"/>
      <c r="V7" s="2181"/>
    </row>
    <row r="8" spans="1:127" ht="17.100000000000001" customHeight="1" x14ac:dyDescent="0.25">
      <c r="B8" s="1072" t="s">
        <v>610</v>
      </c>
      <c r="C8" s="1073"/>
      <c r="D8" s="1073"/>
      <c r="E8" s="1073"/>
      <c r="F8" s="1073"/>
      <c r="G8" s="1073"/>
      <c r="H8" s="1073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  <c r="V8" s="231"/>
    </row>
    <row r="9" spans="1:127" ht="17.100000000000001" customHeight="1" x14ac:dyDescent="0.25">
      <c r="B9" s="2048" t="s">
        <v>611</v>
      </c>
      <c r="C9" s="2048"/>
      <c r="D9" s="2048"/>
      <c r="E9" s="2048"/>
      <c r="F9" s="2048"/>
      <c r="G9" s="2048"/>
      <c r="H9" s="2048"/>
      <c r="I9" s="2182"/>
      <c r="J9" s="2182"/>
      <c r="K9" s="2182"/>
      <c r="L9" s="2182"/>
      <c r="M9" s="2182"/>
      <c r="N9" s="2182"/>
      <c r="O9" s="2182"/>
      <c r="P9" s="2182"/>
      <c r="Q9" s="1754"/>
      <c r="R9" s="1754"/>
      <c r="S9" s="1754"/>
      <c r="T9" s="1754"/>
      <c r="U9" s="1754"/>
      <c r="V9" s="1754"/>
      <c r="W9" s="1754"/>
      <c r="X9" s="1754"/>
      <c r="Y9" s="1754"/>
      <c r="Z9" s="1754"/>
      <c r="AA9" s="1754"/>
      <c r="AB9" s="1754"/>
      <c r="AC9" s="1754"/>
      <c r="AD9" s="1754"/>
      <c r="AE9" s="1754"/>
      <c r="AF9" s="1754"/>
      <c r="AG9" s="1754"/>
      <c r="AH9" s="1754"/>
      <c r="AI9" s="1754"/>
      <c r="AJ9" s="1754"/>
      <c r="AK9" s="1754"/>
      <c r="AL9" s="1754"/>
      <c r="AM9" s="1754"/>
      <c r="AN9" s="1754"/>
    </row>
    <row r="10" spans="1:127" ht="15" customHeight="1" x14ac:dyDescent="0.25">
      <c r="B10" s="1986" t="s">
        <v>445</v>
      </c>
      <c r="C10" s="1990"/>
      <c r="D10" s="1998" t="s">
        <v>612</v>
      </c>
      <c r="E10" s="1998"/>
      <c r="F10" s="1998"/>
      <c r="G10" s="2187" t="s">
        <v>376</v>
      </c>
      <c r="H10" s="1998"/>
      <c r="I10" s="1998"/>
      <c r="J10" s="1998"/>
      <c r="K10" s="1998"/>
      <c r="L10" s="1998"/>
      <c r="M10" s="1998"/>
      <c r="N10" s="1998"/>
      <c r="O10" s="1998"/>
      <c r="P10" s="1998"/>
      <c r="Q10" s="1998"/>
      <c r="R10" s="1998"/>
      <c r="S10" s="1998"/>
      <c r="T10" s="1998"/>
      <c r="U10" s="1998"/>
      <c r="V10" s="1998"/>
      <c r="W10" s="1998"/>
      <c r="X10" s="1998"/>
      <c r="Y10" s="1998"/>
      <c r="Z10" s="1998"/>
      <c r="AA10" s="1998"/>
      <c r="AB10" s="1998"/>
      <c r="AC10" s="1998"/>
      <c r="AD10" s="1998"/>
      <c r="AE10" s="1998"/>
      <c r="AF10" s="1998"/>
      <c r="AG10" s="1998"/>
      <c r="AH10" s="1998"/>
      <c r="AI10" s="1998"/>
      <c r="AJ10" s="1998"/>
      <c r="AK10" s="1998"/>
      <c r="AL10" s="1998"/>
      <c r="AM10" s="1998"/>
      <c r="AN10" s="1929"/>
      <c r="AO10" s="2191" t="s">
        <v>613</v>
      </c>
      <c r="AP10" s="2197" t="s">
        <v>614</v>
      </c>
      <c r="AQ10" s="1752" t="s">
        <v>51</v>
      </c>
      <c r="AR10" s="1753"/>
      <c r="AS10" s="1752" t="s">
        <v>52</v>
      </c>
      <c r="AT10" s="1753"/>
      <c r="AU10" s="2197" t="s">
        <v>615</v>
      </c>
      <c r="AV10" s="2197" t="s">
        <v>378</v>
      </c>
      <c r="AW10" s="2192" t="s">
        <v>616</v>
      </c>
      <c r="AX10" s="2195" t="s">
        <v>617</v>
      </c>
      <c r="AY10" s="2192"/>
      <c r="DN10" s="108"/>
      <c r="DQ10" s="606"/>
      <c r="DR10" s="606"/>
    </row>
    <row r="11" spans="1:127" s="36" customFormat="1" ht="15" customHeight="1" x14ac:dyDescent="0.25">
      <c r="B11" s="2183"/>
      <c r="C11" s="2184"/>
      <c r="D11" s="1998"/>
      <c r="E11" s="1998"/>
      <c r="F11" s="1998"/>
      <c r="G11" s="1930" t="s">
        <v>404</v>
      </c>
      <c r="H11" s="1929"/>
      <c r="I11" s="1998" t="s">
        <v>405</v>
      </c>
      <c r="J11" s="1929"/>
      <c r="K11" s="1937" t="s">
        <v>317</v>
      </c>
      <c r="L11" s="1853"/>
      <c r="M11" s="1937" t="s">
        <v>57</v>
      </c>
      <c r="N11" s="1853"/>
      <c r="O11" s="1937" t="s">
        <v>58</v>
      </c>
      <c r="P11" s="1853"/>
      <c r="Q11" s="1937" t="s">
        <v>59</v>
      </c>
      <c r="R11" s="1853"/>
      <c r="S11" s="1937" t="s">
        <v>60</v>
      </c>
      <c r="T11" s="1853"/>
      <c r="U11" s="1937" t="s">
        <v>61</v>
      </c>
      <c r="V11" s="1853"/>
      <c r="W11" s="1937" t="s">
        <v>62</v>
      </c>
      <c r="X11" s="1853"/>
      <c r="Y11" s="1937" t="s">
        <v>63</v>
      </c>
      <c r="Z11" s="1853"/>
      <c r="AA11" s="1937" t="s">
        <v>64</v>
      </c>
      <c r="AB11" s="1853"/>
      <c r="AC11" s="1937" t="s">
        <v>65</v>
      </c>
      <c r="AD11" s="1853"/>
      <c r="AE11" s="1937" t="s">
        <v>66</v>
      </c>
      <c r="AF11" s="1853"/>
      <c r="AG11" s="1932" t="s">
        <v>67</v>
      </c>
      <c r="AH11" s="1933"/>
      <c r="AI11" s="1932" t="s">
        <v>406</v>
      </c>
      <c r="AJ11" s="1933"/>
      <c r="AK11" s="1932" t="s">
        <v>407</v>
      </c>
      <c r="AL11" s="1933"/>
      <c r="AM11" s="2188" t="s">
        <v>408</v>
      </c>
      <c r="AN11" s="2189"/>
      <c r="AO11" s="2200"/>
      <c r="AP11" s="2198"/>
      <c r="AQ11" s="1754"/>
      <c r="AR11" s="1706"/>
      <c r="AS11" s="1754"/>
      <c r="AT11" s="1706"/>
      <c r="AU11" s="2198"/>
      <c r="AV11" s="2198"/>
      <c r="AW11" s="2201"/>
      <c r="AX11" s="2196"/>
      <c r="AY11" s="2194"/>
      <c r="AZ11" s="108"/>
      <c r="BA11" s="108"/>
      <c r="BB11" s="108"/>
      <c r="BC11" s="108"/>
      <c r="CB11" s="1970" t="s">
        <v>613</v>
      </c>
      <c r="CC11" s="1970" t="s">
        <v>618</v>
      </c>
      <c r="CD11" s="1937" t="s">
        <v>619</v>
      </c>
      <c r="CE11" s="1853"/>
      <c r="CF11" s="1937" t="s">
        <v>620</v>
      </c>
      <c r="CG11" s="1853"/>
      <c r="CH11" s="1970" t="s">
        <v>621</v>
      </c>
      <c r="CI11" s="1970" t="s">
        <v>622</v>
      </c>
      <c r="CJ11" s="2003" t="s">
        <v>616</v>
      </c>
      <c r="CK11" s="1937" t="s">
        <v>623</v>
      </c>
      <c r="CL11" s="1853"/>
      <c r="CM11" s="108"/>
      <c r="CN11" s="184"/>
      <c r="CO11" s="1970" t="s">
        <v>613</v>
      </c>
      <c r="CP11" s="1970" t="s">
        <v>618</v>
      </c>
      <c r="CQ11" s="1937" t="s">
        <v>619</v>
      </c>
      <c r="CR11" s="1853"/>
      <c r="CS11" s="1937" t="s">
        <v>620</v>
      </c>
      <c r="CT11" s="1853"/>
      <c r="CU11" s="1970" t="s">
        <v>621</v>
      </c>
      <c r="CV11" s="1970" t="s">
        <v>622</v>
      </c>
      <c r="CW11" s="1970" t="s">
        <v>616</v>
      </c>
      <c r="CX11" s="1937" t="s">
        <v>624</v>
      </c>
      <c r="CY11" s="1853"/>
      <c r="CZ11" s="184"/>
      <c r="DL11" s="184"/>
      <c r="DM11" s="184"/>
      <c r="DN11" s="184"/>
      <c r="DO11" s="184"/>
      <c r="DP11" s="184"/>
      <c r="DQ11" s="184"/>
      <c r="DR11" s="184"/>
      <c r="DS11" s="184"/>
      <c r="DT11" s="184"/>
      <c r="DU11" s="2053"/>
      <c r="DW11" s="606"/>
    </row>
    <row r="12" spans="1:127" s="36" customFormat="1" ht="25.5" customHeight="1" x14ac:dyDescent="0.25">
      <c r="B12" s="2185"/>
      <c r="C12" s="2186"/>
      <c r="D12" s="1493" t="s">
        <v>226</v>
      </c>
      <c r="E12" s="1404" t="s">
        <v>86</v>
      </c>
      <c r="F12" s="993" t="s">
        <v>227</v>
      </c>
      <c r="G12" s="1259" t="s">
        <v>86</v>
      </c>
      <c r="H12" s="993" t="s">
        <v>227</v>
      </c>
      <c r="I12" s="1259" t="s">
        <v>86</v>
      </c>
      <c r="J12" s="993" t="s">
        <v>227</v>
      </c>
      <c r="K12" s="1259" t="s">
        <v>86</v>
      </c>
      <c r="L12" s="993" t="s">
        <v>227</v>
      </c>
      <c r="M12" s="1259" t="s">
        <v>86</v>
      </c>
      <c r="N12" s="993" t="s">
        <v>227</v>
      </c>
      <c r="O12" s="1259" t="s">
        <v>86</v>
      </c>
      <c r="P12" s="993" t="s">
        <v>227</v>
      </c>
      <c r="Q12" s="1259" t="s">
        <v>86</v>
      </c>
      <c r="R12" s="993" t="s">
        <v>227</v>
      </c>
      <c r="S12" s="1259" t="s">
        <v>86</v>
      </c>
      <c r="T12" s="993" t="s">
        <v>227</v>
      </c>
      <c r="U12" s="1259" t="s">
        <v>86</v>
      </c>
      <c r="V12" s="993" t="s">
        <v>227</v>
      </c>
      <c r="W12" s="1259" t="s">
        <v>86</v>
      </c>
      <c r="X12" s="993" t="s">
        <v>227</v>
      </c>
      <c r="Y12" s="1259" t="s">
        <v>86</v>
      </c>
      <c r="Z12" s="993" t="s">
        <v>227</v>
      </c>
      <c r="AA12" s="1259" t="s">
        <v>86</v>
      </c>
      <c r="AB12" s="993" t="s">
        <v>227</v>
      </c>
      <c r="AC12" s="1259" t="s">
        <v>86</v>
      </c>
      <c r="AD12" s="993" t="s">
        <v>227</v>
      </c>
      <c r="AE12" s="1259" t="s">
        <v>86</v>
      </c>
      <c r="AF12" s="993" t="s">
        <v>227</v>
      </c>
      <c r="AG12" s="1260" t="s">
        <v>410</v>
      </c>
      <c r="AH12" s="874" t="s">
        <v>227</v>
      </c>
      <c r="AI12" s="1260" t="s">
        <v>410</v>
      </c>
      <c r="AJ12" s="874" t="s">
        <v>227</v>
      </c>
      <c r="AK12" s="1260" t="s">
        <v>410</v>
      </c>
      <c r="AL12" s="874" t="s">
        <v>227</v>
      </c>
      <c r="AM12" s="1274" t="s">
        <v>86</v>
      </c>
      <c r="AN12" s="109" t="s">
        <v>227</v>
      </c>
      <c r="AO12" s="2193"/>
      <c r="AP12" s="2199"/>
      <c r="AQ12" s="1404" t="s">
        <v>86</v>
      </c>
      <c r="AR12" s="1420" t="s">
        <v>227</v>
      </c>
      <c r="AS12" s="1404" t="s">
        <v>86</v>
      </c>
      <c r="AT12" s="1420" t="s">
        <v>227</v>
      </c>
      <c r="AU12" s="2199"/>
      <c r="AV12" s="2199"/>
      <c r="AW12" s="2194"/>
      <c r="AX12" s="768" t="s">
        <v>625</v>
      </c>
      <c r="AY12" s="768" t="s">
        <v>626</v>
      </c>
      <c r="AZ12" s="108"/>
      <c r="BA12" s="108"/>
      <c r="BB12" s="108"/>
      <c r="BC12" s="108"/>
      <c r="CB12" s="1708"/>
      <c r="CC12" s="1708"/>
      <c r="CD12" s="1480" t="s">
        <v>86</v>
      </c>
      <c r="CE12" s="1480" t="s">
        <v>227</v>
      </c>
      <c r="CF12" s="1480" t="s">
        <v>86</v>
      </c>
      <c r="CG12" s="1480" t="s">
        <v>227</v>
      </c>
      <c r="CH12" s="1708"/>
      <c r="CI12" s="1708"/>
      <c r="CJ12" s="2005"/>
      <c r="CK12" s="1480" t="s">
        <v>625</v>
      </c>
      <c r="CL12" s="1480" t="s">
        <v>627</v>
      </c>
      <c r="CM12" s="108"/>
      <c r="CN12" s="38"/>
      <c r="CO12" s="1708"/>
      <c r="CP12" s="1708"/>
      <c r="CQ12" s="1480" t="s">
        <v>86</v>
      </c>
      <c r="CR12" s="1480" t="s">
        <v>227</v>
      </c>
      <c r="CS12" s="1480" t="s">
        <v>86</v>
      </c>
      <c r="CT12" s="1480" t="s">
        <v>227</v>
      </c>
      <c r="CU12" s="1708"/>
      <c r="CV12" s="1708"/>
      <c r="CW12" s="1708"/>
      <c r="CX12" s="1480" t="s">
        <v>625</v>
      </c>
      <c r="CY12" s="1480" t="s">
        <v>627</v>
      </c>
      <c r="CZ12" s="38"/>
      <c r="DL12" s="38"/>
      <c r="DM12" s="38"/>
      <c r="DN12" s="38"/>
      <c r="DO12" s="38"/>
      <c r="DP12" s="38"/>
      <c r="DQ12" s="38"/>
      <c r="DR12" s="38"/>
      <c r="DS12" s="184"/>
      <c r="DT12" s="184"/>
      <c r="DU12" s="2053"/>
      <c r="DW12" s="606"/>
    </row>
    <row r="13" spans="1:127" s="36" customFormat="1" ht="15" customHeight="1" x14ac:dyDescent="0.25">
      <c r="A13" s="1585" t="s">
        <v>1324</v>
      </c>
      <c r="B13" s="2130" t="s">
        <v>628</v>
      </c>
      <c r="C13" s="2140"/>
      <c r="D13" s="1487" t="s">
        <v>1616</v>
      </c>
      <c r="E13" s="1488" t="s">
        <v>1617</v>
      </c>
      <c r="F13" s="460" t="s">
        <v>1618</v>
      </c>
      <c r="G13" s="1279" t="s">
        <v>1619</v>
      </c>
      <c r="H13" s="529" t="s">
        <v>1620</v>
      </c>
      <c r="I13" s="1279" t="s">
        <v>1621</v>
      </c>
      <c r="J13" s="1038" t="s">
        <v>1622</v>
      </c>
      <c r="K13" s="1504" t="s">
        <v>1623</v>
      </c>
      <c r="L13" s="529" t="s">
        <v>1624</v>
      </c>
      <c r="M13" s="1279" t="s">
        <v>1625</v>
      </c>
      <c r="N13" s="1038" t="s">
        <v>1626</v>
      </c>
      <c r="O13" s="1279" t="s">
        <v>1627</v>
      </c>
      <c r="P13" s="1038" t="s">
        <v>1628</v>
      </c>
      <c r="Q13" s="1279" t="s">
        <v>1629</v>
      </c>
      <c r="R13" s="1038" t="s">
        <v>1630</v>
      </c>
      <c r="S13" s="1279" t="s">
        <v>1631</v>
      </c>
      <c r="T13" s="1038" t="s">
        <v>1632</v>
      </c>
      <c r="U13" s="1279" t="s">
        <v>1633</v>
      </c>
      <c r="V13" s="1038" t="s">
        <v>1634</v>
      </c>
      <c r="W13" s="1279" t="s">
        <v>1635</v>
      </c>
      <c r="X13" s="1038" t="s">
        <v>1636</v>
      </c>
      <c r="Y13" s="1504" t="s">
        <v>1637</v>
      </c>
      <c r="Z13" s="529" t="s">
        <v>1638</v>
      </c>
      <c r="AA13" s="1279" t="s">
        <v>1639</v>
      </c>
      <c r="AB13" s="1038" t="s">
        <v>1640</v>
      </c>
      <c r="AC13" s="1279" t="s">
        <v>1641</v>
      </c>
      <c r="AD13" s="1038" t="s">
        <v>1642</v>
      </c>
      <c r="AE13" s="1279" t="s">
        <v>1643</v>
      </c>
      <c r="AF13" s="1038" t="s">
        <v>1644</v>
      </c>
      <c r="AG13" s="1279" t="s">
        <v>1645</v>
      </c>
      <c r="AH13" s="1038" t="s">
        <v>1646</v>
      </c>
      <c r="AI13" s="1279" t="s">
        <v>1647</v>
      </c>
      <c r="AJ13" s="1038" t="s">
        <v>1648</v>
      </c>
      <c r="AK13" s="1279" t="s">
        <v>1649</v>
      </c>
      <c r="AL13" s="1038" t="s">
        <v>1650</v>
      </c>
      <c r="AM13" s="1504" t="s">
        <v>1651</v>
      </c>
      <c r="AN13" s="529" t="s">
        <v>1652</v>
      </c>
      <c r="AO13" s="660" t="s">
        <v>1653</v>
      </c>
      <c r="AP13" s="1505" t="s">
        <v>1654</v>
      </c>
      <c r="AQ13" s="1504" t="s">
        <v>1655</v>
      </c>
      <c r="AR13" s="1038" t="s">
        <v>1656</v>
      </c>
      <c r="AS13" s="1504" t="s">
        <v>1657</v>
      </c>
      <c r="AT13" s="1038" t="s">
        <v>1658</v>
      </c>
      <c r="AU13" s="1506" t="s">
        <v>1659</v>
      </c>
      <c r="AV13" s="1506" t="s">
        <v>1660</v>
      </c>
      <c r="AW13" s="1506" t="s">
        <v>1661</v>
      </c>
      <c r="AX13" s="1506" t="s">
        <v>1662</v>
      </c>
      <c r="AY13" s="1506" t="s">
        <v>1663</v>
      </c>
      <c r="AZ13" s="1056" t="str">
        <f>CB13&amp;CC13&amp;CD13&amp;CE13&amp;CF13&amp;CG13&amp;CH13&amp;CI13&amp;CJ13&amp;CK13&amp;CL13</f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3" s="110"/>
      <c r="BB13" s="110"/>
      <c r="BC13" s="108"/>
      <c r="CB13" s="191" t="str">
        <f>IF(AND(F13&gt;0,OR(AO13=""))," * No olvide digitar la variable Gestantes. Digite Cero si no tiene.",IF(AO13&gt;F13," * La variable Gestante no puede ser Mayor al Total Mujeres.",""))</f>
        <v xml:space="preserve"> * La variable Gestante no puede ser Mayor al Total Mujeres.</v>
      </c>
      <c r="CC13" s="191" t="str">
        <f>IF(AND(D13&gt;0,OR(AP13=""))," * No olvide digitar la variable Madre de hijo menor de 5 años. Digite Cero si no tiene.",IF(AP13&gt;D13," * La variable Madre de hijo menor de 5 años no puede ser Mayor al Total Mujeres.",""))</f>
        <v xml:space="preserve"> * La variable Madre de hijo menor de 5 años no puede ser Mayor al Total Mujeres.</v>
      </c>
      <c r="CD13" s="191" t="str">
        <f>IF(AND(E13&gt;0,OR(AQ13=""))," * No olvide digitar la variable Pueblos Originarios Hombres. Digite Cero si no tiene.",IF(AQ13&gt;E13," * La variable Pueblos Originarios Hombres no puede ser Mayor al Total Hombres.",""))</f>
        <v xml:space="preserve"> * La variable Pueblos Originarios Hombres no puede ser Mayor al Total Hombres.</v>
      </c>
      <c r="CE13" s="191" t="str">
        <f>IF(AND(F13&gt;0,OR(AR13=""))," * No olvide digitar la variable Pueblos Originarios Mujeres. Digite Cero si no tiene.",IF(AR13&gt;F13," * La variable Pueblos Originarios Mujeres no puede ser Mayor al Total Mujeres.",""))</f>
        <v xml:space="preserve"> * La variable Pueblos Originarios Mujeres no puede ser Mayor al Total Mujeres.</v>
      </c>
      <c r="CF13" s="191" t="str">
        <f>IF(AND($E13&gt;0,OR(AS13=""))," * No olvide digitar la variable Migrantes Hombres. Digite Cero si no tiene.",IF(AS13&gt;$E13," * La variable Migrantes Hombres no puede ser Mayor al Total Hombres.",""))</f>
        <v xml:space="preserve"> * La variable Migrantes Hombres no puede ser Mayor al Total Hombres.</v>
      </c>
      <c r="CG13" s="191" t="str">
        <f>IF(AND($F13&gt;0,OR(AT13=""))," * No olvide digitar la variable Migrantes Mujeres. Digite Cero si no tiene.",IF(AT13&gt;$F13," * La variable Migrantes Mujeres no puede ser Mayor al Total Mujeres.",""))</f>
        <v xml:space="preserve"> * La variable Migrantes Mujeres no puede ser Mayor al Total Mujeres.</v>
      </c>
      <c r="CH13" s="191" t="str">
        <f>IF(AND($D13&gt;0,OR(AU13=""))," * No olvide digitar la variable Niños, Niñas, Adolescentes y Jóvenes SENAME. Digite Cero si no tiene.",IF(AU13&gt;$D13," * La variable Niños, Niñas, Adolescentes y Jóvenes SENAME no puede ser Mayor al Total ambos sexos.",""))</f>
        <v xml:space="preserve"> * La variable Niños, Niñas, Adolescentes y Jóvenes SENAME no puede ser Mayor al Total ambos sexos.</v>
      </c>
      <c r="CI13" s="191" t="str">
        <f>IF(AND($D13&gt;0,OR(AV13=""))," * No olvide digitar la variable Niños y niñas Mejor Niñez. Digite Cero si no tiene.",IF(AV13&gt;$D13," * La variable Niños y niñas Mejor Niñez no puede ser Mayor al Total ambos sexos.",""))</f>
        <v xml:space="preserve"> * La variable Niños y niñas Mejor Niñez no puede ser Mayor al Total ambos sexos.</v>
      </c>
      <c r="CJ13" s="191" t="str">
        <f>IF(AND(D13&gt;0,OR(AW13=""))," * No olvide digitar la variable Plan Cuidado Integral Elaborado. Digite Cero si no tiene.",IF($AW13&gt;$D13,"* La variable Plan Cuidado Integral Elaborado debe ser menor o igual al Total de Personas en control. ",""))</f>
        <v xml:space="preserve">* La variable Plan Cuidado Integral Elaborado debe ser menor o igual al Total de Personas en control. </v>
      </c>
      <c r="CK13" s="191" t="str">
        <f>IF(AND(F13&gt;0,OR(AX13=""))," * No olvide digitar la variable Trans Masculino. (Digite Cero si no tiene).",IF(AX13&gt;F13," * La variable Trans Masculino no debe ser mayor al Total Mujeres.",""))</f>
        <v xml:space="preserve"> * La variable Trans Masculino no debe ser mayor al Total Mujeres.</v>
      </c>
      <c r="CL13" s="191" t="str">
        <f>IF(AND(E13&gt;0,OR(AY13=""))," * No olvide digitar la variable Trans Femenino. (Digite Cero si no tiene).",IF(AY13&gt;E13," * La variable Trans Femenino no debe ser mayor al Total Hombre.",""))</f>
        <v xml:space="preserve"> * La variable Trans Femenino no debe ser mayor al Total Hombre.</v>
      </c>
      <c r="CM13" s="108"/>
      <c r="CN13" s="108"/>
      <c r="CO13" s="1047">
        <f>IF(AND($F13&gt;0,OR(AO13="")),1,IF(AO13&gt;$F13,1,0))</f>
        <v>1</v>
      </c>
      <c r="CP13" s="1047">
        <f>IF(AND($F13&gt;0,OR(AP13="")),1,IF(AP13&gt;$F13,1,0))</f>
        <v>1</v>
      </c>
      <c r="CQ13" s="1047">
        <f>IF(AND($E13&gt;0,OR(AQ13="")),1,IF(AQ13&gt;$E13,1,0))</f>
        <v>1</v>
      </c>
      <c r="CR13" s="1047">
        <f>IF(AND($F13&gt;0,OR(AR13="")),1,IF(AR13&gt;$F13,1,0))</f>
        <v>1</v>
      </c>
      <c r="CS13" s="1047">
        <f>IF(AND($E13&gt;0,OR(AS13="")),1,IF(AS13&gt;$E13,1,0))</f>
        <v>1</v>
      </c>
      <c r="CT13" s="1047">
        <f>IF(AND($F13&gt;0,OR(AT13="")),1,IF(AT13&gt;$F13,1,0))</f>
        <v>1</v>
      </c>
      <c r="CU13" s="1047">
        <f>IF(AND($D13&gt;0,OR(AU13="")),1,IF(AU13&gt;$D13,1,0))</f>
        <v>1</v>
      </c>
      <c r="CV13" s="1047">
        <f>IF(AND($D13&gt;0,OR(AV13="")),1,IF(AV13&gt;$D13,1,0))</f>
        <v>1</v>
      </c>
      <c r="CW13" s="1047">
        <f>IF(AND($D13&gt;0,OR(AW13="")),1,IF(AW13&gt;$D13,1,0))</f>
        <v>1</v>
      </c>
      <c r="CX13" s="1047">
        <f>IF(AND(F13&gt;0,OR(AX13="")),1,IF(AX13&gt;$F13,1,0))</f>
        <v>1</v>
      </c>
      <c r="CY13" s="1047">
        <f>IF(AND(E13&gt;0,OR(AY13="")),1,IF(AY13&gt;$E13,1,0))</f>
        <v>1</v>
      </c>
      <c r="CZ13" s="108"/>
      <c r="DL13" s="108"/>
      <c r="DM13" s="108"/>
      <c r="DN13" s="108"/>
      <c r="DO13" s="108"/>
      <c r="DP13" s="108"/>
      <c r="DQ13" s="108"/>
      <c r="DR13" s="108"/>
      <c r="DS13" s="108"/>
      <c r="DT13" s="108"/>
      <c r="DU13" s="108"/>
      <c r="DW13" s="606"/>
    </row>
    <row r="14" spans="1:127" s="95" customFormat="1" ht="15" customHeight="1" x14ac:dyDescent="0.25">
      <c r="A14" s="1611"/>
      <c r="B14" s="2141" t="s">
        <v>629</v>
      </c>
      <c r="C14" s="2142"/>
      <c r="D14" s="1507"/>
      <c r="E14" s="1280"/>
      <c r="F14" s="1280"/>
      <c r="G14" s="1280"/>
      <c r="H14" s="1280"/>
      <c r="I14" s="1280"/>
      <c r="J14" s="1280"/>
      <c r="K14" s="1280"/>
      <c r="L14" s="1280"/>
      <c r="M14" s="1280"/>
      <c r="N14" s="1280"/>
      <c r="O14" s="1280"/>
      <c r="P14" s="1280"/>
      <c r="Q14" s="1280"/>
      <c r="R14" s="1280"/>
      <c r="S14" s="1280"/>
      <c r="T14" s="1280"/>
      <c r="U14" s="1280"/>
      <c r="V14" s="1280"/>
      <c r="W14" s="1280"/>
      <c r="X14" s="1280"/>
      <c r="Y14" s="1280"/>
      <c r="Z14" s="1280"/>
      <c r="AA14" s="1280"/>
      <c r="AB14" s="1280"/>
      <c r="AC14" s="1280"/>
      <c r="AD14" s="1280"/>
      <c r="AE14" s="1280"/>
      <c r="AF14" s="1280"/>
      <c r="AG14" s="1280"/>
      <c r="AH14" s="1280"/>
      <c r="AI14" s="1280"/>
      <c r="AJ14" s="1280"/>
      <c r="AK14" s="1280"/>
      <c r="AL14" s="1280"/>
      <c r="AM14" s="1280"/>
      <c r="AN14" s="1280"/>
      <c r="AO14" s="1280"/>
      <c r="AP14" s="1280"/>
      <c r="AQ14" s="1280"/>
      <c r="AR14" s="1280"/>
      <c r="AS14" s="1280"/>
      <c r="AT14" s="1280"/>
      <c r="AU14" s="1280"/>
      <c r="AV14" s="1280"/>
      <c r="AW14" s="1280"/>
      <c r="AX14" s="1280"/>
      <c r="AY14" s="1574"/>
      <c r="AZ14" s="1056"/>
      <c r="BA14" s="110"/>
      <c r="BB14" s="110"/>
      <c r="BC14" s="108"/>
      <c r="CB14" s="1086"/>
      <c r="CC14" s="1086"/>
      <c r="CD14" s="1086"/>
      <c r="CE14" s="1086"/>
      <c r="CF14" s="1086"/>
      <c r="CG14" s="1086"/>
      <c r="CH14" s="1086"/>
      <c r="CI14" s="1086"/>
      <c r="CJ14" s="1087"/>
      <c r="CK14" s="1086"/>
      <c r="CL14" s="1086"/>
      <c r="CM14" s="108"/>
      <c r="CN14" s="108"/>
      <c r="CO14" s="1086"/>
      <c r="CP14" s="1086"/>
      <c r="CQ14" s="1086"/>
      <c r="CR14" s="1086"/>
      <c r="CS14" s="1086"/>
      <c r="CT14" s="1086"/>
      <c r="CU14" s="1086"/>
      <c r="CV14" s="1086"/>
      <c r="CW14" s="1086"/>
      <c r="CX14" s="1086"/>
      <c r="CY14" s="1086"/>
      <c r="CZ14" s="108"/>
      <c r="DL14" s="108"/>
      <c r="DM14" s="108"/>
      <c r="DN14" s="108"/>
      <c r="DO14" s="108"/>
      <c r="DP14" s="108"/>
      <c r="DQ14" s="108"/>
      <c r="DR14" s="108"/>
      <c r="DW14" s="606"/>
    </row>
    <row r="15" spans="1:127" s="95" customFormat="1" ht="15" customHeight="1" x14ac:dyDescent="0.25">
      <c r="A15" s="1593" t="s">
        <v>1325</v>
      </c>
      <c r="B15" s="2123" t="s">
        <v>630</v>
      </c>
      <c r="C15" s="1334" t="s">
        <v>631</v>
      </c>
      <c r="D15" s="1142" t="s">
        <v>1616</v>
      </c>
      <c r="E15" s="387" t="s">
        <v>1617</v>
      </c>
      <c r="F15" s="531" t="s">
        <v>1618</v>
      </c>
      <c r="G15" s="394" t="s">
        <v>1619</v>
      </c>
      <c r="H15" s="395" t="s">
        <v>1620</v>
      </c>
      <c r="I15" s="394" t="s">
        <v>1621</v>
      </c>
      <c r="J15" s="395" t="s">
        <v>1622</v>
      </c>
      <c r="K15" s="394" t="s">
        <v>1623</v>
      </c>
      <c r="L15" s="395" t="s">
        <v>1624</v>
      </c>
      <c r="M15" s="394" t="s">
        <v>1625</v>
      </c>
      <c r="N15" s="395" t="s">
        <v>1626</v>
      </c>
      <c r="O15" s="394" t="s">
        <v>1627</v>
      </c>
      <c r="P15" s="395" t="s">
        <v>1628</v>
      </c>
      <c r="Q15" s="394" t="s">
        <v>1629</v>
      </c>
      <c r="R15" s="395" t="s">
        <v>1630</v>
      </c>
      <c r="S15" s="394" t="s">
        <v>1631</v>
      </c>
      <c r="T15" s="395" t="s">
        <v>1632</v>
      </c>
      <c r="U15" s="394" t="s">
        <v>1633</v>
      </c>
      <c r="V15" s="395" t="s">
        <v>1634</v>
      </c>
      <c r="W15" s="394" t="s">
        <v>1635</v>
      </c>
      <c r="X15" s="395" t="s">
        <v>1636</v>
      </c>
      <c r="Y15" s="394" t="s">
        <v>1637</v>
      </c>
      <c r="Z15" s="395" t="s">
        <v>1638</v>
      </c>
      <c r="AA15" s="394" t="s">
        <v>1639</v>
      </c>
      <c r="AB15" s="395" t="s">
        <v>1640</v>
      </c>
      <c r="AC15" s="394" t="s">
        <v>1641</v>
      </c>
      <c r="AD15" s="395" t="s">
        <v>1642</v>
      </c>
      <c r="AE15" s="394" t="s">
        <v>1643</v>
      </c>
      <c r="AF15" s="395" t="s">
        <v>1644</v>
      </c>
      <c r="AG15" s="394" t="s">
        <v>1645</v>
      </c>
      <c r="AH15" s="395" t="s">
        <v>1646</v>
      </c>
      <c r="AI15" s="394" t="s">
        <v>1647</v>
      </c>
      <c r="AJ15" s="395" t="s">
        <v>1648</v>
      </c>
      <c r="AK15" s="394" t="s">
        <v>1649</v>
      </c>
      <c r="AL15" s="395" t="s">
        <v>1650</v>
      </c>
      <c r="AM15" s="394" t="s">
        <v>1651</v>
      </c>
      <c r="AN15" s="406" t="s">
        <v>1652</v>
      </c>
      <c r="AO15" s="661" t="s">
        <v>1653</v>
      </c>
      <c r="AP15" s="649" t="s">
        <v>1654</v>
      </c>
      <c r="AQ15" s="462" t="s">
        <v>1655</v>
      </c>
      <c r="AR15" s="395" t="s">
        <v>1656</v>
      </c>
      <c r="AS15" s="462" t="s">
        <v>1657</v>
      </c>
      <c r="AT15" s="395" t="s">
        <v>1658</v>
      </c>
      <c r="AU15" s="461" t="s">
        <v>1659</v>
      </c>
      <c r="AV15" s="461" t="s">
        <v>1660</v>
      </c>
      <c r="AW15" s="461" t="s">
        <v>1661</v>
      </c>
      <c r="AX15" s="461" t="s">
        <v>1662</v>
      </c>
      <c r="AY15" s="461" t="s">
        <v>1663</v>
      </c>
      <c r="AZ15" s="1056" t="str">
        <f t="shared" ref="AZ15:AZ56" si="0">CB15&amp;CC15&amp;CD15&amp;CE15&amp;CF15&amp;CG15&amp;CH15&amp;CI15&amp;CJ15&amp;CK15&amp;CL15</f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5" s="110"/>
      <c r="BB15" s="110"/>
      <c r="BC15" s="108"/>
      <c r="CB15" s="191" t="str">
        <f t="shared" ref="CB15:CB27" si="1">IF(AND(F15&gt;0,OR(AO15=""))," * No olvide digitar la variable Gestantes. Digite Cero si no tiene.",IF(AO15&gt;F15," * La variable Gestante no puede ser Mayor al Total Mujeres.",""))</f>
        <v xml:space="preserve"> * La variable Gestante no puede ser Mayor al Total Mujeres.</v>
      </c>
      <c r="CC15" s="191" t="str">
        <f t="shared" ref="CC15:CC34" si="2">IF(AND(D15&gt;0,OR(AP15=""))," * No olvide digitar la variable Madre de hijo menor de 5 años. Digite Cero si no tiene.",IF(AP15&gt;D15," * La variable Madre de hijo menor de 5 años no puede ser Mayor al Total Mujeres.",""))</f>
        <v xml:space="preserve"> * La variable Madre de hijo menor de 5 años no puede ser Mayor al Total Mujeres.</v>
      </c>
      <c r="CD15" s="191" t="str">
        <f t="shared" ref="CD15:CD27" si="3">IF(AND(E15&gt;0,OR(AQ15=""))," * No olvide digitar la variable Pueblos Originarios Hombres. Digite Cero si no tiene.",IF(AQ15&gt;E15," * La variable Pueblos Originarios Hombres no puede ser Mayor al Total Hombres.",""))</f>
        <v xml:space="preserve"> * La variable Pueblos Originarios Hombres no puede ser Mayor al Total Hombres.</v>
      </c>
      <c r="CE15" s="191" t="str">
        <f t="shared" ref="CE15:CE26" si="4">IF(AND(F15&gt;0,OR(AR15=""))," * No olvide digitar la variable Pueblos Originarios Mujeres. Digite Cero si no tiene.",IF(AR15&gt;F15," * La variable Pueblos Originarios Mujeres no puede ser Mayor al Total Mujeres.",""))</f>
        <v xml:space="preserve"> * La variable Pueblos Originarios Mujeres no puede ser Mayor al Total Mujeres.</v>
      </c>
      <c r="CF15" s="191" t="str">
        <f t="shared" ref="CF15:CF27" si="5">IF(AND($E15&gt;0,OR(AS15=""))," * No olvide digitar la variable Migrantes Hombres. Digite Cero si no tiene.",IF(AS15&gt;$E15," * La variable Migrantes Hombres no puede ser Mayor al Total Hombres.",""))</f>
        <v xml:space="preserve"> * La variable Migrantes Hombres no puede ser Mayor al Total Hombres.</v>
      </c>
      <c r="CG15" s="191" t="str">
        <f t="shared" ref="CG15:CG27" si="6">IF(AND($F15&gt;0,OR(AT15=""))," * No olvide digitar la variable Migrantes Mujeres. Digite Cero si no tiene.",IF(AT15&gt;$F15," * La variable Migrantes Mujeres no puede ser Mayor al Total Mujeres.",""))</f>
        <v xml:space="preserve"> * La variable Migrantes Mujeres no puede ser Mayor al Total Mujeres.</v>
      </c>
      <c r="CH15" s="191" t="str">
        <f>IF(AND($D15&gt;0,OR(AU15=""))," * No olvide digitar la variable Niños, Niñas, Adolescentes y Jóvenes SENAME. Digite Cero si no tiene.",IF(AU15&gt;$D15," * La variable Niños, Niñas, Adolescentes y Jóvenes SENAME no puede ser Mayor al Total ambos sexos.",""))</f>
        <v xml:space="preserve"> * La variable Niños, Niñas, Adolescentes y Jóvenes SENAME no puede ser Mayor al Total ambos sexos.</v>
      </c>
      <c r="CI15" s="191" t="str">
        <f>IF(AND($D15&gt;0,OR(AV15=""))," * No olvide digitar la variable Niños y niñas Mejor Niñez. Digite Cero si no tiene.",IF(AV15&gt;$D15," * La variable Niños y niñas Mejor Niñez no puede ser Mayor al Total ambos sexos.",""))</f>
        <v xml:space="preserve"> * La variable Niños y niñas Mejor Niñez no puede ser Mayor al Total ambos sexos.</v>
      </c>
      <c r="CJ15" s="191" t="str">
        <f t="shared" ref="CJ15:CJ27" si="7">IF(AND(D15&gt;0,OR(AW15=""))," * No olvide digitar la variable Plan Cuidado Integral Elaborado. Digite Cero si no tiene.",IF($AW15&gt;$D15,"* La variable Plan Cuidado Integral Elaborado debe ser menor o igual al Total de Personas en control. ",""))</f>
        <v xml:space="preserve">* La variable Plan Cuidado Integral Elaborado debe ser menor o igual al Total de Personas en control. </v>
      </c>
      <c r="CK15" s="191" t="str">
        <f t="shared" ref="CK15:CK27" si="8">IF(AND(F15&gt;0,OR(AX15=""))," * No olvide digitar la variable Trans Masculino. (Digite Cero si no tiene).",IF(AX15&gt;F15," * La variable Trans Masculino no debe ser mayor al Total Mujeres.",""))</f>
        <v xml:space="preserve"> * La variable Trans Masculino no debe ser mayor al Total Mujeres.</v>
      </c>
      <c r="CL15" s="191" t="str">
        <f t="shared" ref="CL15:CL27" si="9">IF(AND(E15&gt;0,OR(AY15=""))," * No olvide digitar la variable Trans Femenino. (Digite Cero si no tiene).",IF(AY15&gt;E15," * La variable Trans Femenino no debe ser mayor al Total Hombre.",""))</f>
        <v xml:space="preserve"> * La variable Trans Femenino no debe ser mayor al Total Hombre.</v>
      </c>
      <c r="CM15" s="108"/>
      <c r="CN15" s="108"/>
      <c r="CO15" s="1047">
        <f t="shared" ref="CO15:CO27" si="10">IF(AND($F15&gt;0,OR(AO15="")),1,IF(AO15&gt;$F15,1,0))</f>
        <v>1</v>
      </c>
      <c r="CP15" s="1047">
        <f t="shared" ref="CP15:CP34" si="11">IF(AND($F15&gt;0,OR(AP15="")),1,IF(AP15&gt;$F15,1,0))</f>
        <v>1</v>
      </c>
      <c r="CQ15" s="1047">
        <f t="shared" ref="CQ15:CQ27" si="12">IF(AND($E15&gt;0,OR(AQ15="")),1,IF(AQ15&gt;$E15,1,0))</f>
        <v>1</v>
      </c>
      <c r="CR15" s="1047">
        <f t="shared" ref="CR15:CR34" si="13">IF(AND($F15&gt;0,OR(AR15="")),1,IF(AR15&gt;$F15,1,0))</f>
        <v>1</v>
      </c>
      <c r="CS15" s="1047">
        <f t="shared" ref="CS15:CS27" si="14">IF(AND($E15&gt;0,OR(AS15="")),1,IF(AS15&gt;$E15,1,0))</f>
        <v>1</v>
      </c>
      <c r="CT15" s="1047">
        <f t="shared" ref="CT15:CT34" si="15">IF(AND($F15&gt;0,OR(AT15="")),1,IF(AT15&gt;$F15,1,0))</f>
        <v>1</v>
      </c>
      <c r="CU15" s="1047">
        <f t="shared" ref="CU15:CU34" si="16">IF(AND($D15&gt;0,OR(AU15="")),1,IF(AU15&gt;$D15,1,0))</f>
        <v>1</v>
      </c>
      <c r="CV15" s="1047">
        <f t="shared" ref="CV15:CV34" si="17">IF(AND($D15&gt;0,OR(AV15="")),1,IF(AV15&gt;$D15,1,0))</f>
        <v>1</v>
      </c>
      <c r="CW15" s="1047">
        <f t="shared" ref="CW15:CW34" si="18">IF(AND($D15&gt;0,OR(AW15="")),1,IF(AW15&gt;$D15,1,0))</f>
        <v>1</v>
      </c>
      <c r="CX15" s="1047">
        <f t="shared" ref="CX15:CX27" si="19">IF(AND(F15&gt;0,OR(AX15="")),1,IF(AX15&gt;$F15,1,0))</f>
        <v>1</v>
      </c>
      <c r="CY15" s="1047">
        <f t="shared" ref="CY15:CY27" si="20">IF(AND(E15&gt;0,OR(AY15="")),1,IF(AY15&gt;$E15,1,0))</f>
        <v>1</v>
      </c>
      <c r="CZ15" s="108"/>
      <c r="DL15" s="108"/>
      <c r="DM15" s="108"/>
      <c r="DN15" s="108"/>
      <c r="DO15" s="108"/>
      <c r="DP15" s="108"/>
      <c r="DQ15" s="108"/>
      <c r="DR15" s="108"/>
      <c r="DW15" s="606"/>
    </row>
    <row r="16" spans="1:127" s="95" customFormat="1" ht="15" customHeight="1" x14ac:dyDescent="0.25">
      <c r="A16" s="1593" t="s">
        <v>1326</v>
      </c>
      <c r="B16" s="2124"/>
      <c r="C16" s="1335" t="s">
        <v>632</v>
      </c>
      <c r="D16" s="1143" t="s">
        <v>1616</v>
      </c>
      <c r="E16" s="391" t="s">
        <v>1617</v>
      </c>
      <c r="F16" s="386" t="s">
        <v>1618</v>
      </c>
      <c r="G16" s="417" t="s">
        <v>1619</v>
      </c>
      <c r="H16" s="418" t="s">
        <v>1620</v>
      </c>
      <c r="I16" s="417" t="s">
        <v>1621</v>
      </c>
      <c r="J16" s="418" t="s">
        <v>1622</v>
      </c>
      <c r="K16" s="417" t="s">
        <v>1623</v>
      </c>
      <c r="L16" s="418" t="s">
        <v>1624</v>
      </c>
      <c r="M16" s="417" t="s">
        <v>1625</v>
      </c>
      <c r="N16" s="418" t="s">
        <v>1626</v>
      </c>
      <c r="O16" s="417" t="s">
        <v>1627</v>
      </c>
      <c r="P16" s="418" t="s">
        <v>1628</v>
      </c>
      <c r="Q16" s="417" t="s">
        <v>1629</v>
      </c>
      <c r="R16" s="418" t="s">
        <v>1630</v>
      </c>
      <c r="S16" s="417" t="s">
        <v>1631</v>
      </c>
      <c r="T16" s="418" t="s">
        <v>1632</v>
      </c>
      <c r="U16" s="417" t="s">
        <v>1633</v>
      </c>
      <c r="V16" s="418" t="s">
        <v>1634</v>
      </c>
      <c r="W16" s="417" t="s">
        <v>1635</v>
      </c>
      <c r="X16" s="418" t="s">
        <v>1636</v>
      </c>
      <c r="Y16" s="417" t="s">
        <v>1637</v>
      </c>
      <c r="Z16" s="418" t="s">
        <v>1638</v>
      </c>
      <c r="AA16" s="417" t="s">
        <v>1639</v>
      </c>
      <c r="AB16" s="418" t="s">
        <v>1640</v>
      </c>
      <c r="AC16" s="417" t="s">
        <v>1641</v>
      </c>
      <c r="AD16" s="418" t="s">
        <v>1642</v>
      </c>
      <c r="AE16" s="417" t="s">
        <v>1643</v>
      </c>
      <c r="AF16" s="418" t="s">
        <v>1644</v>
      </c>
      <c r="AG16" s="417" t="s">
        <v>1645</v>
      </c>
      <c r="AH16" s="418" t="s">
        <v>1646</v>
      </c>
      <c r="AI16" s="417" t="s">
        <v>1647</v>
      </c>
      <c r="AJ16" s="418" t="s">
        <v>1648</v>
      </c>
      <c r="AK16" s="417" t="s">
        <v>1649</v>
      </c>
      <c r="AL16" s="418" t="s">
        <v>1650</v>
      </c>
      <c r="AM16" s="417" t="s">
        <v>1651</v>
      </c>
      <c r="AN16" s="419" t="s">
        <v>1652</v>
      </c>
      <c r="AO16" s="548" t="s">
        <v>1653</v>
      </c>
      <c r="AP16" s="655" t="s">
        <v>1654</v>
      </c>
      <c r="AQ16" s="468" t="s">
        <v>1655</v>
      </c>
      <c r="AR16" s="418" t="s">
        <v>1656</v>
      </c>
      <c r="AS16" s="468" t="s">
        <v>1657</v>
      </c>
      <c r="AT16" s="418" t="s">
        <v>1658</v>
      </c>
      <c r="AU16" s="432" t="s">
        <v>1659</v>
      </c>
      <c r="AV16" s="432" t="s">
        <v>1660</v>
      </c>
      <c r="AW16" s="432" t="s">
        <v>1661</v>
      </c>
      <c r="AX16" s="432" t="s">
        <v>1662</v>
      </c>
      <c r="AY16" s="432" t="s">
        <v>1663</v>
      </c>
      <c r="AZ16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6" s="110"/>
      <c r="BB16" s="110"/>
      <c r="BC16" s="108"/>
      <c r="CB16" s="191" t="str">
        <f t="shared" si="1"/>
        <v xml:space="preserve"> * La variable Gestante no puede ser Mayor al Total Mujeres.</v>
      </c>
      <c r="CC16" s="191" t="str">
        <f t="shared" si="2"/>
        <v xml:space="preserve"> * La variable Madre de hijo menor de 5 años no puede ser Mayor al Total Mujeres.</v>
      </c>
      <c r="CD16" s="191" t="str">
        <f t="shared" si="3"/>
        <v xml:space="preserve"> * La variable Pueblos Originarios Hombres no puede ser Mayor al Total Hombres.</v>
      </c>
      <c r="CE16" s="191" t="str">
        <f t="shared" si="4"/>
        <v xml:space="preserve"> * La variable Pueblos Originarios Mujeres no puede ser Mayor al Total Mujeres.</v>
      </c>
      <c r="CF16" s="191" t="str">
        <f t="shared" si="5"/>
        <v xml:space="preserve"> * La variable Migrantes Hombres no puede ser Mayor al Total Hombres.</v>
      </c>
      <c r="CG16" s="191" t="str">
        <f t="shared" si="6"/>
        <v xml:space="preserve"> * La variable Migrantes Mujeres no puede ser Mayor al Total Mujeres.</v>
      </c>
      <c r="CH16" s="191" t="str">
        <f t="shared" ref="CH16:CH43" si="21">IF(AND($D16&gt;0,OR(AU16=""))," * No olvide digitar la variable Niños, Niñas, Adolescentes y Jóvenes SENAME. Digite Cero si no tiene.",IF(AU16&gt;$D16," * La variable Niños, Niñas, Adolescentes y Jóvenes SENAME no puede ser Mayor al Total ambos sexos.",""))</f>
        <v xml:space="preserve"> * La variable Niños, Niñas, Adolescentes y Jóvenes SENAME no puede ser Mayor al Total ambos sexos.</v>
      </c>
      <c r="CI16" s="191" t="str">
        <f t="shared" ref="CI16:CI43" si="22">IF(AND($D16&gt;0,OR(AV16=""))," * No olvide digitar la variable Niños y niñas Mejor Niñez. Digite Cero si no tiene.",IF(AV16&gt;$D16," * La variable Niños y niñas Mejor Niñez no puede ser Mayor al Total ambos sexos.",""))</f>
        <v xml:space="preserve"> * La variable Niños y niñas Mejor Niñez no puede ser Mayor al Total ambos sexos.</v>
      </c>
      <c r="CJ16" s="191" t="str">
        <f t="shared" si="7"/>
        <v xml:space="preserve">* La variable Plan Cuidado Integral Elaborado debe ser menor o igual al Total de Personas en control. </v>
      </c>
      <c r="CK16" s="191" t="str">
        <f t="shared" si="8"/>
        <v xml:space="preserve"> * La variable Trans Masculino no debe ser mayor al Total Mujeres.</v>
      </c>
      <c r="CL16" s="191" t="str">
        <f t="shared" si="9"/>
        <v xml:space="preserve"> * La variable Trans Femenino no debe ser mayor al Total Hombre.</v>
      </c>
      <c r="CM16" s="108"/>
      <c r="CN16" s="108"/>
      <c r="CO16" s="1047">
        <f t="shared" si="10"/>
        <v>1</v>
      </c>
      <c r="CP16" s="1047">
        <f t="shared" si="11"/>
        <v>1</v>
      </c>
      <c r="CQ16" s="1047">
        <f t="shared" si="12"/>
        <v>1</v>
      </c>
      <c r="CR16" s="1047">
        <f t="shared" si="13"/>
        <v>1</v>
      </c>
      <c r="CS16" s="1047">
        <f t="shared" si="14"/>
        <v>1</v>
      </c>
      <c r="CT16" s="1047">
        <f t="shared" si="15"/>
        <v>1</v>
      </c>
      <c r="CU16" s="1047">
        <f t="shared" si="16"/>
        <v>1</v>
      </c>
      <c r="CV16" s="1047">
        <f t="shared" si="17"/>
        <v>1</v>
      </c>
      <c r="CW16" s="1047">
        <f t="shared" si="18"/>
        <v>1</v>
      </c>
      <c r="CX16" s="1047">
        <f t="shared" si="19"/>
        <v>1</v>
      </c>
      <c r="CY16" s="1047">
        <f t="shared" si="20"/>
        <v>1</v>
      </c>
      <c r="CZ16" s="108"/>
      <c r="DL16" s="108"/>
      <c r="DM16" s="108"/>
      <c r="DN16" s="108"/>
      <c r="DO16" s="108"/>
      <c r="DP16" s="108"/>
      <c r="DQ16" s="108"/>
      <c r="DR16" s="108"/>
      <c r="DW16" s="606"/>
    </row>
    <row r="17" spans="1:127" s="95" customFormat="1" ht="15" customHeight="1" x14ac:dyDescent="0.25">
      <c r="A17" s="1593" t="s">
        <v>1327</v>
      </c>
      <c r="B17" s="2123" t="s">
        <v>633</v>
      </c>
      <c r="C17" s="1334" t="s">
        <v>634</v>
      </c>
      <c r="D17" s="1142" t="s">
        <v>1616</v>
      </c>
      <c r="E17" s="387" t="s">
        <v>1617</v>
      </c>
      <c r="F17" s="531" t="s">
        <v>1618</v>
      </c>
      <c r="G17" s="394" t="s">
        <v>1619</v>
      </c>
      <c r="H17" s="395" t="s">
        <v>1620</v>
      </c>
      <c r="I17" s="394" t="s">
        <v>1621</v>
      </c>
      <c r="J17" s="395" t="s">
        <v>1622</v>
      </c>
      <c r="K17" s="394" t="s">
        <v>1623</v>
      </c>
      <c r="L17" s="395" t="s">
        <v>1624</v>
      </c>
      <c r="M17" s="394" t="s">
        <v>1625</v>
      </c>
      <c r="N17" s="395" t="s">
        <v>1626</v>
      </c>
      <c r="O17" s="394" t="s">
        <v>1627</v>
      </c>
      <c r="P17" s="395" t="s">
        <v>1628</v>
      </c>
      <c r="Q17" s="394" t="s">
        <v>1629</v>
      </c>
      <c r="R17" s="395" t="s">
        <v>1630</v>
      </c>
      <c r="S17" s="394" t="s">
        <v>1631</v>
      </c>
      <c r="T17" s="395" t="s">
        <v>1632</v>
      </c>
      <c r="U17" s="394" t="s">
        <v>1633</v>
      </c>
      <c r="V17" s="395" t="s">
        <v>1634</v>
      </c>
      <c r="W17" s="394" t="s">
        <v>1635</v>
      </c>
      <c r="X17" s="395" t="s">
        <v>1636</v>
      </c>
      <c r="Y17" s="394" t="s">
        <v>1637</v>
      </c>
      <c r="Z17" s="395" t="s">
        <v>1638</v>
      </c>
      <c r="AA17" s="394" t="s">
        <v>1639</v>
      </c>
      <c r="AB17" s="395" t="s">
        <v>1640</v>
      </c>
      <c r="AC17" s="394" t="s">
        <v>1641</v>
      </c>
      <c r="AD17" s="395" t="s">
        <v>1642</v>
      </c>
      <c r="AE17" s="394" t="s">
        <v>1643</v>
      </c>
      <c r="AF17" s="395" t="s">
        <v>1644</v>
      </c>
      <c r="AG17" s="394" t="s">
        <v>1645</v>
      </c>
      <c r="AH17" s="395" t="s">
        <v>1646</v>
      </c>
      <c r="AI17" s="394" t="s">
        <v>1647</v>
      </c>
      <c r="AJ17" s="395" t="s">
        <v>1648</v>
      </c>
      <c r="AK17" s="394" t="s">
        <v>1649</v>
      </c>
      <c r="AL17" s="395" t="s">
        <v>1650</v>
      </c>
      <c r="AM17" s="394" t="s">
        <v>1651</v>
      </c>
      <c r="AN17" s="406" t="s">
        <v>1652</v>
      </c>
      <c r="AO17" s="661" t="s">
        <v>1653</v>
      </c>
      <c r="AP17" s="649" t="s">
        <v>1654</v>
      </c>
      <c r="AQ17" s="462" t="s">
        <v>1655</v>
      </c>
      <c r="AR17" s="395" t="s">
        <v>1656</v>
      </c>
      <c r="AS17" s="462" t="s">
        <v>1657</v>
      </c>
      <c r="AT17" s="395" t="s">
        <v>1658</v>
      </c>
      <c r="AU17" s="461" t="s">
        <v>1659</v>
      </c>
      <c r="AV17" s="461" t="s">
        <v>1660</v>
      </c>
      <c r="AW17" s="461" t="s">
        <v>1661</v>
      </c>
      <c r="AX17" s="461" t="s">
        <v>1662</v>
      </c>
      <c r="AY17" s="461" t="s">
        <v>1663</v>
      </c>
      <c r="AZ17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7" s="110"/>
      <c r="BB17" s="110"/>
      <c r="BC17" s="108"/>
      <c r="CB17" s="191" t="str">
        <f t="shared" si="1"/>
        <v xml:space="preserve"> * La variable Gestante no puede ser Mayor al Total Mujeres.</v>
      </c>
      <c r="CC17" s="191" t="str">
        <f t="shared" si="2"/>
        <v xml:space="preserve"> * La variable Madre de hijo menor de 5 años no puede ser Mayor al Total Mujeres.</v>
      </c>
      <c r="CD17" s="191" t="str">
        <f t="shared" si="3"/>
        <v xml:space="preserve"> * La variable Pueblos Originarios Hombres no puede ser Mayor al Total Hombres.</v>
      </c>
      <c r="CE17" s="191" t="str">
        <f t="shared" si="4"/>
        <v xml:space="preserve"> * La variable Pueblos Originarios Mujeres no puede ser Mayor al Total Mujeres.</v>
      </c>
      <c r="CF17" s="191" t="str">
        <f t="shared" si="5"/>
        <v xml:space="preserve"> * La variable Migrantes Hombres no puede ser Mayor al Total Hombres.</v>
      </c>
      <c r="CG17" s="191" t="str">
        <f t="shared" si="6"/>
        <v xml:space="preserve"> * La variable Migrantes Mujeres no puede ser Mayor al Total Mujeres.</v>
      </c>
      <c r="CH17" s="191" t="str">
        <f t="shared" si="21"/>
        <v xml:space="preserve"> * La variable Niños, Niñas, Adolescentes y Jóvenes SENAME no puede ser Mayor al Total ambos sexos.</v>
      </c>
      <c r="CI17" s="191" t="str">
        <f t="shared" si="22"/>
        <v xml:space="preserve"> * La variable Niños y niñas Mejor Niñez no puede ser Mayor al Total ambos sexos.</v>
      </c>
      <c r="CJ17" s="191" t="str">
        <f t="shared" si="7"/>
        <v xml:space="preserve">* La variable Plan Cuidado Integral Elaborado debe ser menor o igual al Total de Personas en control. </v>
      </c>
      <c r="CK17" s="191" t="str">
        <f t="shared" si="8"/>
        <v xml:space="preserve"> * La variable Trans Masculino no debe ser mayor al Total Mujeres.</v>
      </c>
      <c r="CL17" s="191" t="str">
        <f t="shared" si="9"/>
        <v xml:space="preserve"> * La variable Trans Femenino no debe ser mayor al Total Hombre.</v>
      </c>
      <c r="CM17" s="108"/>
      <c r="CN17" s="108"/>
      <c r="CO17" s="1047">
        <f t="shared" si="10"/>
        <v>1</v>
      </c>
      <c r="CP17" s="1047">
        <f t="shared" si="11"/>
        <v>1</v>
      </c>
      <c r="CQ17" s="1047">
        <f t="shared" si="12"/>
        <v>1</v>
      </c>
      <c r="CR17" s="1047">
        <f t="shared" si="13"/>
        <v>1</v>
      </c>
      <c r="CS17" s="1047">
        <f t="shared" si="14"/>
        <v>1</v>
      </c>
      <c r="CT17" s="1047">
        <f t="shared" si="15"/>
        <v>1</v>
      </c>
      <c r="CU17" s="1047">
        <f t="shared" si="16"/>
        <v>1</v>
      </c>
      <c r="CV17" s="1047">
        <f t="shared" si="17"/>
        <v>1</v>
      </c>
      <c r="CW17" s="1047">
        <f t="shared" si="18"/>
        <v>1</v>
      </c>
      <c r="CX17" s="1047">
        <f t="shared" si="19"/>
        <v>1</v>
      </c>
      <c r="CY17" s="1047">
        <f t="shared" si="20"/>
        <v>1</v>
      </c>
      <c r="CZ17" s="108"/>
      <c r="DL17" s="108"/>
      <c r="DM17" s="108"/>
      <c r="DN17" s="108"/>
      <c r="DO17" s="108"/>
      <c r="DP17" s="108"/>
      <c r="DQ17" s="108"/>
      <c r="DR17" s="108"/>
      <c r="DW17" s="606"/>
    </row>
    <row r="18" spans="1:127" s="95" customFormat="1" ht="15" customHeight="1" x14ac:dyDescent="0.25">
      <c r="A18" s="1593" t="s">
        <v>1328</v>
      </c>
      <c r="B18" s="2143"/>
      <c r="C18" s="1336" t="s">
        <v>632</v>
      </c>
      <c r="D18" s="1143" t="s">
        <v>1616</v>
      </c>
      <c r="E18" s="391" t="s">
        <v>1617</v>
      </c>
      <c r="F18" s="386" t="s">
        <v>1618</v>
      </c>
      <c r="G18" s="417" t="s">
        <v>1619</v>
      </c>
      <c r="H18" s="418" t="s">
        <v>1620</v>
      </c>
      <c r="I18" s="417" t="s">
        <v>1621</v>
      </c>
      <c r="J18" s="418" t="s">
        <v>1622</v>
      </c>
      <c r="K18" s="417" t="s">
        <v>1623</v>
      </c>
      <c r="L18" s="418" t="s">
        <v>1624</v>
      </c>
      <c r="M18" s="417" t="s">
        <v>1625</v>
      </c>
      <c r="N18" s="418" t="s">
        <v>1626</v>
      </c>
      <c r="O18" s="417" t="s">
        <v>1627</v>
      </c>
      <c r="P18" s="418" t="s">
        <v>1628</v>
      </c>
      <c r="Q18" s="417" t="s">
        <v>1629</v>
      </c>
      <c r="R18" s="418" t="s">
        <v>1630</v>
      </c>
      <c r="S18" s="417" t="s">
        <v>1631</v>
      </c>
      <c r="T18" s="418" t="s">
        <v>1632</v>
      </c>
      <c r="U18" s="417" t="s">
        <v>1633</v>
      </c>
      <c r="V18" s="418" t="s">
        <v>1634</v>
      </c>
      <c r="W18" s="417" t="s">
        <v>1635</v>
      </c>
      <c r="X18" s="418" t="s">
        <v>1636</v>
      </c>
      <c r="Y18" s="417" t="s">
        <v>1637</v>
      </c>
      <c r="Z18" s="418" t="s">
        <v>1638</v>
      </c>
      <c r="AA18" s="417" t="s">
        <v>1639</v>
      </c>
      <c r="AB18" s="418" t="s">
        <v>1640</v>
      </c>
      <c r="AC18" s="417" t="s">
        <v>1641</v>
      </c>
      <c r="AD18" s="418" t="s">
        <v>1642</v>
      </c>
      <c r="AE18" s="417" t="s">
        <v>1643</v>
      </c>
      <c r="AF18" s="418" t="s">
        <v>1644</v>
      </c>
      <c r="AG18" s="417" t="s">
        <v>1645</v>
      </c>
      <c r="AH18" s="418" t="s">
        <v>1646</v>
      </c>
      <c r="AI18" s="417" t="s">
        <v>1647</v>
      </c>
      <c r="AJ18" s="418" t="s">
        <v>1648</v>
      </c>
      <c r="AK18" s="417" t="s">
        <v>1649</v>
      </c>
      <c r="AL18" s="418" t="s">
        <v>1650</v>
      </c>
      <c r="AM18" s="417" t="s">
        <v>1651</v>
      </c>
      <c r="AN18" s="419" t="s">
        <v>1652</v>
      </c>
      <c r="AO18" s="548" t="s">
        <v>1653</v>
      </c>
      <c r="AP18" s="655" t="s">
        <v>1654</v>
      </c>
      <c r="AQ18" s="468" t="s">
        <v>1655</v>
      </c>
      <c r="AR18" s="418" t="s">
        <v>1656</v>
      </c>
      <c r="AS18" s="468" t="s">
        <v>1657</v>
      </c>
      <c r="AT18" s="418" t="s">
        <v>1658</v>
      </c>
      <c r="AU18" s="432" t="s">
        <v>1659</v>
      </c>
      <c r="AV18" s="432" t="s">
        <v>1660</v>
      </c>
      <c r="AW18" s="432" t="s">
        <v>1661</v>
      </c>
      <c r="AX18" s="432" t="s">
        <v>1662</v>
      </c>
      <c r="AY18" s="432" t="s">
        <v>1663</v>
      </c>
      <c r="AZ18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8" s="110"/>
      <c r="BB18" s="110"/>
      <c r="BC18" s="108"/>
      <c r="CB18" s="191" t="str">
        <f t="shared" si="1"/>
        <v xml:space="preserve"> * La variable Gestante no puede ser Mayor al Total Mujeres.</v>
      </c>
      <c r="CC18" s="191" t="str">
        <f t="shared" si="2"/>
        <v xml:space="preserve"> * La variable Madre de hijo menor de 5 años no puede ser Mayor al Total Mujeres.</v>
      </c>
      <c r="CD18" s="191" t="str">
        <f t="shared" si="3"/>
        <v xml:space="preserve"> * La variable Pueblos Originarios Hombres no puede ser Mayor al Total Hombres.</v>
      </c>
      <c r="CE18" s="191" t="str">
        <f t="shared" si="4"/>
        <v xml:space="preserve"> * La variable Pueblos Originarios Mujeres no puede ser Mayor al Total Mujeres.</v>
      </c>
      <c r="CF18" s="191" t="str">
        <f t="shared" si="5"/>
        <v xml:space="preserve"> * La variable Migrantes Hombres no puede ser Mayor al Total Hombres.</v>
      </c>
      <c r="CG18" s="191" t="str">
        <f t="shared" si="6"/>
        <v xml:space="preserve"> * La variable Migrantes Mujeres no puede ser Mayor al Total Mujeres.</v>
      </c>
      <c r="CH18" s="191" t="str">
        <f t="shared" si="21"/>
        <v xml:space="preserve"> * La variable Niños, Niñas, Adolescentes y Jóvenes SENAME no puede ser Mayor al Total ambos sexos.</v>
      </c>
      <c r="CI18" s="191" t="str">
        <f t="shared" si="22"/>
        <v xml:space="preserve"> * La variable Niños y niñas Mejor Niñez no puede ser Mayor al Total ambos sexos.</v>
      </c>
      <c r="CJ18" s="191" t="str">
        <f t="shared" si="7"/>
        <v xml:space="preserve">* La variable Plan Cuidado Integral Elaborado debe ser menor o igual al Total de Personas en control. </v>
      </c>
      <c r="CK18" s="191" t="str">
        <f t="shared" si="8"/>
        <v xml:space="preserve"> * La variable Trans Masculino no debe ser mayor al Total Mujeres.</v>
      </c>
      <c r="CL18" s="191" t="str">
        <f t="shared" si="9"/>
        <v xml:space="preserve"> * La variable Trans Femenino no debe ser mayor al Total Hombre.</v>
      </c>
      <c r="CM18" s="108"/>
      <c r="CN18" s="108"/>
      <c r="CO18" s="1047">
        <f t="shared" si="10"/>
        <v>1</v>
      </c>
      <c r="CP18" s="1047">
        <f t="shared" si="11"/>
        <v>1</v>
      </c>
      <c r="CQ18" s="1047">
        <f t="shared" si="12"/>
        <v>1</v>
      </c>
      <c r="CR18" s="1047">
        <f t="shared" si="13"/>
        <v>1</v>
      </c>
      <c r="CS18" s="1047">
        <f t="shared" si="14"/>
        <v>1</v>
      </c>
      <c r="CT18" s="1047">
        <f t="shared" si="15"/>
        <v>1</v>
      </c>
      <c r="CU18" s="1047">
        <f t="shared" si="16"/>
        <v>1</v>
      </c>
      <c r="CV18" s="1047">
        <f t="shared" si="17"/>
        <v>1</v>
      </c>
      <c r="CW18" s="1047">
        <f t="shared" si="18"/>
        <v>1</v>
      </c>
      <c r="CX18" s="1047">
        <f t="shared" si="19"/>
        <v>1</v>
      </c>
      <c r="CY18" s="1047">
        <f t="shared" si="20"/>
        <v>1</v>
      </c>
      <c r="CZ18" s="108"/>
      <c r="DL18" s="108"/>
      <c r="DM18" s="108"/>
      <c r="DN18" s="108"/>
      <c r="DO18" s="108"/>
      <c r="DP18" s="108"/>
      <c r="DQ18" s="108"/>
      <c r="DR18" s="108"/>
      <c r="DW18" s="606"/>
    </row>
    <row r="19" spans="1:127" s="95" customFormat="1" ht="15" customHeight="1" x14ac:dyDescent="0.25">
      <c r="A19" s="1593" t="s">
        <v>1329</v>
      </c>
      <c r="B19" s="2123" t="s">
        <v>635</v>
      </c>
      <c r="C19" s="1334" t="s">
        <v>631</v>
      </c>
      <c r="D19" s="1142" t="s">
        <v>1616</v>
      </c>
      <c r="E19" s="387" t="s">
        <v>1617</v>
      </c>
      <c r="F19" s="531" t="s">
        <v>1618</v>
      </c>
      <c r="G19" s="394" t="s">
        <v>1619</v>
      </c>
      <c r="H19" s="395" t="s">
        <v>1620</v>
      </c>
      <c r="I19" s="394" t="s">
        <v>1621</v>
      </c>
      <c r="J19" s="395" t="s">
        <v>1622</v>
      </c>
      <c r="K19" s="394" t="s">
        <v>1623</v>
      </c>
      <c r="L19" s="395" t="s">
        <v>1624</v>
      </c>
      <c r="M19" s="394" t="s">
        <v>1625</v>
      </c>
      <c r="N19" s="395" t="s">
        <v>1626</v>
      </c>
      <c r="O19" s="394" t="s">
        <v>1627</v>
      </c>
      <c r="P19" s="395" t="s">
        <v>1628</v>
      </c>
      <c r="Q19" s="394" t="s">
        <v>1629</v>
      </c>
      <c r="R19" s="395" t="s">
        <v>1630</v>
      </c>
      <c r="S19" s="394" t="s">
        <v>1631</v>
      </c>
      <c r="T19" s="395" t="s">
        <v>1632</v>
      </c>
      <c r="U19" s="394" t="s">
        <v>1633</v>
      </c>
      <c r="V19" s="395" t="s">
        <v>1634</v>
      </c>
      <c r="W19" s="394" t="s">
        <v>1635</v>
      </c>
      <c r="X19" s="395" t="s">
        <v>1636</v>
      </c>
      <c r="Y19" s="394" t="s">
        <v>1637</v>
      </c>
      <c r="Z19" s="395" t="s">
        <v>1638</v>
      </c>
      <c r="AA19" s="394" t="s">
        <v>1639</v>
      </c>
      <c r="AB19" s="395" t="s">
        <v>1640</v>
      </c>
      <c r="AC19" s="394" t="s">
        <v>1641</v>
      </c>
      <c r="AD19" s="395" t="s">
        <v>1642</v>
      </c>
      <c r="AE19" s="394" t="s">
        <v>1643</v>
      </c>
      <c r="AF19" s="395" t="s">
        <v>1644</v>
      </c>
      <c r="AG19" s="394" t="s">
        <v>1645</v>
      </c>
      <c r="AH19" s="395" t="s">
        <v>1646</v>
      </c>
      <c r="AI19" s="394" t="s">
        <v>1647</v>
      </c>
      <c r="AJ19" s="395" t="s">
        <v>1648</v>
      </c>
      <c r="AK19" s="394" t="s">
        <v>1649</v>
      </c>
      <c r="AL19" s="395" t="s">
        <v>1650</v>
      </c>
      <c r="AM19" s="394" t="s">
        <v>1651</v>
      </c>
      <c r="AN19" s="406" t="s">
        <v>1652</v>
      </c>
      <c r="AO19" s="661" t="s">
        <v>1653</v>
      </c>
      <c r="AP19" s="649" t="s">
        <v>1654</v>
      </c>
      <c r="AQ19" s="462" t="s">
        <v>1655</v>
      </c>
      <c r="AR19" s="395" t="s">
        <v>1656</v>
      </c>
      <c r="AS19" s="462" t="s">
        <v>1657</v>
      </c>
      <c r="AT19" s="395" t="s">
        <v>1658</v>
      </c>
      <c r="AU19" s="461" t="s">
        <v>1659</v>
      </c>
      <c r="AV19" s="461" t="s">
        <v>1660</v>
      </c>
      <c r="AW19" s="461" t="s">
        <v>1661</v>
      </c>
      <c r="AX19" s="461" t="s">
        <v>1662</v>
      </c>
      <c r="AY19" s="461" t="s">
        <v>1663</v>
      </c>
      <c r="AZ19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9" s="110"/>
      <c r="BB19" s="110"/>
      <c r="BC19" s="108"/>
      <c r="CB19" s="191" t="str">
        <f t="shared" si="1"/>
        <v xml:space="preserve"> * La variable Gestante no puede ser Mayor al Total Mujeres.</v>
      </c>
      <c r="CC19" s="191" t="str">
        <f t="shared" si="2"/>
        <v xml:space="preserve"> * La variable Madre de hijo menor de 5 años no puede ser Mayor al Total Mujeres.</v>
      </c>
      <c r="CD19" s="191" t="str">
        <f t="shared" si="3"/>
        <v xml:space="preserve"> * La variable Pueblos Originarios Hombres no puede ser Mayor al Total Hombres.</v>
      </c>
      <c r="CE19" s="191" t="str">
        <f t="shared" si="4"/>
        <v xml:space="preserve"> * La variable Pueblos Originarios Mujeres no puede ser Mayor al Total Mujeres.</v>
      </c>
      <c r="CF19" s="191" t="str">
        <f t="shared" si="5"/>
        <v xml:space="preserve"> * La variable Migrantes Hombres no puede ser Mayor al Total Hombres.</v>
      </c>
      <c r="CG19" s="191" t="str">
        <f t="shared" si="6"/>
        <v xml:space="preserve"> * La variable Migrantes Mujeres no puede ser Mayor al Total Mujeres.</v>
      </c>
      <c r="CH19" s="191" t="str">
        <f t="shared" si="21"/>
        <v xml:space="preserve"> * La variable Niños, Niñas, Adolescentes y Jóvenes SENAME no puede ser Mayor al Total ambos sexos.</v>
      </c>
      <c r="CI19" s="191" t="str">
        <f t="shared" si="22"/>
        <v xml:space="preserve"> * La variable Niños y niñas Mejor Niñez no puede ser Mayor al Total ambos sexos.</v>
      </c>
      <c r="CJ19" s="191" t="str">
        <f t="shared" si="7"/>
        <v xml:space="preserve">* La variable Plan Cuidado Integral Elaborado debe ser menor o igual al Total de Personas en control. </v>
      </c>
      <c r="CK19" s="191" t="str">
        <f t="shared" si="8"/>
        <v xml:space="preserve"> * La variable Trans Masculino no debe ser mayor al Total Mujeres.</v>
      </c>
      <c r="CL19" s="191" t="str">
        <f t="shared" si="9"/>
        <v xml:space="preserve"> * La variable Trans Femenino no debe ser mayor al Total Hombre.</v>
      </c>
      <c r="CM19" s="108"/>
      <c r="CN19" s="108"/>
      <c r="CO19" s="1047">
        <f t="shared" si="10"/>
        <v>1</v>
      </c>
      <c r="CP19" s="1047">
        <f t="shared" si="11"/>
        <v>1</v>
      </c>
      <c r="CQ19" s="1047">
        <f t="shared" si="12"/>
        <v>1</v>
      </c>
      <c r="CR19" s="1047">
        <f t="shared" si="13"/>
        <v>1</v>
      </c>
      <c r="CS19" s="1047">
        <f t="shared" si="14"/>
        <v>1</v>
      </c>
      <c r="CT19" s="1047">
        <f t="shared" si="15"/>
        <v>1</v>
      </c>
      <c r="CU19" s="1047">
        <f t="shared" si="16"/>
        <v>1</v>
      </c>
      <c r="CV19" s="1047">
        <f t="shared" si="17"/>
        <v>1</v>
      </c>
      <c r="CW19" s="1047">
        <f t="shared" si="18"/>
        <v>1</v>
      </c>
      <c r="CX19" s="1047">
        <f t="shared" si="19"/>
        <v>1</v>
      </c>
      <c r="CY19" s="1047">
        <f t="shared" si="20"/>
        <v>1</v>
      </c>
      <c r="CZ19" s="108"/>
      <c r="DL19" s="108"/>
      <c r="DM19" s="108"/>
      <c r="DN19" s="108"/>
      <c r="DO19" s="108"/>
      <c r="DP19" s="108"/>
      <c r="DQ19" s="108"/>
      <c r="DR19" s="108"/>
      <c r="DS19" s="108"/>
      <c r="DT19" s="108"/>
      <c r="DU19" s="108"/>
      <c r="DW19" s="606"/>
    </row>
    <row r="20" spans="1:127" s="95" customFormat="1" ht="15" customHeight="1" x14ac:dyDescent="0.25">
      <c r="A20" s="1593" t="s">
        <v>1330</v>
      </c>
      <c r="B20" s="2143"/>
      <c r="C20" s="1336" t="s">
        <v>632</v>
      </c>
      <c r="D20" s="1143" t="s">
        <v>1616</v>
      </c>
      <c r="E20" s="391" t="s">
        <v>1617</v>
      </c>
      <c r="F20" s="532" t="s">
        <v>1618</v>
      </c>
      <c r="G20" s="403" t="s">
        <v>1619</v>
      </c>
      <c r="H20" s="404" t="s">
        <v>1620</v>
      </c>
      <c r="I20" s="403" t="s">
        <v>1621</v>
      </c>
      <c r="J20" s="404" t="s">
        <v>1622</v>
      </c>
      <c r="K20" s="403" t="s">
        <v>1623</v>
      </c>
      <c r="L20" s="404" t="s">
        <v>1624</v>
      </c>
      <c r="M20" s="403" t="s">
        <v>1625</v>
      </c>
      <c r="N20" s="404" t="s">
        <v>1626</v>
      </c>
      <c r="O20" s="403" t="s">
        <v>1627</v>
      </c>
      <c r="P20" s="404" t="s">
        <v>1628</v>
      </c>
      <c r="Q20" s="403" t="s">
        <v>1629</v>
      </c>
      <c r="R20" s="404" t="s">
        <v>1630</v>
      </c>
      <c r="S20" s="403" t="s">
        <v>1631</v>
      </c>
      <c r="T20" s="404" t="s">
        <v>1632</v>
      </c>
      <c r="U20" s="403" t="s">
        <v>1633</v>
      </c>
      <c r="V20" s="404" t="s">
        <v>1634</v>
      </c>
      <c r="W20" s="403" t="s">
        <v>1635</v>
      </c>
      <c r="X20" s="404" t="s">
        <v>1636</v>
      </c>
      <c r="Y20" s="403" t="s">
        <v>1637</v>
      </c>
      <c r="Z20" s="404" t="s">
        <v>1638</v>
      </c>
      <c r="AA20" s="403" t="s">
        <v>1639</v>
      </c>
      <c r="AB20" s="404" t="s">
        <v>1640</v>
      </c>
      <c r="AC20" s="403" t="s">
        <v>1641</v>
      </c>
      <c r="AD20" s="404" t="s">
        <v>1642</v>
      </c>
      <c r="AE20" s="403" t="s">
        <v>1643</v>
      </c>
      <c r="AF20" s="404" t="s">
        <v>1644</v>
      </c>
      <c r="AG20" s="403" t="s">
        <v>1645</v>
      </c>
      <c r="AH20" s="404" t="s">
        <v>1646</v>
      </c>
      <c r="AI20" s="403" t="s">
        <v>1647</v>
      </c>
      <c r="AJ20" s="404" t="s">
        <v>1648</v>
      </c>
      <c r="AK20" s="403" t="s">
        <v>1649</v>
      </c>
      <c r="AL20" s="404" t="s">
        <v>1650</v>
      </c>
      <c r="AM20" s="403" t="s">
        <v>1651</v>
      </c>
      <c r="AN20" s="431" t="s">
        <v>1652</v>
      </c>
      <c r="AO20" s="662" t="s">
        <v>1653</v>
      </c>
      <c r="AP20" s="652" t="s">
        <v>1654</v>
      </c>
      <c r="AQ20" s="464" t="s">
        <v>1655</v>
      </c>
      <c r="AR20" s="404" t="s">
        <v>1656</v>
      </c>
      <c r="AS20" s="464" t="s">
        <v>1657</v>
      </c>
      <c r="AT20" s="404" t="s">
        <v>1658</v>
      </c>
      <c r="AU20" s="442" t="s">
        <v>1659</v>
      </c>
      <c r="AV20" s="442" t="s">
        <v>1660</v>
      </c>
      <c r="AW20" s="442" t="s">
        <v>1661</v>
      </c>
      <c r="AX20" s="442" t="s">
        <v>1662</v>
      </c>
      <c r="AY20" s="442" t="s">
        <v>1663</v>
      </c>
      <c r="AZ20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0" s="110"/>
      <c r="BB20" s="110"/>
      <c r="BC20" s="108"/>
      <c r="CB20" s="191" t="str">
        <f t="shared" si="1"/>
        <v xml:space="preserve"> * La variable Gestante no puede ser Mayor al Total Mujeres.</v>
      </c>
      <c r="CC20" s="191" t="str">
        <f t="shared" si="2"/>
        <v xml:space="preserve"> * La variable Madre de hijo menor de 5 años no puede ser Mayor al Total Mujeres.</v>
      </c>
      <c r="CD20" s="191" t="str">
        <f t="shared" si="3"/>
        <v xml:space="preserve"> * La variable Pueblos Originarios Hombres no puede ser Mayor al Total Hombres.</v>
      </c>
      <c r="CE20" s="191" t="str">
        <f t="shared" si="4"/>
        <v xml:space="preserve"> * La variable Pueblos Originarios Mujeres no puede ser Mayor al Total Mujeres.</v>
      </c>
      <c r="CF20" s="191" t="str">
        <f t="shared" si="5"/>
        <v xml:space="preserve"> * La variable Migrantes Hombres no puede ser Mayor al Total Hombres.</v>
      </c>
      <c r="CG20" s="191" t="str">
        <f t="shared" si="6"/>
        <v xml:space="preserve"> * La variable Migrantes Mujeres no puede ser Mayor al Total Mujeres.</v>
      </c>
      <c r="CH20" s="191" t="str">
        <f t="shared" si="21"/>
        <v xml:space="preserve"> * La variable Niños, Niñas, Adolescentes y Jóvenes SENAME no puede ser Mayor al Total ambos sexos.</v>
      </c>
      <c r="CI20" s="191" t="str">
        <f t="shared" si="22"/>
        <v xml:space="preserve"> * La variable Niños y niñas Mejor Niñez no puede ser Mayor al Total ambos sexos.</v>
      </c>
      <c r="CJ20" s="191" t="str">
        <f t="shared" si="7"/>
        <v xml:space="preserve">* La variable Plan Cuidado Integral Elaborado debe ser menor o igual al Total de Personas en control. </v>
      </c>
      <c r="CK20" s="191" t="str">
        <f t="shared" si="8"/>
        <v xml:space="preserve"> * La variable Trans Masculino no debe ser mayor al Total Mujeres.</v>
      </c>
      <c r="CL20" s="191" t="str">
        <f t="shared" si="9"/>
        <v xml:space="preserve"> * La variable Trans Femenino no debe ser mayor al Total Hombre.</v>
      </c>
      <c r="CM20" s="108"/>
      <c r="CN20" s="108"/>
      <c r="CO20" s="1047">
        <f t="shared" si="10"/>
        <v>1</v>
      </c>
      <c r="CP20" s="1047">
        <f t="shared" si="11"/>
        <v>1</v>
      </c>
      <c r="CQ20" s="1047">
        <f t="shared" si="12"/>
        <v>1</v>
      </c>
      <c r="CR20" s="1047">
        <f t="shared" si="13"/>
        <v>1</v>
      </c>
      <c r="CS20" s="1047">
        <f t="shared" si="14"/>
        <v>1</v>
      </c>
      <c r="CT20" s="1047">
        <f t="shared" si="15"/>
        <v>1</v>
      </c>
      <c r="CU20" s="1047">
        <f t="shared" si="16"/>
        <v>1</v>
      </c>
      <c r="CV20" s="1047">
        <f t="shared" si="17"/>
        <v>1</v>
      </c>
      <c r="CW20" s="1047">
        <f t="shared" si="18"/>
        <v>1</v>
      </c>
      <c r="CX20" s="1047">
        <f t="shared" si="19"/>
        <v>1</v>
      </c>
      <c r="CY20" s="1047">
        <f t="shared" si="20"/>
        <v>1</v>
      </c>
      <c r="CZ20" s="108"/>
      <c r="DL20" s="108"/>
      <c r="DM20" s="108"/>
      <c r="DN20" s="108"/>
      <c r="DO20" s="108"/>
      <c r="DP20" s="108"/>
      <c r="DQ20" s="108"/>
      <c r="DR20" s="108"/>
      <c r="DS20" s="108"/>
      <c r="DT20" s="108"/>
      <c r="DU20" s="108"/>
      <c r="DW20" s="606"/>
    </row>
    <row r="21" spans="1:127" s="95" customFormat="1" ht="15" customHeight="1" x14ac:dyDescent="0.25">
      <c r="A21" s="1585" t="s">
        <v>1331</v>
      </c>
      <c r="B21" s="2127" t="s">
        <v>636</v>
      </c>
      <c r="C21" s="2127"/>
      <c r="D21" s="1144" t="s">
        <v>1616</v>
      </c>
      <c r="E21" s="540" t="s">
        <v>1617</v>
      </c>
      <c r="F21" s="541" t="s">
        <v>1618</v>
      </c>
      <c r="G21" s="413" t="s">
        <v>1619</v>
      </c>
      <c r="H21" s="414" t="s">
        <v>1620</v>
      </c>
      <c r="I21" s="413" t="s">
        <v>1621</v>
      </c>
      <c r="J21" s="414" t="s">
        <v>1622</v>
      </c>
      <c r="K21" s="413" t="s">
        <v>1623</v>
      </c>
      <c r="L21" s="414" t="s">
        <v>1624</v>
      </c>
      <c r="M21" s="413" t="s">
        <v>1625</v>
      </c>
      <c r="N21" s="414" t="s">
        <v>1626</v>
      </c>
      <c r="O21" s="413" t="s">
        <v>1627</v>
      </c>
      <c r="P21" s="414" t="s">
        <v>1628</v>
      </c>
      <c r="Q21" s="413" t="s">
        <v>1629</v>
      </c>
      <c r="R21" s="414" t="s">
        <v>1630</v>
      </c>
      <c r="S21" s="413" t="s">
        <v>1631</v>
      </c>
      <c r="T21" s="414" t="s">
        <v>1632</v>
      </c>
      <c r="U21" s="413" t="s">
        <v>1633</v>
      </c>
      <c r="V21" s="414" t="s">
        <v>1634</v>
      </c>
      <c r="W21" s="413" t="s">
        <v>1635</v>
      </c>
      <c r="X21" s="414" t="s">
        <v>1636</v>
      </c>
      <c r="Y21" s="413" t="s">
        <v>1637</v>
      </c>
      <c r="Z21" s="414" t="s">
        <v>1638</v>
      </c>
      <c r="AA21" s="413" t="s">
        <v>1639</v>
      </c>
      <c r="AB21" s="414" t="s">
        <v>1640</v>
      </c>
      <c r="AC21" s="413" t="s">
        <v>1641</v>
      </c>
      <c r="AD21" s="414" t="s">
        <v>1642</v>
      </c>
      <c r="AE21" s="413" t="s">
        <v>1643</v>
      </c>
      <c r="AF21" s="414" t="s">
        <v>1644</v>
      </c>
      <c r="AG21" s="413" t="s">
        <v>1645</v>
      </c>
      <c r="AH21" s="414" t="s">
        <v>1646</v>
      </c>
      <c r="AI21" s="413" t="s">
        <v>1647</v>
      </c>
      <c r="AJ21" s="414" t="s">
        <v>1648</v>
      </c>
      <c r="AK21" s="413" t="s">
        <v>1649</v>
      </c>
      <c r="AL21" s="414" t="s">
        <v>1650</v>
      </c>
      <c r="AM21" s="413" t="s">
        <v>1651</v>
      </c>
      <c r="AN21" s="415" t="s">
        <v>1652</v>
      </c>
      <c r="AO21" s="663" t="s">
        <v>1653</v>
      </c>
      <c r="AP21" s="665" t="s">
        <v>1654</v>
      </c>
      <c r="AQ21" s="463" t="s">
        <v>1655</v>
      </c>
      <c r="AR21" s="414" t="s">
        <v>1656</v>
      </c>
      <c r="AS21" s="463" t="s">
        <v>1657</v>
      </c>
      <c r="AT21" s="414" t="s">
        <v>1658</v>
      </c>
      <c r="AU21" s="542" t="s">
        <v>1659</v>
      </c>
      <c r="AV21" s="542" t="s">
        <v>1660</v>
      </c>
      <c r="AW21" s="542" t="s">
        <v>1661</v>
      </c>
      <c r="AX21" s="542" t="s">
        <v>1662</v>
      </c>
      <c r="AY21" s="542" t="s">
        <v>1663</v>
      </c>
      <c r="AZ21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1" s="110"/>
      <c r="BB21" s="110"/>
      <c r="BC21" s="108"/>
      <c r="CB21" s="191" t="str">
        <f t="shared" si="1"/>
        <v xml:space="preserve"> * La variable Gestante no puede ser Mayor al Total Mujeres.</v>
      </c>
      <c r="CC21" s="191" t="str">
        <f t="shared" si="2"/>
        <v xml:space="preserve"> * La variable Madre de hijo menor de 5 años no puede ser Mayor al Total Mujeres.</v>
      </c>
      <c r="CD21" s="191" t="str">
        <f t="shared" si="3"/>
        <v xml:space="preserve"> * La variable Pueblos Originarios Hombres no puede ser Mayor al Total Hombres.</v>
      </c>
      <c r="CE21" s="191" t="str">
        <f t="shared" si="4"/>
        <v xml:space="preserve"> * La variable Pueblos Originarios Mujeres no puede ser Mayor al Total Mujeres.</v>
      </c>
      <c r="CF21" s="191" t="str">
        <f t="shared" si="5"/>
        <v xml:space="preserve"> * La variable Migrantes Hombres no puede ser Mayor al Total Hombres.</v>
      </c>
      <c r="CG21" s="191" t="str">
        <f t="shared" si="6"/>
        <v xml:space="preserve"> * La variable Migrantes Mujeres no puede ser Mayor al Total Mujeres.</v>
      </c>
      <c r="CH21" s="191" t="str">
        <f t="shared" si="21"/>
        <v xml:space="preserve"> * La variable Niños, Niñas, Adolescentes y Jóvenes SENAME no puede ser Mayor al Total ambos sexos.</v>
      </c>
      <c r="CI21" s="191" t="str">
        <f t="shared" si="22"/>
        <v xml:space="preserve"> * La variable Niños y niñas Mejor Niñez no puede ser Mayor al Total ambos sexos.</v>
      </c>
      <c r="CJ21" s="191" t="str">
        <f t="shared" si="7"/>
        <v xml:space="preserve">* La variable Plan Cuidado Integral Elaborado debe ser menor o igual al Total de Personas en control. </v>
      </c>
      <c r="CK21" s="191" t="str">
        <f t="shared" si="8"/>
        <v xml:space="preserve"> * La variable Trans Masculino no debe ser mayor al Total Mujeres.</v>
      </c>
      <c r="CL21" s="191" t="str">
        <f t="shared" si="9"/>
        <v xml:space="preserve"> * La variable Trans Femenino no debe ser mayor al Total Hombre.</v>
      </c>
      <c r="CM21" s="108"/>
      <c r="CN21" s="108"/>
      <c r="CO21" s="1047">
        <f t="shared" si="10"/>
        <v>1</v>
      </c>
      <c r="CP21" s="1047">
        <f t="shared" si="11"/>
        <v>1</v>
      </c>
      <c r="CQ21" s="1047">
        <f t="shared" si="12"/>
        <v>1</v>
      </c>
      <c r="CR21" s="1047">
        <f t="shared" si="13"/>
        <v>1</v>
      </c>
      <c r="CS21" s="1047">
        <f t="shared" si="14"/>
        <v>1</v>
      </c>
      <c r="CT21" s="1047">
        <f t="shared" si="15"/>
        <v>1</v>
      </c>
      <c r="CU21" s="1047">
        <f t="shared" si="16"/>
        <v>1</v>
      </c>
      <c r="CV21" s="1047">
        <f t="shared" si="17"/>
        <v>1</v>
      </c>
      <c r="CW21" s="1047">
        <f t="shared" si="18"/>
        <v>1</v>
      </c>
      <c r="CX21" s="1047">
        <f t="shared" si="19"/>
        <v>1</v>
      </c>
      <c r="CY21" s="1047">
        <f t="shared" si="20"/>
        <v>1</v>
      </c>
      <c r="CZ21" s="108"/>
      <c r="DL21" s="108"/>
      <c r="DM21" s="108"/>
      <c r="DN21" s="108"/>
      <c r="DO21" s="108"/>
      <c r="DP21" s="108"/>
      <c r="DQ21" s="108"/>
      <c r="DR21" s="108"/>
      <c r="DS21" s="108"/>
      <c r="DT21" s="108"/>
      <c r="DU21" s="108"/>
      <c r="DW21" s="606"/>
    </row>
    <row r="22" spans="1:127" s="95" customFormat="1" ht="15" customHeight="1" x14ac:dyDescent="0.25">
      <c r="A22" s="1585" t="s">
        <v>1332</v>
      </c>
      <c r="B22" s="2144" t="s">
        <v>637</v>
      </c>
      <c r="C22" s="1334" t="s">
        <v>638</v>
      </c>
      <c r="D22" s="1145" t="s">
        <v>1616</v>
      </c>
      <c r="E22" s="392" t="s">
        <v>1617</v>
      </c>
      <c r="F22" s="539" t="s">
        <v>1618</v>
      </c>
      <c r="G22" s="1066" t="s">
        <v>1619</v>
      </c>
      <c r="H22" s="434" t="s">
        <v>1620</v>
      </c>
      <c r="I22" s="394" t="s">
        <v>1621</v>
      </c>
      <c r="J22" s="395" t="s">
        <v>1622</v>
      </c>
      <c r="K22" s="394" t="s">
        <v>1623</v>
      </c>
      <c r="L22" s="395" t="s">
        <v>1624</v>
      </c>
      <c r="M22" s="394" t="s">
        <v>1625</v>
      </c>
      <c r="N22" s="395" t="s">
        <v>1626</v>
      </c>
      <c r="O22" s="394" t="s">
        <v>1627</v>
      </c>
      <c r="P22" s="395" t="s">
        <v>1628</v>
      </c>
      <c r="Q22" s="394" t="s">
        <v>1629</v>
      </c>
      <c r="R22" s="395" t="s">
        <v>1630</v>
      </c>
      <c r="S22" s="394" t="s">
        <v>1631</v>
      </c>
      <c r="T22" s="395" t="s">
        <v>1632</v>
      </c>
      <c r="U22" s="394" t="s">
        <v>1633</v>
      </c>
      <c r="V22" s="395" t="s">
        <v>1634</v>
      </c>
      <c r="W22" s="394" t="s">
        <v>1635</v>
      </c>
      <c r="X22" s="395" t="s">
        <v>1636</v>
      </c>
      <c r="Y22" s="394" t="s">
        <v>1637</v>
      </c>
      <c r="Z22" s="395" t="s">
        <v>1638</v>
      </c>
      <c r="AA22" s="394" t="s">
        <v>1639</v>
      </c>
      <c r="AB22" s="395" t="s">
        <v>1640</v>
      </c>
      <c r="AC22" s="394" t="s">
        <v>1641</v>
      </c>
      <c r="AD22" s="395" t="s">
        <v>1642</v>
      </c>
      <c r="AE22" s="394" t="s">
        <v>1643</v>
      </c>
      <c r="AF22" s="395" t="s">
        <v>1644</v>
      </c>
      <c r="AG22" s="394" t="s">
        <v>1645</v>
      </c>
      <c r="AH22" s="395" t="s">
        <v>1646</v>
      </c>
      <c r="AI22" s="394" t="s">
        <v>1647</v>
      </c>
      <c r="AJ22" s="395" t="s">
        <v>1648</v>
      </c>
      <c r="AK22" s="394" t="s">
        <v>1649</v>
      </c>
      <c r="AL22" s="395" t="s">
        <v>1650</v>
      </c>
      <c r="AM22" s="394" t="s">
        <v>1651</v>
      </c>
      <c r="AN22" s="406" t="s">
        <v>1652</v>
      </c>
      <c r="AO22" s="661" t="s">
        <v>1653</v>
      </c>
      <c r="AP22" s="649" t="s">
        <v>1654</v>
      </c>
      <c r="AQ22" s="462" t="s">
        <v>1655</v>
      </c>
      <c r="AR22" s="395" t="s">
        <v>1656</v>
      </c>
      <c r="AS22" s="462" t="s">
        <v>1657</v>
      </c>
      <c r="AT22" s="395" t="s">
        <v>1658</v>
      </c>
      <c r="AU22" s="461" t="s">
        <v>1659</v>
      </c>
      <c r="AV22" s="461" t="s">
        <v>1660</v>
      </c>
      <c r="AW22" s="461" t="s">
        <v>1661</v>
      </c>
      <c r="AX22" s="461" t="s">
        <v>1662</v>
      </c>
      <c r="AY22" s="461" t="s">
        <v>1663</v>
      </c>
      <c r="AZ22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2" s="110"/>
      <c r="BB22" s="110"/>
      <c r="BC22" s="108"/>
      <c r="CB22" s="191" t="str">
        <f t="shared" si="1"/>
        <v xml:space="preserve"> * La variable Gestante no puede ser Mayor al Total Mujeres.</v>
      </c>
      <c r="CC22" s="191" t="str">
        <f t="shared" si="2"/>
        <v xml:space="preserve"> * La variable Madre de hijo menor de 5 años no puede ser Mayor al Total Mujeres.</v>
      </c>
      <c r="CD22" s="191" t="str">
        <f t="shared" si="3"/>
        <v xml:space="preserve"> * La variable Pueblos Originarios Hombres no puede ser Mayor al Total Hombres.</v>
      </c>
      <c r="CE22" s="191" t="str">
        <f t="shared" si="4"/>
        <v xml:space="preserve"> * La variable Pueblos Originarios Mujeres no puede ser Mayor al Total Mujeres.</v>
      </c>
      <c r="CF22" s="191" t="str">
        <f t="shared" si="5"/>
        <v xml:space="preserve"> * La variable Migrantes Hombres no puede ser Mayor al Total Hombres.</v>
      </c>
      <c r="CG22" s="191" t="str">
        <f t="shared" si="6"/>
        <v xml:space="preserve"> * La variable Migrantes Mujeres no puede ser Mayor al Total Mujeres.</v>
      </c>
      <c r="CH22" s="191" t="str">
        <f t="shared" si="21"/>
        <v xml:space="preserve"> * La variable Niños, Niñas, Adolescentes y Jóvenes SENAME no puede ser Mayor al Total ambos sexos.</v>
      </c>
      <c r="CI22" s="191" t="str">
        <f t="shared" si="22"/>
        <v xml:space="preserve"> * La variable Niños y niñas Mejor Niñez no puede ser Mayor al Total ambos sexos.</v>
      </c>
      <c r="CJ22" s="191" t="str">
        <f t="shared" si="7"/>
        <v xml:space="preserve">* La variable Plan Cuidado Integral Elaborado debe ser menor o igual al Total de Personas en control. </v>
      </c>
      <c r="CK22" s="191" t="str">
        <f t="shared" si="8"/>
        <v xml:space="preserve"> * La variable Trans Masculino no debe ser mayor al Total Mujeres.</v>
      </c>
      <c r="CL22" s="191" t="str">
        <f t="shared" si="9"/>
        <v xml:space="preserve"> * La variable Trans Femenino no debe ser mayor al Total Hombre.</v>
      </c>
      <c r="CM22" s="108"/>
      <c r="CN22" s="108"/>
      <c r="CO22" s="1047">
        <f t="shared" si="10"/>
        <v>1</v>
      </c>
      <c r="CP22" s="1047">
        <f t="shared" si="11"/>
        <v>1</v>
      </c>
      <c r="CQ22" s="1047">
        <f t="shared" si="12"/>
        <v>1</v>
      </c>
      <c r="CR22" s="1047">
        <f t="shared" si="13"/>
        <v>1</v>
      </c>
      <c r="CS22" s="1047">
        <f t="shared" si="14"/>
        <v>1</v>
      </c>
      <c r="CT22" s="1047">
        <f t="shared" si="15"/>
        <v>1</v>
      </c>
      <c r="CU22" s="1047">
        <f t="shared" si="16"/>
        <v>1</v>
      </c>
      <c r="CV22" s="1047">
        <f t="shared" si="17"/>
        <v>1</v>
      </c>
      <c r="CW22" s="1047">
        <f t="shared" si="18"/>
        <v>1</v>
      </c>
      <c r="CX22" s="1047">
        <f t="shared" si="19"/>
        <v>1</v>
      </c>
      <c r="CY22" s="1047">
        <f t="shared" si="20"/>
        <v>1</v>
      </c>
      <c r="CZ22" s="108"/>
      <c r="DL22" s="108"/>
      <c r="DM22" s="108"/>
      <c r="DN22" s="108"/>
      <c r="DO22" s="108"/>
      <c r="DP22" s="108"/>
      <c r="DQ22" s="108"/>
      <c r="DR22" s="108"/>
      <c r="DS22" s="108"/>
      <c r="DT22" s="108"/>
      <c r="DU22" s="108"/>
      <c r="DW22" s="606"/>
    </row>
    <row r="23" spans="1:127" s="95" customFormat="1" ht="15" customHeight="1" x14ac:dyDescent="0.25">
      <c r="A23" s="1585" t="s">
        <v>1333</v>
      </c>
      <c r="B23" s="2145"/>
      <c r="C23" s="1336" t="s">
        <v>639</v>
      </c>
      <c r="D23" s="1144" t="s">
        <v>1616</v>
      </c>
      <c r="E23" s="540" t="s">
        <v>1617</v>
      </c>
      <c r="F23" s="541" t="s">
        <v>1618</v>
      </c>
      <c r="G23" s="568" t="s">
        <v>1619</v>
      </c>
      <c r="H23" s="569" t="s">
        <v>1620</v>
      </c>
      <c r="I23" s="413" t="s">
        <v>1621</v>
      </c>
      <c r="J23" s="414" t="s">
        <v>1622</v>
      </c>
      <c r="K23" s="413" t="s">
        <v>1623</v>
      </c>
      <c r="L23" s="414" t="s">
        <v>1624</v>
      </c>
      <c r="M23" s="413" t="s">
        <v>1625</v>
      </c>
      <c r="N23" s="414" t="s">
        <v>1626</v>
      </c>
      <c r="O23" s="413" t="s">
        <v>1627</v>
      </c>
      <c r="P23" s="414" t="s">
        <v>1628</v>
      </c>
      <c r="Q23" s="413" t="s">
        <v>1629</v>
      </c>
      <c r="R23" s="414" t="s">
        <v>1630</v>
      </c>
      <c r="S23" s="413" t="s">
        <v>1631</v>
      </c>
      <c r="T23" s="414" t="s">
        <v>1632</v>
      </c>
      <c r="U23" s="413" t="s">
        <v>1633</v>
      </c>
      <c r="V23" s="414" t="s">
        <v>1634</v>
      </c>
      <c r="W23" s="413" t="s">
        <v>1635</v>
      </c>
      <c r="X23" s="414" t="s">
        <v>1636</v>
      </c>
      <c r="Y23" s="413" t="s">
        <v>1637</v>
      </c>
      <c r="Z23" s="414" t="s">
        <v>1638</v>
      </c>
      <c r="AA23" s="413" t="s">
        <v>1639</v>
      </c>
      <c r="AB23" s="414" t="s">
        <v>1640</v>
      </c>
      <c r="AC23" s="413" t="s">
        <v>1641</v>
      </c>
      <c r="AD23" s="414" t="s">
        <v>1642</v>
      </c>
      <c r="AE23" s="413" t="s">
        <v>1643</v>
      </c>
      <c r="AF23" s="414" t="s">
        <v>1644</v>
      </c>
      <c r="AG23" s="413" t="s">
        <v>1645</v>
      </c>
      <c r="AH23" s="414" t="s">
        <v>1646</v>
      </c>
      <c r="AI23" s="413" t="s">
        <v>1647</v>
      </c>
      <c r="AJ23" s="414" t="s">
        <v>1648</v>
      </c>
      <c r="AK23" s="413" t="s">
        <v>1649</v>
      </c>
      <c r="AL23" s="414" t="s">
        <v>1650</v>
      </c>
      <c r="AM23" s="413" t="s">
        <v>1651</v>
      </c>
      <c r="AN23" s="415" t="s">
        <v>1652</v>
      </c>
      <c r="AO23" s="663" t="s">
        <v>1653</v>
      </c>
      <c r="AP23" s="665" t="s">
        <v>1654</v>
      </c>
      <c r="AQ23" s="463" t="s">
        <v>1655</v>
      </c>
      <c r="AR23" s="414" t="s">
        <v>1656</v>
      </c>
      <c r="AS23" s="463" t="s">
        <v>1657</v>
      </c>
      <c r="AT23" s="414" t="s">
        <v>1658</v>
      </c>
      <c r="AU23" s="542" t="s">
        <v>1659</v>
      </c>
      <c r="AV23" s="542" t="s">
        <v>1660</v>
      </c>
      <c r="AW23" s="542" t="s">
        <v>1661</v>
      </c>
      <c r="AX23" s="542" t="s">
        <v>1662</v>
      </c>
      <c r="AY23" s="542" t="s">
        <v>1663</v>
      </c>
      <c r="AZ23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3" s="110"/>
      <c r="BB23" s="110"/>
      <c r="BC23" s="108"/>
      <c r="CB23" s="191" t="str">
        <f t="shared" si="1"/>
        <v xml:space="preserve"> * La variable Gestante no puede ser Mayor al Total Mujeres.</v>
      </c>
      <c r="CC23" s="191" t="str">
        <f t="shared" si="2"/>
        <v xml:space="preserve"> * La variable Madre de hijo menor de 5 años no puede ser Mayor al Total Mujeres.</v>
      </c>
      <c r="CD23" s="191" t="str">
        <f t="shared" si="3"/>
        <v xml:space="preserve"> * La variable Pueblos Originarios Hombres no puede ser Mayor al Total Hombres.</v>
      </c>
      <c r="CE23" s="191" t="str">
        <f t="shared" si="4"/>
        <v xml:space="preserve"> * La variable Pueblos Originarios Mujeres no puede ser Mayor al Total Mujeres.</v>
      </c>
      <c r="CF23" s="191" t="str">
        <f t="shared" si="5"/>
        <v xml:space="preserve"> * La variable Migrantes Hombres no puede ser Mayor al Total Hombres.</v>
      </c>
      <c r="CG23" s="191" t="str">
        <f t="shared" si="6"/>
        <v xml:space="preserve"> * La variable Migrantes Mujeres no puede ser Mayor al Total Mujeres.</v>
      </c>
      <c r="CH23" s="191" t="str">
        <f t="shared" si="21"/>
        <v xml:space="preserve"> * La variable Niños, Niñas, Adolescentes y Jóvenes SENAME no puede ser Mayor al Total ambos sexos.</v>
      </c>
      <c r="CI23" s="191" t="str">
        <f t="shared" si="22"/>
        <v xml:space="preserve"> * La variable Niños y niñas Mejor Niñez no puede ser Mayor al Total ambos sexos.</v>
      </c>
      <c r="CJ23" s="191" t="str">
        <f t="shared" si="7"/>
        <v xml:space="preserve">* La variable Plan Cuidado Integral Elaborado debe ser menor o igual al Total de Personas en control. </v>
      </c>
      <c r="CK23" s="191" t="str">
        <f t="shared" si="8"/>
        <v xml:space="preserve"> * La variable Trans Masculino no debe ser mayor al Total Mujeres.</v>
      </c>
      <c r="CL23" s="191" t="str">
        <f t="shared" si="9"/>
        <v xml:space="preserve"> * La variable Trans Femenino no debe ser mayor al Total Hombre.</v>
      </c>
      <c r="CM23" s="108"/>
      <c r="CN23" s="108"/>
      <c r="CO23" s="1047">
        <f t="shared" si="10"/>
        <v>1</v>
      </c>
      <c r="CP23" s="1047">
        <f t="shared" si="11"/>
        <v>1</v>
      </c>
      <c r="CQ23" s="1047">
        <f t="shared" si="12"/>
        <v>1</v>
      </c>
      <c r="CR23" s="1047">
        <f t="shared" si="13"/>
        <v>1</v>
      </c>
      <c r="CS23" s="1047">
        <f t="shared" si="14"/>
        <v>1</v>
      </c>
      <c r="CT23" s="1047">
        <f t="shared" si="15"/>
        <v>1</v>
      </c>
      <c r="CU23" s="1047">
        <f t="shared" si="16"/>
        <v>1</v>
      </c>
      <c r="CV23" s="1047">
        <f t="shared" si="17"/>
        <v>1</v>
      </c>
      <c r="CW23" s="1047">
        <f t="shared" si="18"/>
        <v>1</v>
      </c>
      <c r="CX23" s="1047">
        <f t="shared" si="19"/>
        <v>1</v>
      </c>
      <c r="CY23" s="1047">
        <f t="shared" si="20"/>
        <v>1</v>
      </c>
      <c r="CZ23" s="108"/>
      <c r="DL23" s="108"/>
      <c r="DM23" s="108"/>
      <c r="DN23" s="108"/>
      <c r="DO23" s="108"/>
      <c r="DP23" s="108"/>
      <c r="DQ23" s="108"/>
      <c r="DR23" s="108"/>
      <c r="DS23" s="108"/>
      <c r="DT23" s="108"/>
      <c r="DU23" s="108"/>
      <c r="DW23" s="606"/>
    </row>
    <row r="24" spans="1:127" s="95" customFormat="1" ht="15" customHeight="1" x14ac:dyDescent="0.25">
      <c r="A24" s="1585" t="s">
        <v>1334</v>
      </c>
      <c r="B24" s="2141" t="s">
        <v>640</v>
      </c>
      <c r="C24" s="2156"/>
      <c r="D24" s="1487" t="s">
        <v>1616</v>
      </c>
      <c r="E24" s="1488" t="s">
        <v>1617</v>
      </c>
      <c r="F24" s="460" t="s">
        <v>1618</v>
      </c>
      <c r="G24" s="1279" t="s">
        <v>1619</v>
      </c>
      <c r="H24" s="1038" t="s">
        <v>1620</v>
      </c>
      <c r="I24" s="1279" t="s">
        <v>1621</v>
      </c>
      <c r="J24" s="1038" t="s">
        <v>1622</v>
      </c>
      <c r="K24" s="1279" t="s">
        <v>1623</v>
      </c>
      <c r="L24" s="1038" t="s">
        <v>1624</v>
      </c>
      <c r="M24" s="1279" t="s">
        <v>1625</v>
      </c>
      <c r="N24" s="1038" t="s">
        <v>1626</v>
      </c>
      <c r="O24" s="1279" t="s">
        <v>1627</v>
      </c>
      <c r="P24" s="1038" t="s">
        <v>1628</v>
      </c>
      <c r="Q24" s="1279" t="s">
        <v>1629</v>
      </c>
      <c r="R24" s="1038" t="s">
        <v>1630</v>
      </c>
      <c r="S24" s="1279" t="s">
        <v>1631</v>
      </c>
      <c r="T24" s="1038" t="s">
        <v>1632</v>
      </c>
      <c r="U24" s="1279" t="s">
        <v>1633</v>
      </c>
      <c r="V24" s="1038" t="s">
        <v>1634</v>
      </c>
      <c r="W24" s="1279" t="s">
        <v>1635</v>
      </c>
      <c r="X24" s="1038" t="s">
        <v>1636</v>
      </c>
      <c r="Y24" s="1279" t="s">
        <v>1637</v>
      </c>
      <c r="Z24" s="1038" t="s">
        <v>1638</v>
      </c>
      <c r="AA24" s="1279" t="s">
        <v>1639</v>
      </c>
      <c r="AB24" s="1038" t="s">
        <v>1640</v>
      </c>
      <c r="AC24" s="1279" t="s">
        <v>1641</v>
      </c>
      <c r="AD24" s="1038" t="s">
        <v>1642</v>
      </c>
      <c r="AE24" s="1279" t="s">
        <v>1643</v>
      </c>
      <c r="AF24" s="1038" t="s">
        <v>1644</v>
      </c>
      <c r="AG24" s="1279" t="s">
        <v>1645</v>
      </c>
      <c r="AH24" s="1038" t="s">
        <v>1646</v>
      </c>
      <c r="AI24" s="1279" t="s">
        <v>1647</v>
      </c>
      <c r="AJ24" s="1038" t="s">
        <v>1648</v>
      </c>
      <c r="AK24" s="1279" t="s">
        <v>1649</v>
      </c>
      <c r="AL24" s="1038" t="s">
        <v>1650</v>
      </c>
      <c r="AM24" s="1279" t="s">
        <v>1651</v>
      </c>
      <c r="AN24" s="530" t="s">
        <v>1652</v>
      </c>
      <c r="AO24" s="660" t="s">
        <v>1653</v>
      </c>
      <c r="AP24" s="1505" t="s">
        <v>1654</v>
      </c>
      <c r="AQ24" s="1504" t="s">
        <v>1655</v>
      </c>
      <c r="AR24" s="1038" t="s">
        <v>1656</v>
      </c>
      <c r="AS24" s="1504" t="s">
        <v>1657</v>
      </c>
      <c r="AT24" s="1038" t="s">
        <v>1658</v>
      </c>
      <c r="AU24" s="1506" t="s">
        <v>1659</v>
      </c>
      <c r="AV24" s="1506" t="s">
        <v>1660</v>
      </c>
      <c r="AW24" s="1506" t="s">
        <v>1661</v>
      </c>
      <c r="AX24" s="1506" t="s">
        <v>1662</v>
      </c>
      <c r="AY24" s="1506" t="s">
        <v>1663</v>
      </c>
      <c r="AZ24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4" s="113"/>
      <c r="BB24" s="113"/>
      <c r="CB24" s="191" t="str">
        <f t="shared" si="1"/>
        <v xml:space="preserve"> * La variable Gestante no puede ser Mayor al Total Mujeres.</v>
      </c>
      <c r="CC24" s="191" t="str">
        <f t="shared" si="2"/>
        <v xml:space="preserve"> * La variable Madre de hijo menor de 5 años no puede ser Mayor al Total Mujeres.</v>
      </c>
      <c r="CD24" s="191" t="str">
        <f t="shared" si="3"/>
        <v xml:space="preserve"> * La variable Pueblos Originarios Hombres no puede ser Mayor al Total Hombres.</v>
      </c>
      <c r="CE24" s="191" t="str">
        <f t="shared" si="4"/>
        <v xml:space="preserve"> * La variable Pueblos Originarios Mujeres no puede ser Mayor al Total Mujeres.</v>
      </c>
      <c r="CF24" s="191" t="str">
        <f t="shared" si="5"/>
        <v xml:space="preserve"> * La variable Migrantes Hombres no puede ser Mayor al Total Hombres.</v>
      </c>
      <c r="CG24" s="191" t="str">
        <f t="shared" si="6"/>
        <v xml:space="preserve"> * La variable Migrantes Mujeres no puede ser Mayor al Total Mujeres.</v>
      </c>
      <c r="CH24" s="191" t="str">
        <f t="shared" si="21"/>
        <v xml:space="preserve"> * La variable Niños, Niñas, Adolescentes y Jóvenes SENAME no puede ser Mayor al Total ambos sexos.</v>
      </c>
      <c r="CI24" s="191" t="str">
        <f t="shared" si="22"/>
        <v xml:space="preserve"> * La variable Niños y niñas Mejor Niñez no puede ser Mayor al Total ambos sexos.</v>
      </c>
      <c r="CJ24" s="191" t="str">
        <f t="shared" si="7"/>
        <v xml:space="preserve">* La variable Plan Cuidado Integral Elaborado debe ser menor o igual al Total de Personas en control. </v>
      </c>
      <c r="CK24" s="191" t="str">
        <f t="shared" si="8"/>
        <v xml:space="preserve"> * La variable Trans Masculino no debe ser mayor al Total Mujeres.</v>
      </c>
      <c r="CL24" s="191" t="str">
        <f t="shared" si="9"/>
        <v xml:space="preserve"> * La variable Trans Femenino no debe ser mayor al Total Hombre.</v>
      </c>
      <c r="CM24" s="108"/>
      <c r="CN24" s="108"/>
      <c r="CO24" s="1047">
        <f t="shared" si="10"/>
        <v>1</v>
      </c>
      <c r="CP24" s="1047">
        <f t="shared" si="11"/>
        <v>1</v>
      </c>
      <c r="CQ24" s="1047">
        <f t="shared" si="12"/>
        <v>1</v>
      </c>
      <c r="CR24" s="1047">
        <f t="shared" si="13"/>
        <v>1</v>
      </c>
      <c r="CS24" s="1047">
        <f t="shared" si="14"/>
        <v>1</v>
      </c>
      <c r="CT24" s="1047">
        <f t="shared" si="15"/>
        <v>1</v>
      </c>
      <c r="CU24" s="1047">
        <f t="shared" si="16"/>
        <v>1</v>
      </c>
      <c r="CV24" s="1047">
        <f t="shared" si="17"/>
        <v>1</v>
      </c>
      <c r="CW24" s="1047">
        <f t="shared" si="18"/>
        <v>1</v>
      </c>
      <c r="CX24" s="1047">
        <f t="shared" si="19"/>
        <v>1</v>
      </c>
      <c r="CY24" s="1047">
        <f t="shared" si="20"/>
        <v>1</v>
      </c>
      <c r="DL24" s="108"/>
      <c r="DM24" s="108"/>
      <c r="DN24" s="108"/>
      <c r="DO24" s="108"/>
      <c r="DP24" s="108"/>
      <c r="DQ24" s="108"/>
      <c r="DR24" s="108"/>
      <c r="DS24" s="108"/>
      <c r="DT24" s="108"/>
      <c r="DU24" s="108"/>
      <c r="DW24" s="606"/>
    </row>
    <row r="25" spans="1:127" s="95" customFormat="1" ht="15" customHeight="1" x14ac:dyDescent="0.25">
      <c r="A25" s="1585" t="s">
        <v>1335</v>
      </c>
      <c r="B25" s="2150"/>
      <c r="C25" s="1334" t="s">
        <v>641</v>
      </c>
      <c r="D25" s="1142" t="s">
        <v>1616</v>
      </c>
      <c r="E25" s="387" t="s">
        <v>1617</v>
      </c>
      <c r="F25" s="531" t="s">
        <v>1618</v>
      </c>
      <c r="G25" s="417" t="s">
        <v>1619</v>
      </c>
      <c r="H25" s="418" t="s">
        <v>1620</v>
      </c>
      <c r="I25" s="417" t="s">
        <v>1621</v>
      </c>
      <c r="J25" s="418" t="s">
        <v>1622</v>
      </c>
      <c r="K25" s="417" t="s">
        <v>1623</v>
      </c>
      <c r="L25" s="418" t="s">
        <v>1624</v>
      </c>
      <c r="M25" s="417" t="s">
        <v>1625</v>
      </c>
      <c r="N25" s="418" t="s">
        <v>1626</v>
      </c>
      <c r="O25" s="417" t="s">
        <v>1627</v>
      </c>
      <c r="P25" s="418" t="s">
        <v>1628</v>
      </c>
      <c r="Q25" s="417" t="s">
        <v>1629</v>
      </c>
      <c r="R25" s="418" t="s">
        <v>1630</v>
      </c>
      <c r="S25" s="417" t="s">
        <v>1631</v>
      </c>
      <c r="T25" s="418" t="s">
        <v>1632</v>
      </c>
      <c r="U25" s="417" t="s">
        <v>1633</v>
      </c>
      <c r="V25" s="418" t="s">
        <v>1634</v>
      </c>
      <c r="W25" s="417" t="s">
        <v>1635</v>
      </c>
      <c r="X25" s="418" t="s">
        <v>1636</v>
      </c>
      <c r="Y25" s="417" t="s">
        <v>1637</v>
      </c>
      <c r="Z25" s="418" t="s">
        <v>1638</v>
      </c>
      <c r="AA25" s="417" t="s">
        <v>1639</v>
      </c>
      <c r="AB25" s="418" t="s">
        <v>1640</v>
      </c>
      <c r="AC25" s="417" t="s">
        <v>1641</v>
      </c>
      <c r="AD25" s="418" t="s">
        <v>1642</v>
      </c>
      <c r="AE25" s="417" t="s">
        <v>1643</v>
      </c>
      <c r="AF25" s="418" t="s">
        <v>1644</v>
      </c>
      <c r="AG25" s="417" t="s">
        <v>1645</v>
      </c>
      <c r="AH25" s="418" t="s">
        <v>1646</v>
      </c>
      <c r="AI25" s="417" t="s">
        <v>1647</v>
      </c>
      <c r="AJ25" s="418" t="s">
        <v>1648</v>
      </c>
      <c r="AK25" s="417" t="s">
        <v>1649</v>
      </c>
      <c r="AL25" s="418" t="s">
        <v>1650</v>
      </c>
      <c r="AM25" s="417" t="s">
        <v>1651</v>
      </c>
      <c r="AN25" s="419" t="s">
        <v>1652</v>
      </c>
      <c r="AO25" s="548" t="s">
        <v>1653</v>
      </c>
      <c r="AP25" s="655" t="s">
        <v>1654</v>
      </c>
      <c r="AQ25" s="468" t="s">
        <v>1655</v>
      </c>
      <c r="AR25" s="418" t="s">
        <v>1656</v>
      </c>
      <c r="AS25" s="468" t="s">
        <v>1657</v>
      </c>
      <c r="AT25" s="418" t="s">
        <v>1658</v>
      </c>
      <c r="AU25" s="432" t="s">
        <v>1659</v>
      </c>
      <c r="AV25" s="432" t="s">
        <v>1660</v>
      </c>
      <c r="AW25" s="432" t="s">
        <v>1661</v>
      </c>
      <c r="AX25" s="432" t="s">
        <v>1662</v>
      </c>
      <c r="AY25" s="432" t="s">
        <v>1663</v>
      </c>
      <c r="AZ25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5" s="113"/>
      <c r="BB25" s="113"/>
      <c r="CB25" s="191" t="str">
        <f t="shared" si="1"/>
        <v xml:space="preserve"> * La variable Gestante no puede ser Mayor al Total Mujeres.</v>
      </c>
      <c r="CC25" s="191" t="str">
        <f t="shared" si="2"/>
        <v xml:space="preserve"> * La variable Madre de hijo menor de 5 años no puede ser Mayor al Total Mujeres.</v>
      </c>
      <c r="CD25" s="191" t="str">
        <f t="shared" si="3"/>
        <v xml:space="preserve"> * La variable Pueblos Originarios Hombres no puede ser Mayor al Total Hombres.</v>
      </c>
      <c r="CE25" s="191" t="str">
        <f t="shared" si="4"/>
        <v xml:space="preserve"> * La variable Pueblos Originarios Mujeres no puede ser Mayor al Total Mujeres.</v>
      </c>
      <c r="CF25" s="191" t="str">
        <f t="shared" si="5"/>
        <v xml:space="preserve"> * La variable Migrantes Hombres no puede ser Mayor al Total Hombres.</v>
      </c>
      <c r="CG25" s="191" t="str">
        <f t="shared" si="6"/>
        <v xml:space="preserve"> * La variable Migrantes Mujeres no puede ser Mayor al Total Mujeres.</v>
      </c>
      <c r="CH25" s="191" t="str">
        <f t="shared" si="21"/>
        <v xml:space="preserve"> * La variable Niños, Niñas, Adolescentes y Jóvenes SENAME no puede ser Mayor al Total ambos sexos.</v>
      </c>
      <c r="CI25" s="191" t="str">
        <f t="shared" si="22"/>
        <v xml:space="preserve"> * La variable Niños y niñas Mejor Niñez no puede ser Mayor al Total ambos sexos.</v>
      </c>
      <c r="CJ25" s="191" t="str">
        <f t="shared" si="7"/>
        <v xml:space="preserve">* La variable Plan Cuidado Integral Elaborado debe ser menor o igual al Total de Personas en control. </v>
      </c>
      <c r="CK25" s="191" t="str">
        <f t="shared" si="8"/>
        <v xml:space="preserve"> * La variable Trans Masculino no debe ser mayor al Total Mujeres.</v>
      </c>
      <c r="CL25" s="191" t="str">
        <f t="shared" si="9"/>
        <v xml:space="preserve"> * La variable Trans Femenino no debe ser mayor al Total Hombre.</v>
      </c>
      <c r="CM25" s="108"/>
      <c r="CN25" s="108"/>
      <c r="CO25" s="1047">
        <f t="shared" si="10"/>
        <v>1</v>
      </c>
      <c r="CP25" s="1047">
        <f t="shared" si="11"/>
        <v>1</v>
      </c>
      <c r="CQ25" s="1047">
        <f t="shared" si="12"/>
        <v>1</v>
      </c>
      <c r="CR25" s="1047">
        <f t="shared" si="13"/>
        <v>1</v>
      </c>
      <c r="CS25" s="1047">
        <f t="shared" si="14"/>
        <v>1</v>
      </c>
      <c r="CT25" s="1047">
        <f t="shared" si="15"/>
        <v>1</v>
      </c>
      <c r="CU25" s="1047">
        <f t="shared" si="16"/>
        <v>1</v>
      </c>
      <c r="CV25" s="1047">
        <f t="shared" si="17"/>
        <v>1</v>
      </c>
      <c r="CW25" s="1047">
        <f t="shared" si="18"/>
        <v>1</v>
      </c>
      <c r="CX25" s="1047">
        <f t="shared" si="19"/>
        <v>1</v>
      </c>
      <c r="CY25" s="1047">
        <f t="shared" si="20"/>
        <v>1</v>
      </c>
      <c r="DL25" s="108"/>
      <c r="DM25" s="108"/>
      <c r="DN25" s="108"/>
      <c r="DO25" s="108"/>
      <c r="DP25" s="108"/>
      <c r="DQ25" s="108"/>
      <c r="DR25" s="108"/>
      <c r="DS25" s="108"/>
      <c r="DT25" s="108"/>
      <c r="DU25" s="108"/>
      <c r="DW25" s="606"/>
    </row>
    <row r="26" spans="1:127" s="95" customFormat="1" ht="15" customHeight="1" x14ac:dyDescent="0.25">
      <c r="A26" s="1585" t="s">
        <v>1336</v>
      </c>
      <c r="B26" s="2151"/>
      <c r="C26" s="1338" t="s">
        <v>642</v>
      </c>
      <c r="D26" s="1142" t="s">
        <v>1616</v>
      </c>
      <c r="E26" s="387" t="s">
        <v>1617</v>
      </c>
      <c r="F26" s="531" t="s">
        <v>1618</v>
      </c>
      <c r="G26" s="398" t="s">
        <v>1619</v>
      </c>
      <c r="H26" s="399" t="s">
        <v>1620</v>
      </c>
      <c r="I26" s="398" t="s">
        <v>1621</v>
      </c>
      <c r="J26" s="399" t="s">
        <v>1622</v>
      </c>
      <c r="K26" s="398" t="s">
        <v>1623</v>
      </c>
      <c r="L26" s="399" t="s">
        <v>1624</v>
      </c>
      <c r="M26" s="398" t="s">
        <v>1625</v>
      </c>
      <c r="N26" s="399" t="s">
        <v>1626</v>
      </c>
      <c r="O26" s="398" t="s">
        <v>1627</v>
      </c>
      <c r="P26" s="399" t="s">
        <v>1628</v>
      </c>
      <c r="Q26" s="398" t="s">
        <v>1629</v>
      </c>
      <c r="R26" s="399" t="s">
        <v>1630</v>
      </c>
      <c r="S26" s="398" t="s">
        <v>1631</v>
      </c>
      <c r="T26" s="399" t="s">
        <v>1632</v>
      </c>
      <c r="U26" s="398" t="s">
        <v>1633</v>
      </c>
      <c r="V26" s="399" t="s">
        <v>1634</v>
      </c>
      <c r="W26" s="398" t="s">
        <v>1635</v>
      </c>
      <c r="X26" s="399" t="s">
        <v>1636</v>
      </c>
      <c r="Y26" s="398" t="s">
        <v>1637</v>
      </c>
      <c r="Z26" s="399" t="s">
        <v>1638</v>
      </c>
      <c r="AA26" s="398" t="s">
        <v>1639</v>
      </c>
      <c r="AB26" s="399" t="s">
        <v>1640</v>
      </c>
      <c r="AC26" s="398" t="s">
        <v>1641</v>
      </c>
      <c r="AD26" s="399" t="s">
        <v>1642</v>
      </c>
      <c r="AE26" s="398" t="s">
        <v>1643</v>
      </c>
      <c r="AF26" s="399" t="s">
        <v>1644</v>
      </c>
      <c r="AG26" s="398" t="s">
        <v>1645</v>
      </c>
      <c r="AH26" s="399" t="s">
        <v>1646</v>
      </c>
      <c r="AI26" s="398" t="s">
        <v>1647</v>
      </c>
      <c r="AJ26" s="399" t="s">
        <v>1648</v>
      </c>
      <c r="AK26" s="398" t="s">
        <v>1649</v>
      </c>
      <c r="AL26" s="399" t="s">
        <v>1650</v>
      </c>
      <c r="AM26" s="398" t="s">
        <v>1651</v>
      </c>
      <c r="AN26" s="407" t="s">
        <v>1652</v>
      </c>
      <c r="AO26" s="549" t="s">
        <v>1653</v>
      </c>
      <c r="AP26" s="650" t="s">
        <v>1654</v>
      </c>
      <c r="AQ26" s="465" t="s">
        <v>1655</v>
      </c>
      <c r="AR26" s="399" t="s">
        <v>1656</v>
      </c>
      <c r="AS26" s="465" t="s">
        <v>1657</v>
      </c>
      <c r="AT26" s="399" t="s">
        <v>1658</v>
      </c>
      <c r="AU26" s="533" t="s">
        <v>1659</v>
      </c>
      <c r="AV26" s="533" t="s">
        <v>1660</v>
      </c>
      <c r="AW26" s="533" t="s">
        <v>1661</v>
      </c>
      <c r="AX26" s="533" t="s">
        <v>1662</v>
      </c>
      <c r="AY26" s="533" t="s">
        <v>1663</v>
      </c>
      <c r="AZ26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6" s="113"/>
      <c r="BB26" s="113"/>
      <c r="CB26" s="191" t="str">
        <f t="shared" si="1"/>
        <v xml:space="preserve"> * La variable Gestante no puede ser Mayor al Total Mujeres.</v>
      </c>
      <c r="CC26" s="191" t="str">
        <f t="shared" si="2"/>
        <v xml:space="preserve"> * La variable Madre de hijo menor de 5 años no puede ser Mayor al Total Mujeres.</v>
      </c>
      <c r="CD26" s="191" t="str">
        <f t="shared" si="3"/>
        <v xml:space="preserve"> * La variable Pueblos Originarios Hombres no puede ser Mayor al Total Hombres.</v>
      </c>
      <c r="CE26" s="191" t="str">
        <f t="shared" si="4"/>
        <v xml:space="preserve"> * La variable Pueblos Originarios Mujeres no puede ser Mayor al Total Mujeres.</v>
      </c>
      <c r="CF26" s="191" t="str">
        <f t="shared" si="5"/>
        <v xml:space="preserve"> * La variable Migrantes Hombres no puede ser Mayor al Total Hombres.</v>
      </c>
      <c r="CG26" s="191" t="str">
        <f t="shared" si="6"/>
        <v xml:space="preserve"> * La variable Migrantes Mujeres no puede ser Mayor al Total Mujeres.</v>
      </c>
      <c r="CH26" s="191" t="str">
        <f t="shared" si="21"/>
        <v xml:space="preserve"> * La variable Niños, Niñas, Adolescentes y Jóvenes SENAME no puede ser Mayor al Total ambos sexos.</v>
      </c>
      <c r="CI26" s="191" t="str">
        <f t="shared" si="22"/>
        <v xml:space="preserve"> * La variable Niños y niñas Mejor Niñez no puede ser Mayor al Total ambos sexos.</v>
      </c>
      <c r="CJ26" s="191" t="str">
        <f t="shared" si="7"/>
        <v xml:space="preserve">* La variable Plan Cuidado Integral Elaborado debe ser menor o igual al Total de Personas en control. </v>
      </c>
      <c r="CK26" s="191" t="str">
        <f t="shared" si="8"/>
        <v xml:space="preserve"> * La variable Trans Masculino no debe ser mayor al Total Mujeres.</v>
      </c>
      <c r="CL26" s="191" t="str">
        <f t="shared" si="9"/>
        <v xml:space="preserve"> * La variable Trans Femenino no debe ser mayor al Total Hombre.</v>
      </c>
      <c r="CM26" s="108"/>
      <c r="CN26" s="108"/>
      <c r="CO26" s="1047">
        <f t="shared" si="10"/>
        <v>1</v>
      </c>
      <c r="CP26" s="1047">
        <f t="shared" si="11"/>
        <v>1</v>
      </c>
      <c r="CQ26" s="1047">
        <f t="shared" si="12"/>
        <v>1</v>
      </c>
      <c r="CR26" s="1047">
        <f t="shared" si="13"/>
        <v>1</v>
      </c>
      <c r="CS26" s="1047">
        <f t="shared" si="14"/>
        <v>1</v>
      </c>
      <c r="CT26" s="1047">
        <f t="shared" si="15"/>
        <v>1</v>
      </c>
      <c r="CU26" s="1047">
        <f t="shared" si="16"/>
        <v>1</v>
      </c>
      <c r="CV26" s="1047">
        <f t="shared" si="17"/>
        <v>1</v>
      </c>
      <c r="CW26" s="1047">
        <f t="shared" si="18"/>
        <v>1</v>
      </c>
      <c r="CX26" s="1047">
        <f t="shared" si="19"/>
        <v>1</v>
      </c>
      <c r="CY26" s="1047">
        <f t="shared" si="20"/>
        <v>1</v>
      </c>
      <c r="DL26" s="108"/>
      <c r="DM26" s="108"/>
      <c r="DN26" s="108"/>
      <c r="DO26" s="108"/>
      <c r="DP26" s="108"/>
      <c r="DQ26" s="108"/>
      <c r="DR26" s="108"/>
      <c r="DS26" s="108"/>
      <c r="DT26" s="108"/>
      <c r="DU26" s="108"/>
      <c r="DW26" s="606"/>
    </row>
    <row r="27" spans="1:127" s="95" customFormat="1" ht="15" customHeight="1" x14ac:dyDescent="0.25">
      <c r="A27" s="1585" t="s">
        <v>1337</v>
      </c>
      <c r="B27" s="2151"/>
      <c r="C27" s="1338" t="s">
        <v>643</v>
      </c>
      <c r="D27" s="1142" t="s">
        <v>1616</v>
      </c>
      <c r="E27" s="387" t="s">
        <v>1617</v>
      </c>
      <c r="F27" s="531" t="s">
        <v>1618</v>
      </c>
      <c r="G27" s="398" t="s">
        <v>1619</v>
      </c>
      <c r="H27" s="399" t="s">
        <v>1620</v>
      </c>
      <c r="I27" s="398" t="s">
        <v>1621</v>
      </c>
      <c r="J27" s="399" t="s">
        <v>1622</v>
      </c>
      <c r="K27" s="398" t="s">
        <v>1623</v>
      </c>
      <c r="L27" s="399" t="s">
        <v>1624</v>
      </c>
      <c r="M27" s="398" t="s">
        <v>1625</v>
      </c>
      <c r="N27" s="399" t="s">
        <v>1626</v>
      </c>
      <c r="O27" s="398" t="s">
        <v>1627</v>
      </c>
      <c r="P27" s="399" t="s">
        <v>1628</v>
      </c>
      <c r="Q27" s="398" t="s">
        <v>1629</v>
      </c>
      <c r="R27" s="399" t="s">
        <v>1630</v>
      </c>
      <c r="S27" s="398" t="s">
        <v>1631</v>
      </c>
      <c r="T27" s="399" t="s">
        <v>1632</v>
      </c>
      <c r="U27" s="398" t="s">
        <v>1633</v>
      </c>
      <c r="V27" s="399" t="s">
        <v>1634</v>
      </c>
      <c r="W27" s="398" t="s">
        <v>1635</v>
      </c>
      <c r="X27" s="399" t="s">
        <v>1636</v>
      </c>
      <c r="Y27" s="398" t="s">
        <v>1637</v>
      </c>
      <c r="Z27" s="399" t="s">
        <v>1638</v>
      </c>
      <c r="AA27" s="398" t="s">
        <v>1639</v>
      </c>
      <c r="AB27" s="399" t="s">
        <v>1640</v>
      </c>
      <c r="AC27" s="398" t="s">
        <v>1641</v>
      </c>
      <c r="AD27" s="399" t="s">
        <v>1642</v>
      </c>
      <c r="AE27" s="398" t="s">
        <v>1643</v>
      </c>
      <c r="AF27" s="399" t="s">
        <v>1644</v>
      </c>
      <c r="AG27" s="398" t="s">
        <v>1645</v>
      </c>
      <c r="AH27" s="399" t="s">
        <v>1646</v>
      </c>
      <c r="AI27" s="398" t="s">
        <v>1647</v>
      </c>
      <c r="AJ27" s="399" t="s">
        <v>1648</v>
      </c>
      <c r="AK27" s="398" t="s">
        <v>1649</v>
      </c>
      <c r="AL27" s="399" t="s">
        <v>1650</v>
      </c>
      <c r="AM27" s="398" t="s">
        <v>1651</v>
      </c>
      <c r="AN27" s="407" t="s">
        <v>1652</v>
      </c>
      <c r="AO27" s="549" t="s">
        <v>1653</v>
      </c>
      <c r="AP27" s="650" t="s">
        <v>1654</v>
      </c>
      <c r="AQ27" s="465" t="s">
        <v>1655</v>
      </c>
      <c r="AR27" s="399" t="s">
        <v>1656</v>
      </c>
      <c r="AS27" s="465" t="s">
        <v>1657</v>
      </c>
      <c r="AT27" s="399" t="s">
        <v>1658</v>
      </c>
      <c r="AU27" s="533" t="s">
        <v>1659</v>
      </c>
      <c r="AV27" s="533" t="s">
        <v>1660</v>
      </c>
      <c r="AW27" s="533" t="s">
        <v>1661</v>
      </c>
      <c r="AX27" s="533" t="s">
        <v>1662</v>
      </c>
      <c r="AY27" s="533" t="s">
        <v>1663</v>
      </c>
      <c r="AZ27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7" s="113"/>
      <c r="BB27" s="113"/>
      <c r="CB27" s="191" t="str">
        <f t="shared" si="1"/>
        <v xml:space="preserve"> * La variable Gestante no puede ser Mayor al Total Mujeres.</v>
      </c>
      <c r="CC27" s="191" t="str">
        <f t="shared" si="2"/>
        <v xml:space="preserve"> * La variable Madre de hijo menor de 5 años no puede ser Mayor al Total Mujeres.</v>
      </c>
      <c r="CD27" s="191" t="str">
        <f t="shared" si="3"/>
        <v xml:space="preserve"> * La variable Pueblos Originarios Hombres no puede ser Mayor al Total Hombres.</v>
      </c>
      <c r="CE27" s="191" t="str">
        <f>IF(AND(F27&gt;0,OR(AR27=""))," * No olvide digitar la variable Pueblos Originarios Mujeres. Digite Cero si no tiene.",IF(AR27&gt;F27," * La variable Pueblos Originarios Mujeres no puede ser Mayor al Total Mujeres.",""))</f>
        <v xml:space="preserve"> * La variable Pueblos Originarios Mujeres no puede ser Mayor al Total Mujeres.</v>
      </c>
      <c r="CF27" s="191" t="str">
        <f t="shared" si="5"/>
        <v xml:space="preserve"> * La variable Migrantes Hombres no puede ser Mayor al Total Hombres.</v>
      </c>
      <c r="CG27" s="191" t="str">
        <f t="shared" si="6"/>
        <v xml:space="preserve"> * La variable Migrantes Mujeres no puede ser Mayor al Total Mujeres.</v>
      </c>
      <c r="CH27" s="191" t="str">
        <f t="shared" si="21"/>
        <v xml:space="preserve"> * La variable Niños, Niñas, Adolescentes y Jóvenes SENAME no puede ser Mayor al Total ambos sexos.</v>
      </c>
      <c r="CI27" s="191" t="str">
        <f t="shared" si="22"/>
        <v xml:space="preserve"> * La variable Niños y niñas Mejor Niñez no puede ser Mayor al Total ambos sexos.</v>
      </c>
      <c r="CJ27" s="191" t="str">
        <f t="shared" si="7"/>
        <v xml:space="preserve">* La variable Plan Cuidado Integral Elaborado debe ser menor o igual al Total de Personas en control. </v>
      </c>
      <c r="CK27" s="191" t="str">
        <f t="shared" si="8"/>
        <v xml:space="preserve"> * La variable Trans Masculino no debe ser mayor al Total Mujeres.</v>
      </c>
      <c r="CL27" s="191" t="str">
        <f t="shared" si="9"/>
        <v xml:space="preserve"> * La variable Trans Femenino no debe ser mayor al Total Hombre.</v>
      </c>
      <c r="CM27" s="108"/>
      <c r="CN27" s="108"/>
      <c r="CO27" s="1047">
        <f t="shared" si="10"/>
        <v>1</v>
      </c>
      <c r="CP27" s="1047">
        <f t="shared" si="11"/>
        <v>1</v>
      </c>
      <c r="CQ27" s="1047">
        <f t="shared" si="12"/>
        <v>1</v>
      </c>
      <c r="CR27" s="1047">
        <f t="shared" si="13"/>
        <v>1</v>
      </c>
      <c r="CS27" s="1047">
        <f t="shared" si="14"/>
        <v>1</v>
      </c>
      <c r="CT27" s="1047">
        <f t="shared" si="15"/>
        <v>1</v>
      </c>
      <c r="CU27" s="1047">
        <f t="shared" si="16"/>
        <v>1</v>
      </c>
      <c r="CV27" s="1047">
        <f t="shared" si="17"/>
        <v>1</v>
      </c>
      <c r="CW27" s="1047">
        <f t="shared" si="18"/>
        <v>1</v>
      </c>
      <c r="CX27" s="1047">
        <f t="shared" si="19"/>
        <v>1</v>
      </c>
      <c r="CY27" s="1047">
        <f t="shared" si="20"/>
        <v>1</v>
      </c>
      <c r="DL27" s="108"/>
      <c r="DM27" s="108"/>
      <c r="DN27" s="108"/>
      <c r="DO27" s="108"/>
      <c r="DP27" s="108"/>
      <c r="DQ27" s="108"/>
      <c r="DR27" s="108"/>
      <c r="DS27" s="108"/>
      <c r="DT27" s="108"/>
      <c r="DU27" s="108"/>
      <c r="DW27" s="606"/>
    </row>
    <row r="28" spans="1:127" s="95" customFormat="1" ht="15" customHeight="1" x14ac:dyDescent="0.25">
      <c r="A28" s="1585" t="s">
        <v>1338</v>
      </c>
      <c r="B28" s="2151"/>
      <c r="C28" s="1338" t="s">
        <v>644</v>
      </c>
      <c r="D28" s="1142" t="s">
        <v>1616</v>
      </c>
      <c r="E28" s="534" t="s">
        <v>1617</v>
      </c>
      <c r="F28" s="535" t="s">
        <v>1618</v>
      </c>
      <c r="G28" s="436" t="s">
        <v>1619</v>
      </c>
      <c r="H28" s="437" t="s">
        <v>1620</v>
      </c>
      <c r="I28" s="436" t="s">
        <v>1621</v>
      </c>
      <c r="J28" s="437" t="s">
        <v>1622</v>
      </c>
      <c r="K28" s="436" t="s">
        <v>1623</v>
      </c>
      <c r="L28" s="399" t="s">
        <v>1624</v>
      </c>
      <c r="M28" s="436" t="s">
        <v>1625</v>
      </c>
      <c r="N28" s="399" t="s">
        <v>1626</v>
      </c>
      <c r="O28" s="436" t="s">
        <v>1627</v>
      </c>
      <c r="P28" s="399" t="s">
        <v>1628</v>
      </c>
      <c r="Q28" s="436" t="s">
        <v>1629</v>
      </c>
      <c r="R28" s="399" t="s">
        <v>1630</v>
      </c>
      <c r="S28" s="436" t="s">
        <v>1631</v>
      </c>
      <c r="T28" s="399" t="s">
        <v>1632</v>
      </c>
      <c r="U28" s="436" t="s">
        <v>1633</v>
      </c>
      <c r="V28" s="399" t="s">
        <v>1634</v>
      </c>
      <c r="W28" s="436" t="s">
        <v>1635</v>
      </c>
      <c r="X28" s="399" t="s">
        <v>1636</v>
      </c>
      <c r="Y28" s="436" t="s">
        <v>1637</v>
      </c>
      <c r="Z28" s="399" t="s">
        <v>1638</v>
      </c>
      <c r="AA28" s="436" t="s">
        <v>1639</v>
      </c>
      <c r="AB28" s="399" t="s">
        <v>1640</v>
      </c>
      <c r="AC28" s="436" t="s">
        <v>1641</v>
      </c>
      <c r="AD28" s="399" t="s">
        <v>1642</v>
      </c>
      <c r="AE28" s="436" t="s">
        <v>1643</v>
      </c>
      <c r="AF28" s="437" t="s">
        <v>1644</v>
      </c>
      <c r="AG28" s="436" t="s">
        <v>1645</v>
      </c>
      <c r="AH28" s="437" t="s">
        <v>1646</v>
      </c>
      <c r="AI28" s="436" t="s">
        <v>1647</v>
      </c>
      <c r="AJ28" s="437" t="s">
        <v>1648</v>
      </c>
      <c r="AK28" s="436" t="s">
        <v>1649</v>
      </c>
      <c r="AL28" s="437" t="s">
        <v>1650</v>
      </c>
      <c r="AM28" s="436" t="s">
        <v>1651</v>
      </c>
      <c r="AN28" s="536" t="s">
        <v>1652</v>
      </c>
      <c r="AO28" s="856" t="s">
        <v>1653</v>
      </c>
      <c r="AP28" s="650" t="s">
        <v>1654</v>
      </c>
      <c r="AQ28" s="534" t="s">
        <v>1655</v>
      </c>
      <c r="AR28" s="399" t="s">
        <v>1656</v>
      </c>
      <c r="AS28" s="534" t="s">
        <v>1657</v>
      </c>
      <c r="AT28" s="399" t="s">
        <v>1658</v>
      </c>
      <c r="AU28" s="533" t="s">
        <v>1659</v>
      </c>
      <c r="AV28" s="533" t="s">
        <v>1660</v>
      </c>
      <c r="AW28" s="533" t="s">
        <v>1661</v>
      </c>
      <c r="AX28" s="533" t="s">
        <v>1662</v>
      </c>
      <c r="AY28" s="438" t="s">
        <v>1663</v>
      </c>
      <c r="AZ28" s="1056" t="str">
        <f t="shared" si="0"/>
        <v xml:space="preserve"> * La variable Madre de hijo menor de 5 años no puede ser Mayor al Total Mujeres. * La variable Pueblos Originarios Mujeres no puede ser Mayor al Total Mujeres.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</v>
      </c>
      <c r="BA28" s="113"/>
      <c r="BB28" s="113"/>
      <c r="CB28" s="1086"/>
      <c r="CC28" s="191" t="str">
        <f t="shared" si="2"/>
        <v xml:space="preserve"> * La variable Madre de hijo menor de 5 años no puede ser Mayor al Total Mujeres.</v>
      </c>
      <c r="CD28" s="1086"/>
      <c r="CE28" s="191" t="str">
        <f>IF(AND(F28&gt;0,OR(AR28=""))," * No olvide digitar la variable Pueblos Originarios Mujeres. Digite Cero si no tiene.",IF(AR28&gt;F28," * La variable Pueblos Originarios Mujeres no puede ser Mayor al Total Mujeres.",""))</f>
        <v xml:space="preserve"> * La variable Pueblos Originarios Mujeres no puede ser Mayor al Total Mujeres.</v>
      </c>
      <c r="CF28" s="1086"/>
      <c r="CG28" s="191" t="str">
        <f>IF(AND($F28&gt;0,OR(AT28=""))," * No olvide digitar la variable Migrantes Mujeres. Digite Cero si no tiene.",IF(AT28&gt;$F28," * La variable Migrantes Mujeres no puede ser Mayor al Total Mujeres.",""))</f>
        <v xml:space="preserve"> * La variable Migrantes Mujeres no puede ser Mayor al Total Mujeres.</v>
      </c>
      <c r="CH28" s="191" t="str">
        <f t="shared" si="21"/>
        <v xml:space="preserve"> * La variable Niños, Niñas, Adolescentes y Jóvenes SENAME no puede ser Mayor al Total ambos sexos.</v>
      </c>
      <c r="CI28" s="191" t="str">
        <f t="shared" si="22"/>
        <v xml:space="preserve"> * La variable Niños y niñas Mejor Niñez no puede ser Mayor al Total ambos sexos.</v>
      </c>
      <c r="CJ28" s="191" t="str">
        <f>IF(AND(D28&gt;0,OR(AW28=""))," * No olvide digitar la variable Plan Cuidado Integral Elaborado. Digite Cero si no tiene.",IF($AW28&gt;$D28,"* La variable Plan Cuidado Integral Elaborado debe ser menor o igual al Total de Personas en control. ",""))</f>
        <v xml:space="preserve">* La variable Plan Cuidado Integral Elaborado debe ser menor o igual al Total de Personas en control. </v>
      </c>
      <c r="CK28" s="191" t="str">
        <f t="shared" ref="CK28:CK34" si="23">IF(AND(F28&gt;0,OR(AX28=""))," * No olvide digitar la variable Trans Masculino. (Digite Cero si no tiene).",IF(AX28&gt;F28," * La variable Trans Masculino no debe ser mayor al Total Mujeres.",""))</f>
        <v xml:space="preserve"> * La variable Trans Masculino no debe ser mayor al Total Mujeres.</v>
      </c>
      <c r="CL28" s="1086"/>
      <c r="CM28" s="108"/>
      <c r="CN28" s="108"/>
      <c r="CO28" s="1086"/>
      <c r="CP28" s="1047">
        <f t="shared" si="11"/>
        <v>1</v>
      </c>
      <c r="CQ28" s="1086"/>
      <c r="CR28" s="1047">
        <f t="shared" si="13"/>
        <v>1</v>
      </c>
      <c r="CS28" s="1086"/>
      <c r="CT28" s="1047">
        <f t="shared" si="15"/>
        <v>1</v>
      </c>
      <c r="CU28" s="1047">
        <f t="shared" si="16"/>
        <v>1</v>
      </c>
      <c r="CV28" s="1047">
        <f t="shared" si="17"/>
        <v>1</v>
      </c>
      <c r="CW28" s="1047">
        <f t="shared" si="18"/>
        <v>1</v>
      </c>
      <c r="CX28" s="1047">
        <f>IF(AND(F28&gt;0,OR(AX28="")),1,IF(AX28&gt;$F28,1,0))</f>
        <v>1</v>
      </c>
      <c r="CY28" s="1086"/>
      <c r="DL28" s="108"/>
      <c r="DM28" s="108"/>
      <c r="DN28" s="108"/>
      <c r="DO28" s="108"/>
      <c r="DP28" s="108"/>
      <c r="DQ28" s="108"/>
      <c r="DR28" s="108"/>
      <c r="DS28" s="108"/>
      <c r="DT28" s="108"/>
      <c r="DU28" s="108"/>
      <c r="DW28" s="606"/>
    </row>
    <row r="29" spans="1:127" s="95" customFormat="1" ht="15" customHeight="1" x14ac:dyDescent="0.25">
      <c r="A29" s="1585" t="s">
        <v>1339</v>
      </c>
      <c r="B29" s="2152"/>
      <c r="C29" s="1337" t="s">
        <v>645</v>
      </c>
      <c r="D29" s="1146" t="s">
        <v>1616</v>
      </c>
      <c r="E29" s="401" t="s">
        <v>1617</v>
      </c>
      <c r="F29" s="537" t="s">
        <v>1618</v>
      </c>
      <c r="G29" s="408" t="s">
        <v>1619</v>
      </c>
      <c r="H29" s="409" t="s">
        <v>1620</v>
      </c>
      <c r="I29" s="408" t="s">
        <v>1621</v>
      </c>
      <c r="J29" s="409" t="s">
        <v>1622</v>
      </c>
      <c r="K29" s="408" t="s">
        <v>1623</v>
      </c>
      <c r="L29" s="409" t="s">
        <v>1624</v>
      </c>
      <c r="M29" s="408" t="s">
        <v>1625</v>
      </c>
      <c r="N29" s="409" t="s">
        <v>1626</v>
      </c>
      <c r="O29" s="408" t="s">
        <v>1627</v>
      </c>
      <c r="P29" s="409" t="s">
        <v>1628</v>
      </c>
      <c r="Q29" s="408" t="s">
        <v>1629</v>
      </c>
      <c r="R29" s="409" t="s">
        <v>1630</v>
      </c>
      <c r="S29" s="408" t="s">
        <v>1631</v>
      </c>
      <c r="T29" s="409" t="s">
        <v>1632</v>
      </c>
      <c r="U29" s="408" t="s">
        <v>1633</v>
      </c>
      <c r="V29" s="409" t="s">
        <v>1634</v>
      </c>
      <c r="W29" s="408" t="s">
        <v>1635</v>
      </c>
      <c r="X29" s="409" t="s">
        <v>1636</v>
      </c>
      <c r="Y29" s="408" t="s">
        <v>1637</v>
      </c>
      <c r="Z29" s="409" t="s">
        <v>1638</v>
      </c>
      <c r="AA29" s="408" t="s">
        <v>1639</v>
      </c>
      <c r="AB29" s="409" t="s">
        <v>1640</v>
      </c>
      <c r="AC29" s="408" t="s">
        <v>1641</v>
      </c>
      <c r="AD29" s="409" t="s">
        <v>1642</v>
      </c>
      <c r="AE29" s="408" t="s">
        <v>1643</v>
      </c>
      <c r="AF29" s="409" t="s">
        <v>1644</v>
      </c>
      <c r="AG29" s="408" t="s">
        <v>1645</v>
      </c>
      <c r="AH29" s="409" t="s">
        <v>1646</v>
      </c>
      <c r="AI29" s="408" t="s">
        <v>1647</v>
      </c>
      <c r="AJ29" s="409" t="s">
        <v>1648</v>
      </c>
      <c r="AK29" s="408" t="s">
        <v>1649</v>
      </c>
      <c r="AL29" s="409" t="s">
        <v>1650</v>
      </c>
      <c r="AM29" s="408" t="s">
        <v>1651</v>
      </c>
      <c r="AN29" s="410" t="s">
        <v>1652</v>
      </c>
      <c r="AO29" s="664" t="s">
        <v>1653</v>
      </c>
      <c r="AP29" s="653" t="s">
        <v>1654</v>
      </c>
      <c r="AQ29" s="659" t="s">
        <v>1655</v>
      </c>
      <c r="AR29" s="409" t="s">
        <v>1656</v>
      </c>
      <c r="AS29" s="659" t="s">
        <v>1657</v>
      </c>
      <c r="AT29" s="409" t="s">
        <v>1658</v>
      </c>
      <c r="AU29" s="538" t="s">
        <v>1659</v>
      </c>
      <c r="AV29" s="538" t="s">
        <v>1660</v>
      </c>
      <c r="AW29" s="538" t="s">
        <v>1661</v>
      </c>
      <c r="AX29" s="538" t="s">
        <v>1662</v>
      </c>
      <c r="AY29" s="538" t="s">
        <v>1663</v>
      </c>
      <c r="AZ29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9" s="113"/>
      <c r="BB29" s="113"/>
      <c r="CB29" s="191" t="str">
        <f t="shared" ref="CB29:CB43" si="24">IF(AND(F29&gt;0,OR(AO29=""))," * No olvide digitar la variable Gestantes. Digite Cero si no tiene.",IF(AO29&gt;F29," * La variable Gestante no puede ser Mayor al Total Mujeres.",""))</f>
        <v xml:space="preserve"> * La variable Gestante no puede ser Mayor al Total Mujeres.</v>
      </c>
      <c r="CC29" s="191" t="str">
        <f t="shared" si="2"/>
        <v xml:space="preserve"> * La variable Madre de hijo menor de 5 años no puede ser Mayor al Total Mujeres.</v>
      </c>
      <c r="CD29" s="191" t="str">
        <f t="shared" ref="CD29:CD34" si="25">IF(AND(E29&gt;0,OR(AQ29=""))," * No olvide digitar la variable Pueblos Originarios Hombres. Digite Cero si no tiene.",IF(AQ29&gt;E29," * La variable Pueblos Originarios Hombres no puede ser Mayor al Total Hombres.",""))</f>
        <v xml:space="preserve"> * La variable Pueblos Originarios Hombres no puede ser Mayor al Total Hombres.</v>
      </c>
      <c r="CE29" s="191" t="str">
        <f t="shared" ref="CE29:CE34" si="26">IF(AND(F29&gt;0,OR(AR29=""))," * No olvide digitar la variable Pueblos Originarios Mujeres. Digite Cero si no tiene.",IF(AR29&gt;F29," * La variable Pueblos Originarios Mujeres no puede ser Mayor al Total Mujeres.",""))</f>
        <v xml:space="preserve"> * La variable Pueblos Originarios Mujeres no puede ser Mayor al Total Mujeres.</v>
      </c>
      <c r="CF29" s="191" t="str">
        <f t="shared" ref="CF29:CF34" si="27">IF(AND($E29&gt;0,OR(AS29=""))," * No olvide digitar la variable Migrantes Hombres. Digite Cero si no tiene.",IF(AS29&gt;$E29," * La variable Migrantes Hombres no puede ser Mayor al Total Hombres.",""))</f>
        <v xml:space="preserve"> * La variable Migrantes Hombres no puede ser Mayor al Total Hombres.</v>
      </c>
      <c r="CG29" s="191" t="str">
        <f t="shared" ref="CG29:CG34" si="28">IF(AND($F29&gt;0,OR(AT29=""))," * No olvide digitar la variable Migrantes Mujeres. Digite Cero si no tiene.",IF(AT29&gt;$F29," * La variable Migrantes Mujeres no puede ser Mayor al Total Mujeres.",""))</f>
        <v xml:space="preserve"> * La variable Migrantes Mujeres no puede ser Mayor al Total Mujeres.</v>
      </c>
      <c r="CH29" s="191" t="str">
        <f t="shared" si="21"/>
        <v xml:space="preserve"> * La variable Niños, Niñas, Adolescentes y Jóvenes SENAME no puede ser Mayor al Total ambos sexos.</v>
      </c>
      <c r="CI29" s="191" t="str">
        <f t="shared" si="22"/>
        <v xml:space="preserve"> * La variable Niños y niñas Mejor Niñez no puede ser Mayor al Total ambos sexos.</v>
      </c>
      <c r="CJ29" s="191" t="str">
        <f t="shared" ref="CJ29:CJ34" si="29">IF(AND(D29&gt;0,OR(AW29=""))," * No olvide digitar la variable Plan Cuidado Integral Elaborado. Digite Cero si no tiene.",IF($AW29&gt;$D29,"* La variable Plan Cuidado Integral Elaborado debe ser menor o igual al Total de Personas en control. ",""))</f>
        <v xml:space="preserve">* La variable Plan Cuidado Integral Elaborado debe ser menor o igual al Total de Personas en control. </v>
      </c>
      <c r="CK29" s="191" t="str">
        <f t="shared" si="23"/>
        <v xml:space="preserve"> * La variable Trans Masculino no debe ser mayor al Total Mujeres.</v>
      </c>
      <c r="CL29" s="191" t="str">
        <f t="shared" ref="CL29:CL34" si="30">IF(AND(E29&gt;0,OR(AY29=""))," * No olvide digitar la variable Trans Femenino. (Digite Cero si no tiene).",IF(AY29&gt;E29," * La variable Trans Femenino no debe ser mayor al Total Hombre.",""))</f>
        <v xml:space="preserve"> * La variable Trans Femenino no debe ser mayor al Total Hombre.</v>
      </c>
      <c r="CM29" s="108"/>
      <c r="CN29" s="108"/>
      <c r="CO29" s="1047">
        <f t="shared" ref="CO29:CO43" si="31">IF(AND($F29&gt;0,OR(AO29="")),1,IF(AO29&gt;$F29,1,0))</f>
        <v>1</v>
      </c>
      <c r="CP29" s="1047">
        <f t="shared" si="11"/>
        <v>1</v>
      </c>
      <c r="CQ29" s="1047">
        <f t="shared" ref="CQ29:CQ35" si="32">IF(AND($E29&gt;0,OR(AQ29="")),1,IF(AQ29&gt;$E29,1,0))</f>
        <v>1</v>
      </c>
      <c r="CR29" s="1047">
        <f t="shared" si="13"/>
        <v>1</v>
      </c>
      <c r="CS29" s="1047">
        <f t="shared" ref="CS29:CS34" si="33">IF(AND($E29&gt;0,OR(AS29="")),1,IF(AS29&gt;$E29,1,0))</f>
        <v>1</v>
      </c>
      <c r="CT29" s="1047">
        <f t="shared" si="15"/>
        <v>1</v>
      </c>
      <c r="CU29" s="1047">
        <f t="shared" si="16"/>
        <v>1</v>
      </c>
      <c r="CV29" s="1047">
        <f t="shared" si="17"/>
        <v>1</v>
      </c>
      <c r="CW29" s="1047">
        <f t="shared" si="18"/>
        <v>1</v>
      </c>
      <c r="CX29" s="1047">
        <f t="shared" ref="CX29:CX58" si="34">IF(AND(F29&gt;0,OR(AX29="")),1,IF(AX29&gt;$F29,1,0))</f>
        <v>1</v>
      </c>
      <c r="CY29" s="1047">
        <f t="shared" ref="CY29:CY58" si="35">IF(AND(E29&gt;0,OR(AY29="")),1,IF(AY29&gt;$E29,1,0))</f>
        <v>1</v>
      </c>
      <c r="DL29" s="108"/>
      <c r="DM29" s="108"/>
      <c r="DN29" s="108"/>
      <c r="DO29" s="108"/>
      <c r="DP29" s="108"/>
      <c r="DQ29" s="108"/>
      <c r="DR29" s="108"/>
      <c r="DS29" s="108"/>
      <c r="DT29" s="108"/>
      <c r="DU29" s="108"/>
      <c r="DW29" s="606"/>
    </row>
    <row r="30" spans="1:127" s="95" customFormat="1" ht="15" customHeight="1" x14ac:dyDescent="0.25">
      <c r="A30" s="1585" t="s">
        <v>1340</v>
      </c>
      <c r="B30" s="2150" t="s">
        <v>646</v>
      </c>
      <c r="C30" s="1334" t="s">
        <v>647</v>
      </c>
      <c r="D30" s="1145" t="s">
        <v>1616</v>
      </c>
      <c r="E30" s="392" t="s">
        <v>1617</v>
      </c>
      <c r="F30" s="539" t="s">
        <v>1618</v>
      </c>
      <c r="G30" s="394" t="s">
        <v>1619</v>
      </c>
      <c r="H30" s="395" t="s">
        <v>1620</v>
      </c>
      <c r="I30" s="394" t="s">
        <v>1621</v>
      </c>
      <c r="J30" s="395" t="s">
        <v>1622</v>
      </c>
      <c r="K30" s="394" t="s">
        <v>1623</v>
      </c>
      <c r="L30" s="395" t="s">
        <v>1624</v>
      </c>
      <c r="M30" s="394" t="s">
        <v>1625</v>
      </c>
      <c r="N30" s="395" t="s">
        <v>1626</v>
      </c>
      <c r="O30" s="394" t="s">
        <v>1627</v>
      </c>
      <c r="P30" s="395" t="s">
        <v>1628</v>
      </c>
      <c r="Q30" s="394" t="s">
        <v>1629</v>
      </c>
      <c r="R30" s="395" t="s">
        <v>1630</v>
      </c>
      <c r="S30" s="394" t="s">
        <v>1631</v>
      </c>
      <c r="T30" s="395" t="s">
        <v>1632</v>
      </c>
      <c r="U30" s="394" t="s">
        <v>1633</v>
      </c>
      <c r="V30" s="395" t="s">
        <v>1634</v>
      </c>
      <c r="W30" s="394" t="s">
        <v>1635</v>
      </c>
      <c r="X30" s="395" t="s">
        <v>1636</v>
      </c>
      <c r="Y30" s="394" t="s">
        <v>1637</v>
      </c>
      <c r="Z30" s="395" t="s">
        <v>1638</v>
      </c>
      <c r="AA30" s="394" t="s">
        <v>1639</v>
      </c>
      <c r="AB30" s="395" t="s">
        <v>1640</v>
      </c>
      <c r="AC30" s="394" t="s">
        <v>1641</v>
      </c>
      <c r="AD30" s="395" t="s">
        <v>1642</v>
      </c>
      <c r="AE30" s="394" t="s">
        <v>1643</v>
      </c>
      <c r="AF30" s="395" t="s">
        <v>1644</v>
      </c>
      <c r="AG30" s="394" t="s">
        <v>1645</v>
      </c>
      <c r="AH30" s="395" t="s">
        <v>1646</v>
      </c>
      <c r="AI30" s="394" t="s">
        <v>1647</v>
      </c>
      <c r="AJ30" s="395" t="s">
        <v>1648</v>
      </c>
      <c r="AK30" s="394" t="s">
        <v>1649</v>
      </c>
      <c r="AL30" s="395" t="s">
        <v>1650</v>
      </c>
      <c r="AM30" s="394" t="s">
        <v>1651</v>
      </c>
      <c r="AN30" s="406" t="s">
        <v>1652</v>
      </c>
      <c r="AO30" s="661" t="s">
        <v>1653</v>
      </c>
      <c r="AP30" s="649" t="s">
        <v>1654</v>
      </c>
      <c r="AQ30" s="462" t="s">
        <v>1655</v>
      </c>
      <c r="AR30" s="395" t="s">
        <v>1656</v>
      </c>
      <c r="AS30" s="462" t="s">
        <v>1657</v>
      </c>
      <c r="AT30" s="395" t="s">
        <v>1658</v>
      </c>
      <c r="AU30" s="461" t="s">
        <v>1659</v>
      </c>
      <c r="AV30" s="461" t="s">
        <v>1660</v>
      </c>
      <c r="AW30" s="461" t="s">
        <v>1661</v>
      </c>
      <c r="AX30" s="461" t="s">
        <v>1662</v>
      </c>
      <c r="AY30" s="461" t="s">
        <v>1663</v>
      </c>
      <c r="AZ30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0" s="113"/>
      <c r="BB30" s="113"/>
      <c r="CB30" s="191" t="str">
        <f t="shared" si="24"/>
        <v xml:space="preserve"> * La variable Gestante no puede ser Mayor al Total Mujeres.</v>
      </c>
      <c r="CC30" s="191" t="str">
        <f t="shared" si="2"/>
        <v xml:space="preserve"> * La variable Madre de hijo menor de 5 años no puede ser Mayor al Total Mujeres.</v>
      </c>
      <c r="CD30" s="191" t="str">
        <f t="shared" si="25"/>
        <v xml:space="preserve"> * La variable Pueblos Originarios Hombres no puede ser Mayor al Total Hombres.</v>
      </c>
      <c r="CE30" s="191" t="str">
        <f t="shared" si="26"/>
        <v xml:space="preserve"> * La variable Pueblos Originarios Mujeres no puede ser Mayor al Total Mujeres.</v>
      </c>
      <c r="CF30" s="191" t="str">
        <f t="shared" si="27"/>
        <v xml:space="preserve"> * La variable Migrantes Hombres no puede ser Mayor al Total Hombres.</v>
      </c>
      <c r="CG30" s="191" t="str">
        <f t="shared" si="28"/>
        <v xml:space="preserve"> * La variable Migrantes Mujeres no puede ser Mayor al Total Mujeres.</v>
      </c>
      <c r="CH30" s="191" t="str">
        <f t="shared" si="21"/>
        <v xml:space="preserve"> * La variable Niños, Niñas, Adolescentes y Jóvenes SENAME no puede ser Mayor al Total ambos sexos.</v>
      </c>
      <c r="CI30" s="191" t="str">
        <f t="shared" si="22"/>
        <v xml:space="preserve"> * La variable Niños y niñas Mejor Niñez no puede ser Mayor al Total ambos sexos.</v>
      </c>
      <c r="CJ30" s="191" t="str">
        <f t="shared" si="29"/>
        <v xml:space="preserve">* La variable Plan Cuidado Integral Elaborado debe ser menor o igual al Total de Personas en control. </v>
      </c>
      <c r="CK30" s="191" t="str">
        <f t="shared" si="23"/>
        <v xml:space="preserve"> * La variable Trans Masculino no debe ser mayor al Total Mujeres.</v>
      </c>
      <c r="CL30" s="191" t="str">
        <f t="shared" si="30"/>
        <v xml:space="preserve"> * La variable Trans Femenino no debe ser mayor al Total Hombre.</v>
      </c>
      <c r="CM30" s="108"/>
      <c r="CN30" s="108"/>
      <c r="CO30" s="1047">
        <f t="shared" si="31"/>
        <v>1</v>
      </c>
      <c r="CP30" s="1047">
        <f t="shared" si="11"/>
        <v>1</v>
      </c>
      <c r="CQ30" s="1047">
        <f t="shared" si="32"/>
        <v>1</v>
      </c>
      <c r="CR30" s="1047">
        <f t="shared" si="13"/>
        <v>1</v>
      </c>
      <c r="CS30" s="1047">
        <f t="shared" si="33"/>
        <v>1</v>
      </c>
      <c r="CT30" s="1047">
        <f t="shared" si="15"/>
        <v>1</v>
      </c>
      <c r="CU30" s="1047">
        <f t="shared" si="16"/>
        <v>1</v>
      </c>
      <c r="CV30" s="1047">
        <f t="shared" si="17"/>
        <v>1</v>
      </c>
      <c r="CW30" s="1047">
        <f t="shared" si="18"/>
        <v>1</v>
      </c>
      <c r="CX30" s="1047">
        <f t="shared" si="34"/>
        <v>1</v>
      </c>
      <c r="CY30" s="1047">
        <f t="shared" si="35"/>
        <v>1</v>
      </c>
      <c r="DL30" s="108"/>
      <c r="DM30" s="108"/>
      <c r="DN30" s="108"/>
      <c r="DO30" s="108"/>
      <c r="DP30" s="108"/>
      <c r="DQ30" s="108"/>
      <c r="DR30" s="108"/>
      <c r="DS30" s="108"/>
      <c r="DT30" s="108"/>
      <c r="DU30" s="108"/>
      <c r="DW30" s="606"/>
    </row>
    <row r="31" spans="1:127" s="95" customFormat="1" ht="15" customHeight="1" x14ac:dyDescent="0.25">
      <c r="A31" s="1585" t="s">
        <v>1341</v>
      </c>
      <c r="B31" s="2151"/>
      <c r="C31" s="1338" t="s">
        <v>648</v>
      </c>
      <c r="D31" s="1147" t="s">
        <v>1616</v>
      </c>
      <c r="E31" s="397" t="s">
        <v>1617</v>
      </c>
      <c r="F31" s="535" t="s">
        <v>1618</v>
      </c>
      <c r="G31" s="398" t="s">
        <v>1619</v>
      </c>
      <c r="H31" s="399" t="s">
        <v>1620</v>
      </c>
      <c r="I31" s="398" t="s">
        <v>1621</v>
      </c>
      <c r="J31" s="399" t="s">
        <v>1622</v>
      </c>
      <c r="K31" s="398" t="s">
        <v>1623</v>
      </c>
      <c r="L31" s="399" t="s">
        <v>1624</v>
      </c>
      <c r="M31" s="398" t="s">
        <v>1625</v>
      </c>
      <c r="N31" s="399" t="s">
        <v>1626</v>
      </c>
      <c r="O31" s="398" t="s">
        <v>1627</v>
      </c>
      <c r="P31" s="399" t="s">
        <v>1628</v>
      </c>
      <c r="Q31" s="398" t="s">
        <v>1629</v>
      </c>
      <c r="R31" s="399" t="s">
        <v>1630</v>
      </c>
      <c r="S31" s="398" t="s">
        <v>1631</v>
      </c>
      <c r="T31" s="399" t="s">
        <v>1632</v>
      </c>
      <c r="U31" s="398" t="s">
        <v>1633</v>
      </c>
      <c r="V31" s="399" t="s">
        <v>1634</v>
      </c>
      <c r="W31" s="398" t="s">
        <v>1635</v>
      </c>
      <c r="X31" s="399" t="s">
        <v>1636</v>
      </c>
      <c r="Y31" s="398" t="s">
        <v>1637</v>
      </c>
      <c r="Z31" s="399" t="s">
        <v>1638</v>
      </c>
      <c r="AA31" s="398" t="s">
        <v>1639</v>
      </c>
      <c r="AB31" s="399" t="s">
        <v>1640</v>
      </c>
      <c r="AC31" s="398" t="s">
        <v>1641</v>
      </c>
      <c r="AD31" s="399" t="s">
        <v>1642</v>
      </c>
      <c r="AE31" s="398" t="s">
        <v>1643</v>
      </c>
      <c r="AF31" s="399" t="s">
        <v>1644</v>
      </c>
      <c r="AG31" s="398" t="s">
        <v>1645</v>
      </c>
      <c r="AH31" s="399" t="s">
        <v>1646</v>
      </c>
      <c r="AI31" s="398" t="s">
        <v>1647</v>
      </c>
      <c r="AJ31" s="399" t="s">
        <v>1648</v>
      </c>
      <c r="AK31" s="398" t="s">
        <v>1649</v>
      </c>
      <c r="AL31" s="399" t="s">
        <v>1650</v>
      </c>
      <c r="AM31" s="398" t="s">
        <v>1651</v>
      </c>
      <c r="AN31" s="407" t="s">
        <v>1652</v>
      </c>
      <c r="AO31" s="549" t="s">
        <v>1653</v>
      </c>
      <c r="AP31" s="650" t="s">
        <v>1654</v>
      </c>
      <c r="AQ31" s="465" t="s">
        <v>1655</v>
      </c>
      <c r="AR31" s="399" t="s">
        <v>1656</v>
      </c>
      <c r="AS31" s="465" t="s">
        <v>1657</v>
      </c>
      <c r="AT31" s="399" t="s">
        <v>1658</v>
      </c>
      <c r="AU31" s="533" t="s">
        <v>1659</v>
      </c>
      <c r="AV31" s="533" t="s">
        <v>1660</v>
      </c>
      <c r="AW31" s="533" t="s">
        <v>1661</v>
      </c>
      <c r="AX31" s="533" t="s">
        <v>1662</v>
      </c>
      <c r="AY31" s="533" t="s">
        <v>1663</v>
      </c>
      <c r="AZ31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1" s="113"/>
      <c r="BB31" s="113"/>
      <c r="CB31" s="191" t="str">
        <f t="shared" si="24"/>
        <v xml:space="preserve"> * La variable Gestante no puede ser Mayor al Total Mujeres.</v>
      </c>
      <c r="CC31" s="191" t="str">
        <f t="shared" si="2"/>
        <v xml:space="preserve"> * La variable Madre de hijo menor de 5 años no puede ser Mayor al Total Mujeres.</v>
      </c>
      <c r="CD31" s="191" t="str">
        <f t="shared" si="25"/>
        <v xml:space="preserve"> * La variable Pueblos Originarios Hombres no puede ser Mayor al Total Hombres.</v>
      </c>
      <c r="CE31" s="191" t="str">
        <f t="shared" si="26"/>
        <v xml:space="preserve"> * La variable Pueblos Originarios Mujeres no puede ser Mayor al Total Mujeres.</v>
      </c>
      <c r="CF31" s="191" t="str">
        <f t="shared" si="27"/>
        <v xml:space="preserve"> * La variable Migrantes Hombres no puede ser Mayor al Total Hombres.</v>
      </c>
      <c r="CG31" s="191" t="str">
        <f t="shared" si="28"/>
        <v xml:space="preserve"> * La variable Migrantes Mujeres no puede ser Mayor al Total Mujeres.</v>
      </c>
      <c r="CH31" s="191" t="str">
        <f t="shared" si="21"/>
        <v xml:space="preserve"> * La variable Niños, Niñas, Adolescentes y Jóvenes SENAME no puede ser Mayor al Total ambos sexos.</v>
      </c>
      <c r="CI31" s="191" t="str">
        <f t="shared" si="22"/>
        <v xml:space="preserve"> * La variable Niños y niñas Mejor Niñez no puede ser Mayor al Total ambos sexos.</v>
      </c>
      <c r="CJ31" s="191" t="str">
        <f t="shared" si="29"/>
        <v xml:space="preserve">* La variable Plan Cuidado Integral Elaborado debe ser menor o igual al Total de Personas en control. </v>
      </c>
      <c r="CK31" s="191" t="str">
        <f t="shared" si="23"/>
        <v xml:space="preserve"> * La variable Trans Masculino no debe ser mayor al Total Mujeres.</v>
      </c>
      <c r="CL31" s="191" t="str">
        <f t="shared" si="30"/>
        <v xml:space="preserve"> * La variable Trans Femenino no debe ser mayor al Total Hombre.</v>
      </c>
      <c r="CM31" s="108"/>
      <c r="CN31" s="108"/>
      <c r="CO31" s="1047">
        <f t="shared" si="31"/>
        <v>1</v>
      </c>
      <c r="CP31" s="1047">
        <f t="shared" si="11"/>
        <v>1</v>
      </c>
      <c r="CQ31" s="1047">
        <f t="shared" si="32"/>
        <v>1</v>
      </c>
      <c r="CR31" s="1047">
        <f t="shared" si="13"/>
        <v>1</v>
      </c>
      <c r="CS31" s="1047">
        <f t="shared" si="33"/>
        <v>1</v>
      </c>
      <c r="CT31" s="1047">
        <f t="shared" si="15"/>
        <v>1</v>
      </c>
      <c r="CU31" s="1047">
        <f t="shared" si="16"/>
        <v>1</v>
      </c>
      <c r="CV31" s="1047">
        <f t="shared" si="17"/>
        <v>1</v>
      </c>
      <c r="CW31" s="1047">
        <f t="shared" si="18"/>
        <v>1</v>
      </c>
      <c r="CX31" s="1047">
        <f t="shared" si="34"/>
        <v>1</v>
      </c>
      <c r="CY31" s="1047">
        <f t="shared" si="35"/>
        <v>1</v>
      </c>
      <c r="DL31" s="108"/>
      <c r="DM31" s="108"/>
      <c r="DN31" s="108"/>
      <c r="DO31" s="108"/>
      <c r="DP31" s="108"/>
      <c r="DQ31" s="108"/>
      <c r="DR31" s="108"/>
      <c r="DS31" s="108"/>
      <c r="DT31" s="108"/>
      <c r="DU31" s="108"/>
      <c r="DW31" s="606"/>
    </row>
    <row r="32" spans="1:127" s="95" customFormat="1" ht="15" customHeight="1" x14ac:dyDescent="0.25">
      <c r="A32" s="1585" t="s">
        <v>1342</v>
      </c>
      <c r="B32" s="2151"/>
      <c r="C32" s="1338" t="s">
        <v>649</v>
      </c>
      <c r="D32" s="1146" t="s">
        <v>1616</v>
      </c>
      <c r="E32" s="401" t="s">
        <v>1617</v>
      </c>
      <c r="F32" s="537" t="s">
        <v>1618</v>
      </c>
      <c r="G32" s="408" t="s">
        <v>1619</v>
      </c>
      <c r="H32" s="409" t="s">
        <v>1620</v>
      </c>
      <c r="I32" s="408" t="s">
        <v>1621</v>
      </c>
      <c r="J32" s="409" t="s">
        <v>1622</v>
      </c>
      <c r="K32" s="408" t="s">
        <v>1623</v>
      </c>
      <c r="L32" s="409" t="s">
        <v>1624</v>
      </c>
      <c r="M32" s="408" t="s">
        <v>1625</v>
      </c>
      <c r="N32" s="409" t="s">
        <v>1626</v>
      </c>
      <c r="O32" s="408" t="s">
        <v>1627</v>
      </c>
      <c r="P32" s="409" t="s">
        <v>1628</v>
      </c>
      <c r="Q32" s="408" t="s">
        <v>1629</v>
      </c>
      <c r="R32" s="409" t="s">
        <v>1630</v>
      </c>
      <c r="S32" s="408" t="s">
        <v>1631</v>
      </c>
      <c r="T32" s="409" t="s">
        <v>1632</v>
      </c>
      <c r="U32" s="408" t="s">
        <v>1633</v>
      </c>
      <c r="V32" s="409" t="s">
        <v>1634</v>
      </c>
      <c r="W32" s="408" t="s">
        <v>1635</v>
      </c>
      <c r="X32" s="409" t="s">
        <v>1636</v>
      </c>
      <c r="Y32" s="408" t="s">
        <v>1637</v>
      </c>
      <c r="Z32" s="409" t="s">
        <v>1638</v>
      </c>
      <c r="AA32" s="408" t="s">
        <v>1639</v>
      </c>
      <c r="AB32" s="409" t="s">
        <v>1640</v>
      </c>
      <c r="AC32" s="408" t="s">
        <v>1641</v>
      </c>
      <c r="AD32" s="409" t="s">
        <v>1642</v>
      </c>
      <c r="AE32" s="408" t="s">
        <v>1643</v>
      </c>
      <c r="AF32" s="409" t="s">
        <v>1644</v>
      </c>
      <c r="AG32" s="408" t="s">
        <v>1645</v>
      </c>
      <c r="AH32" s="409" t="s">
        <v>1646</v>
      </c>
      <c r="AI32" s="408" t="s">
        <v>1647</v>
      </c>
      <c r="AJ32" s="409" t="s">
        <v>1648</v>
      </c>
      <c r="AK32" s="408" t="s">
        <v>1649</v>
      </c>
      <c r="AL32" s="409" t="s">
        <v>1650</v>
      </c>
      <c r="AM32" s="408" t="s">
        <v>1651</v>
      </c>
      <c r="AN32" s="410" t="s">
        <v>1652</v>
      </c>
      <c r="AO32" s="664" t="s">
        <v>1653</v>
      </c>
      <c r="AP32" s="653" t="s">
        <v>1654</v>
      </c>
      <c r="AQ32" s="659" t="s">
        <v>1655</v>
      </c>
      <c r="AR32" s="409" t="s">
        <v>1656</v>
      </c>
      <c r="AS32" s="659" t="s">
        <v>1657</v>
      </c>
      <c r="AT32" s="409" t="s">
        <v>1658</v>
      </c>
      <c r="AU32" s="538" t="s">
        <v>1659</v>
      </c>
      <c r="AV32" s="538" t="s">
        <v>1660</v>
      </c>
      <c r="AW32" s="538" t="s">
        <v>1661</v>
      </c>
      <c r="AX32" s="538" t="s">
        <v>1662</v>
      </c>
      <c r="AY32" s="538" t="s">
        <v>1663</v>
      </c>
      <c r="AZ32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2" s="113"/>
      <c r="BB32" s="113"/>
      <c r="CB32" s="191" t="str">
        <f t="shared" si="24"/>
        <v xml:space="preserve"> * La variable Gestante no puede ser Mayor al Total Mujeres.</v>
      </c>
      <c r="CC32" s="191" t="str">
        <f t="shared" si="2"/>
        <v xml:space="preserve"> * La variable Madre de hijo menor de 5 años no puede ser Mayor al Total Mujeres.</v>
      </c>
      <c r="CD32" s="191" t="str">
        <f t="shared" si="25"/>
        <v xml:space="preserve"> * La variable Pueblos Originarios Hombres no puede ser Mayor al Total Hombres.</v>
      </c>
      <c r="CE32" s="191" t="str">
        <f t="shared" si="26"/>
        <v xml:space="preserve"> * La variable Pueblos Originarios Mujeres no puede ser Mayor al Total Mujeres.</v>
      </c>
      <c r="CF32" s="191" t="str">
        <f t="shared" si="27"/>
        <v xml:space="preserve"> * La variable Migrantes Hombres no puede ser Mayor al Total Hombres.</v>
      </c>
      <c r="CG32" s="191" t="str">
        <f t="shared" si="28"/>
        <v xml:space="preserve"> * La variable Migrantes Mujeres no puede ser Mayor al Total Mujeres.</v>
      </c>
      <c r="CH32" s="191" t="str">
        <f t="shared" si="21"/>
        <v xml:space="preserve"> * La variable Niños, Niñas, Adolescentes y Jóvenes SENAME no puede ser Mayor al Total ambos sexos.</v>
      </c>
      <c r="CI32" s="191" t="str">
        <f t="shared" si="22"/>
        <v xml:space="preserve"> * La variable Niños y niñas Mejor Niñez no puede ser Mayor al Total ambos sexos.</v>
      </c>
      <c r="CJ32" s="191" t="str">
        <f t="shared" si="29"/>
        <v xml:space="preserve">* La variable Plan Cuidado Integral Elaborado debe ser menor o igual al Total de Personas en control. </v>
      </c>
      <c r="CK32" s="191" t="str">
        <f t="shared" si="23"/>
        <v xml:space="preserve"> * La variable Trans Masculino no debe ser mayor al Total Mujeres.</v>
      </c>
      <c r="CL32" s="191" t="str">
        <f t="shared" si="30"/>
        <v xml:space="preserve"> * La variable Trans Femenino no debe ser mayor al Total Hombre.</v>
      </c>
      <c r="CM32" s="108"/>
      <c r="CN32" s="108"/>
      <c r="CO32" s="1047">
        <f t="shared" si="31"/>
        <v>1</v>
      </c>
      <c r="CP32" s="1047">
        <f t="shared" si="11"/>
        <v>1</v>
      </c>
      <c r="CQ32" s="1047">
        <f t="shared" si="32"/>
        <v>1</v>
      </c>
      <c r="CR32" s="1047">
        <f t="shared" si="13"/>
        <v>1</v>
      </c>
      <c r="CS32" s="1047">
        <f t="shared" si="33"/>
        <v>1</v>
      </c>
      <c r="CT32" s="1047">
        <f t="shared" si="15"/>
        <v>1</v>
      </c>
      <c r="CU32" s="1047">
        <f t="shared" si="16"/>
        <v>1</v>
      </c>
      <c r="CV32" s="1047">
        <f t="shared" si="17"/>
        <v>1</v>
      </c>
      <c r="CW32" s="1047">
        <f t="shared" si="18"/>
        <v>1</v>
      </c>
      <c r="CX32" s="1047">
        <f t="shared" si="34"/>
        <v>1</v>
      </c>
      <c r="CY32" s="1047">
        <f t="shared" si="35"/>
        <v>1</v>
      </c>
      <c r="DL32" s="108"/>
      <c r="DM32" s="108"/>
      <c r="DN32" s="108"/>
      <c r="DO32" s="108"/>
      <c r="DP32" s="108"/>
      <c r="DQ32" s="108"/>
      <c r="DR32" s="108"/>
      <c r="DS32" s="108"/>
      <c r="DT32" s="108"/>
      <c r="DU32" s="108"/>
      <c r="DW32" s="606"/>
    </row>
    <row r="33" spans="1:127" s="95" customFormat="1" ht="15" customHeight="1" x14ac:dyDescent="0.25">
      <c r="A33" s="1585" t="s">
        <v>1343</v>
      </c>
      <c r="B33" s="2151"/>
      <c r="C33" s="1338" t="s">
        <v>650</v>
      </c>
      <c r="D33" s="1146" t="s">
        <v>1616</v>
      </c>
      <c r="E33" s="401" t="s">
        <v>1617</v>
      </c>
      <c r="F33" s="537" t="s">
        <v>1618</v>
      </c>
      <c r="G33" s="408" t="s">
        <v>1619</v>
      </c>
      <c r="H33" s="409" t="s">
        <v>1620</v>
      </c>
      <c r="I33" s="408" t="s">
        <v>1621</v>
      </c>
      <c r="J33" s="409" t="s">
        <v>1622</v>
      </c>
      <c r="K33" s="408" t="s">
        <v>1623</v>
      </c>
      <c r="L33" s="409" t="s">
        <v>1624</v>
      </c>
      <c r="M33" s="408" t="s">
        <v>1625</v>
      </c>
      <c r="N33" s="409" t="s">
        <v>1626</v>
      </c>
      <c r="O33" s="408" t="s">
        <v>1627</v>
      </c>
      <c r="P33" s="409" t="s">
        <v>1628</v>
      </c>
      <c r="Q33" s="408" t="s">
        <v>1629</v>
      </c>
      <c r="R33" s="409" t="s">
        <v>1630</v>
      </c>
      <c r="S33" s="408" t="s">
        <v>1631</v>
      </c>
      <c r="T33" s="409" t="s">
        <v>1632</v>
      </c>
      <c r="U33" s="408" t="s">
        <v>1633</v>
      </c>
      <c r="V33" s="409" t="s">
        <v>1634</v>
      </c>
      <c r="W33" s="408" t="s">
        <v>1635</v>
      </c>
      <c r="X33" s="409" t="s">
        <v>1636</v>
      </c>
      <c r="Y33" s="408" t="s">
        <v>1637</v>
      </c>
      <c r="Z33" s="409" t="s">
        <v>1638</v>
      </c>
      <c r="AA33" s="408" t="s">
        <v>1639</v>
      </c>
      <c r="AB33" s="409" t="s">
        <v>1640</v>
      </c>
      <c r="AC33" s="408" t="s">
        <v>1641</v>
      </c>
      <c r="AD33" s="409" t="s">
        <v>1642</v>
      </c>
      <c r="AE33" s="408" t="s">
        <v>1643</v>
      </c>
      <c r="AF33" s="409" t="s">
        <v>1644</v>
      </c>
      <c r="AG33" s="408" t="s">
        <v>1645</v>
      </c>
      <c r="AH33" s="409" t="s">
        <v>1646</v>
      </c>
      <c r="AI33" s="408" t="s">
        <v>1647</v>
      </c>
      <c r="AJ33" s="409" t="s">
        <v>1648</v>
      </c>
      <c r="AK33" s="408" t="s">
        <v>1649</v>
      </c>
      <c r="AL33" s="409" t="s">
        <v>1650</v>
      </c>
      <c r="AM33" s="408" t="s">
        <v>1651</v>
      </c>
      <c r="AN33" s="410" t="s">
        <v>1652</v>
      </c>
      <c r="AO33" s="664" t="s">
        <v>1653</v>
      </c>
      <c r="AP33" s="653" t="s">
        <v>1654</v>
      </c>
      <c r="AQ33" s="659" t="s">
        <v>1655</v>
      </c>
      <c r="AR33" s="409" t="s">
        <v>1656</v>
      </c>
      <c r="AS33" s="659" t="s">
        <v>1657</v>
      </c>
      <c r="AT33" s="409" t="s">
        <v>1658</v>
      </c>
      <c r="AU33" s="538" t="s">
        <v>1659</v>
      </c>
      <c r="AV33" s="538" t="s">
        <v>1660</v>
      </c>
      <c r="AW33" s="538" t="s">
        <v>1661</v>
      </c>
      <c r="AX33" s="538" t="s">
        <v>1662</v>
      </c>
      <c r="AY33" s="538" t="s">
        <v>1663</v>
      </c>
      <c r="AZ33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3" s="113"/>
      <c r="BB33" s="113"/>
      <c r="CB33" s="191" t="str">
        <f t="shared" si="24"/>
        <v xml:space="preserve"> * La variable Gestante no puede ser Mayor al Total Mujeres.</v>
      </c>
      <c r="CC33" s="191" t="str">
        <f t="shared" si="2"/>
        <v xml:space="preserve"> * La variable Madre de hijo menor de 5 años no puede ser Mayor al Total Mujeres.</v>
      </c>
      <c r="CD33" s="191" t="str">
        <f t="shared" si="25"/>
        <v xml:space="preserve"> * La variable Pueblos Originarios Hombres no puede ser Mayor al Total Hombres.</v>
      </c>
      <c r="CE33" s="191" t="str">
        <f t="shared" si="26"/>
        <v xml:space="preserve"> * La variable Pueblos Originarios Mujeres no puede ser Mayor al Total Mujeres.</v>
      </c>
      <c r="CF33" s="191" t="str">
        <f t="shared" si="27"/>
        <v xml:space="preserve"> * La variable Migrantes Hombres no puede ser Mayor al Total Hombres.</v>
      </c>
      <c r="CG33" s="191" t="str">
        <f t="shared" si="28"/>
        <v xml:space="preserve"> * La variable Migrantes Mujeres no puede ser Mayor al Total Mujeres.</v>
      </c>
      <c r="CH33" s="191" t="str">
        <f t="shared" si="21"/>
        <v xml:space="preserve"> * La variable Niños, Niñas, Adolescentes y Jóvenes SENAME no puede ser Mayor al Total ambos sexos.</v>
      </c>
      <c r="CI33" s="191" t="str">
        <f t="shared" si="22"/>
        <v xml:space="preserve"> * La variable Niños y niñas Mejor Niñez no puede ser Mayor al Total ambos sexos.</v>
      </c>
      <c r="CJ33" s="191" t="str">
        <f t="shared" si="29"/>
        <v xml:space="preserve">* La variable Plan Cuidado Integral Elaborado debe ser menor o igual al Total de Personas en control. </v>
      </c>
      <c r="CK33" s="191" t="str">
        <f t="shared" si="23"/>
        <v xml:space="preserve"> * La variable Trans Masculino no debe ser mayor al Total Mujeres.</v>
      </c>
      <c r="CL33" s="191" t="str">
        <f t="shared" si="30"/>
        <v xml:space="preserve"> * La variable Trans Femenino no debe ser mayor al Total Hombre.</v>
      </c>
      <c r="CM33" s="108"/>
      <c r="CN33" s="108"/>
      <c r="CO33" s="1047">
        <f t="shared" si="31"/>
        <v>1</v>
      </c>
      <c r="CP33" s="1047">
        <f t="shared" si="11"/>
        <v>1</v>
      </c>
      <c r="CQ33" s="1047">
        <f t="shared" si="32"/>
        <v>1</v>
      </c>
      <c r="CR33" s="1047">
        <f t="shared" si="13"/>
        <v>1</v>
      </c>
      <c r="CS33" s="1047">
        <f t="shared" si="33"/>
        <v>1</v>
      </c>
      <c r="CT33" s="1047">
        <f t="shared" si="15"/>
        <v>1</v>
      </c>
      <c r="CU33" s="1047">
        <f t="shared" si="16"/>
        <v>1</v>
      </c>
      <c r="CV33" s="1047">
        <f t="shared" si="17"/>
        <v>1</v>
      </c>
      <c r="CW33" s="1047">
        <f t="shared" si="18"/>
        <v>1</v>
      </c>
      <c r="CX33" s="1047">
        <f t="shared" si="34"/>
        <v>1</v>
      </c>
      <c r="CY33" s="1047">
        <f t="shared" si="35"/>
        <v>1</v>
      </c>
      <c r="DL33" s="108"/>
      <c r="DM33" s="108"/>
      <c r="DN33" s="108"/>
      <c r="DO33" s="108"/>
      <c r="DP33" s="108"/>
      <c r="DQ33" s="108"/>
      <c r="DR33" s="108"/>
      <c r="DS33" s="108"/>
      <c r="DT33" s="108"/>
      <c r="DU33" s="108"/>
      <c r="DW33" s="606"/>
    </row>
    <row r="34" spans="1:127" s="95" customFormat="1" ht="15" customHeight="1" x14ac:dyDescent="0.25">
      <c r="A34" s="1585" t="s">
        <v>1344</v>
      </c>
      <c r="B34" s="2152"/>
      <c r="C34" s="1337" t="s">
        <v>651</v>
      </c>
      <c r="D34" s="1143" t="s">
        <v>1616</v>
      </c>
      <c r="E34" s="391" t="s">
        <v>1617</v>
      </c>
      <c r="F34" s="532" t="s">
        <v>1618</v>
      </c>
      <c r="G34" s="403" t="s">
        <v>1619</v>
      </c>
      <c r="H34" s="404" t="s">
        <v>1620</v>
      </c>
      <c r="I34" s="403" t="s">
        <v>1621</v>
      </c>
      <c r="J34" s="404" t="s">
        <v>1622</v>
      </c>
      <c r="K34" s="403" t="s">
        <v>1623</v>
      </c>
      <c r="L34" s="404" t="s">
        <v>1624</v>
      </c>
      <c r="M34" s="403" t="s">
        <v>1625</v>
      </c>
      <c r="N34" s="404" t="s">
        <v>1626</v>
      </c>
      <c r="O34" s="403" t="s">
        <v>1627</v>
      </c>
      <c r="P34" s="404" t="s">
        <v>1628</v>
      </c>
      <c r="Q34" s="403" t="s">
        <v>1629</v>
      </c>
      <c r="R34" s="404" t="s">
        <v>1630</v>
      </c>
      <c r="S34" s="403" t="s">
        <v>1631</v>
      </c>
      <c r="T34" s="404" t="s">
        <v>1632</v>
      </c>
      <c r="U34" s="403" t="s">
        <v>1633</v>
      </c>
      <c r="V34" s="404" t="s">
        <v>1634</v>
      </c>
      <c r="W34" s="403" t="s">
        <v>1635</v>
      </c>
      <c r="X34" s="404" t="s">
        <v>1636</v>
      </c>
      <c r="Y34" s="403" t="s">
        <v>1637</v>
      </c>
      <c r="Z34" s="404" t="s">
        <v>1638</v>
      </c>
      <c r="AA34" s="403" t="s">
        <v>1639</v>
      </c>
      <c r="AB34" s="404" t="s">
        <v>1640</v>
      </c>
      <c r="AC34" s="403" t="s">
        <v>1641</v>
      </c>
      <c r="AD34" s="404" t="s">
        <v>1642</v>
      </c>
      <c r="AE34" s="403" t="s">
        <v>1643</v>
      </c>
      <c r="AF34" s="404" t="s">
        <v>1644</v>
      </c>
      <c r="AG34" s="403" t="s">
        <v>1645</v>
      </c>
      <c r="AH34" s="404" t="s">
        <v>1646</v>
      </c>
      <c r="AI34" s="403" t="s">
        <v>1647</v>
      </c>
      <c r="AJ34" s="404" t="s">
        <v>1648</v>
      </c>
      <c r="AK34" s="403" t="s">
        <v>1649</v>
      </c>
      <c r="AL34" s="404" t="s">
        <v>1650</v>
      </c>
      <c r="AM34" s="403" t="s">
        <v>1651</v>
      </c>
      <c r="AN34" s="431" t="s">
        <v>1652</v>
      </c>
      <c r="AO34" s="662" t="s">
        <v>1653</v>
      </c>
      <c r="AP34" s="652" t="s">
        <v>1654</v>
      </c>
      <c r="AQ34" s="464" t="s">
        <v>1655</v>
      </c>
      <c r="AR34" s="404" t="s">
        <v>1656</v>
      </c>
      <c r="AS34" s="464" t="s">
        <v>1657</v>
      </c>
      <c r="AT34" s="404" t="s">
        <v>1658</v>
      </c>
      <c r="AU34" s="442" t="s">
        <v>1659</v>
      </c>
      <c r="AV34" s="442" t="s">
        <v>1660</v>
      </c>
      <c r="AW34" s="442" t="s">
        <v>1661</v>
      </c>
      <c r="AX34" s="442" t="s">
        <v>1662</v>
      </c>
      <c r="AY34" s="442" t="s">
        <v>1663</v>
      </c>
      <c r="AZ34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4" s="113"/>
      <c r="BB34" s="113"/>
      <c r="CB34" s="191" t="str">
        <f t="shared" si="24"/>
        <v xml:space="preserve"> * La variable Gestante no puede ser Mayor al Total Mujeres.</v>
      </c>
      <c r="CC34" s="191" t="str">
        <f t="shared" si="2"/>
        <v xml:space="preserve"> * La variable Madre de hijo menor de 5 años no puede ser Mayor al Total Mujeres.</v>
      </c>
      <c r="CD34" s="191" t="str">
        <f t="shared" si="25"/>
        <v xml:space="preserve"> * La variable Pueblos Originarios Hombres no puede ser Mayor al Total Hombres.</v>
      </c>
      <c r="CE34" s="191" t="str">
        <f t="shared" si="26"/>
        <v xml:space="preserve"> * La variable Pueblos Originarios Mujeres no puede ser Mayor al Total Mujeres.</v>
      </c>
      <c r="CF34" s="191" t="str">
        <f t="shared" si="27"/>
        <v xml:space="preserve"> * La variable Migrantes Hombres no puede ser Mayor al Total Hombres.</v>
      </c>
      <c r="CG34" s="191" t="str">
        <f t="shared" si="28"/>
        <v xml:space="preserve"> * La variable Migrantes Mujeres no puede ser Mayor al Total Mujeres.</v>
      </c>
      <c r="CH34" s="191" t="str">
        <f t="shared" si="21"/>
        <v xml:space="preserve"> * La variable Niños, Niñas, Adolescentes y Jóvenes SENAME no puede ser Mayor al Total ambos sexos.</v>
      </c>
      <c r="CI34" s="191" t="str">
        <f t="shared" si="22"/>
        <v xml:space="preserve"> * La variable Niños y niñas Mejor Niñez no puede ser Mayor al Total ambos sexos.</v>
      </c>
      <c r="CJ34" s="191" t="str">
        <f t="shared" si="29"/>
        <v xml:space="preserve">* La variable Plan Cuidado Integral Elaborado debe ser menor o igual al Total de Personas en control. </v>
      </c>
      <c r="CK34" s="191" t="str">
        <f t="shared" si="23"/>
        <v xml:space="preserve"> * La variable Trans Masculino no debe ser mayor al Total Mujeres.</v>
      </c>
      <c r="CL34" s="191" t="str">
        <f t="shared" si="30"/>
        <v xml:space="preserve"> * La variable Trans Femenino no debe ser mayor al Total Hombre.</v>
      </c>
      <c r="CM34" s="108"/>
      <c r="CN34" s="108"/>
      <c r="CO34" s="1047">
        <f t="shared" si="31"/>
        <v>1</v>
      </c>
      <c r="CP34" s="1047">
        <f t="shared" si="11"/>
        <v>1</v>
      </c>
      <c r="CQ34" s="1047">
        <f t="shared" si="32"/>
        <v>1</v>
      </c>
      <c r="CR34" s="1047">
        <f t="shared" si="13"/>
        <v>1</v>
      </c>
      <c r="CS34" s="1047">
        <f t="shared" si="33"/>
        <v>1</v>
      </c>
      <c r="CT34" s="1047">
        <f t="shared" si="15"/>
        <v>1</v>
      </c>
      <c r="CU34" s="1047">
        <f t="shared" si="16"/>
        <v>1</v>
      </c>
      <c r="CV34" s="1047">
        <f t="shared" si="17"/>
        <v>1</v>
      </c>
      <c r="CW34" s="1047">
        <f t="shared" si="18"/>
        <v>1</v>
      </c>
      <c r="CX34" s="1047">
        <f t="shared" si="34"/>
        <v>1</v>
      </c>
      <c r="CY34" s="1047">
        <f t="shared" si="35"/>
        <v>1</v>
      </c>
      <c r="DL34" s="108"/>
      <c r="DM34" s="108"/>
      <c r="DN34" s="108"/>
      <c r="DO34" s="108"/>
      <c r="DP34" s="108"/>
      <c r="DQ34" s="108"/>
      <c r="DR34" s="108"/>
      <c r="DS34" s="108"/>
      <c r="DT34" s="108"/>
      <c r="DU34" s="108"/>
      <c r="DW34" s="606"/>
    </row>
    <row r="35" spans="1:127" s="95" customFormat="1" ht="15" customHeight="1" x14ac:dyDescent="0.25">
      <c r="A35" s="1585" t="s">
        <v>1345</v>
      </c>
      <c r="B35" s="2150" t="s">
        <v>652</v>
      </c>
      <c r="C35" s="1334" t="s">
        <v>653</v>
      </c>
      <c r="D35" s="1145" t="s">
        <v>1616</v>
      </c>
      <c r="E35" s="392" t="s">
        <v>1617</v>
      </c>
      <c r="F35" s="539" t="s">
        <v>1618</v>
      </c>
      <c r="G35" s="394" t="s">
        <v>1619</v>
      </c>
      <c r="H35" s="395" t="s">
        <v>1620</v>
      </c>
      <c r="I35" s="394" t="s">
        <v>1621</v>
      </c>
      <c r="J35" s="395" t="s">
        <v>1622</v>
      </c>
      <c r="K35" s="394" t="s">
        <v>1623</v>
      </c>
      <c r="L35" s="395" t="s">
        <v>1624</v>
      </c>
      <c r="M35" s="394" t="s">
        <v>1625</v>
      </c>
      <c r="N35" s="395" t="s">
        <v>1626</v>
      </c>
      <c r="O35" s="394" t="s">
        <v>1627</v>
      </c>
      <c r="P35" s="395" t="s">
        <v>1628</v>
      </c>
      <c r="Q35" s="394" t="s">
        <v>1629</v>
      </c>
      <c r="R35" s="395" t="s">
        <v>1630</v>
      </c>
      <c r="S35" s="394" t="s">
        <v>1631</v>
      </c>
      <c r="T35" s="395" t="s">
        <v>1632</v>
      </c>
      <c r="U35" s="394" t="s">
        <v>1633</v>
      </c>
      <c r="V35" s="395" t="s">
        <v>1634</v>
      </c>
      <c r="W35" s="394" t="s">
        <v>1635</v>
      </c>
      <c r="X35" s="395" t="s">
        <v>1636</v>
      </c>
      <c r="Y35" s="394" t="s">
        <v>1637</v>
      </c>
      <c r="Z35" s="395" t="s">
        <v>1638</v>
      </c>
      <c r="AA35" s="394" t="s">
        <v>1639</v>
      </c>
      <c r="AB35" s="395" t="s">
        <v>1640</v>
      </c>
      <c r="AC35" s="394" t="s">
        <v>1641</v>
      </c>
      <c r="AD35" s="395" t="s">
        <v>1642</v>
      </c>
      <c r="AE35" s="394" t="s">
        <v>1643</v>
      </c>
      <c r="AF35" s="395" t="s">
        <v>1644</v>
      </c>
      <c r="AG35" s="394" t="s">
        <v>1645</v>
      </c>
      <c r="AH35" s="395" t="s">
        <v>1646</v>
      </c>
      <c r="AI35" s="394" t="s">
        <v>1647</v>
      </c>
      <c r="AJ35" s="395" t="s">
        <v>1648</v>
      </c>
      <c r="AK35" s="394" t="s">
        <v>1649</v>
      </c>
      <c r="AL35" s="395" t="s">
        <v>1650</v>
      </c>
      <c r="AM35" s="394" t="s">
        <v>1651</v>
      </c>
      <c r="AN35" s="406" t="s">
        <v>1652</v>
      </c>
      <c r="AO35" s="661" t="s">
        <v>1653</v>
      </c>
      <c r="AP35" s="857" t="s">
        <v>1654</v>
      </c>
      <c r="AQ35" s="462" t="s">
        <v>1655</v>
      </c>
      <c r="AR35" s="395" t="s">
        <v>1656</v>
      </c>
      <c r="AS35" s="462" t="s">
        <v>1657</v>
      </c>
      <c r="AT35" s="395" t="s">
        <v>1658</v>
      </c>
      <c r="AU35" s="461" t="s">
        <v>1659</v>
      </c>
      <c r="AV35" s="461" t="s">
        <v>1660</v>
      </c>
      <c r="AW35" s="461" t="s">
        <v>1661</v>
      </c>
      <c r="AX35" s="461" t="s">
        <v>1662</v>
      </c>
      <c r="AY35" s="461" t="s">
        <v>1663</v>
      </c>
      <c r="AZ35" s="1056" t="str">
        <f t="shared" si="0"/>
        <v xml:space="preserve"> * La variable Gestante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5" s="113"/>
      <c r="BB35" s="113"/>
      <c r="CB35" s="191" t="str">
        <f t="shared" si="24"/>
        <v xml:space="preserve"> * La variable Gestante no puede ser Mayor al Total Mujeres.</v>
      </c>
      <c r="CC35" s="1086"/>
      <c r="CD35" s="191" t="str">
        <f t="shared" ref="CD35:CD39" si="36">IF(AND(E35&gt;0,OR(AQ35=""))," * No olvide digitar la variable Pueblos Originarios Hombres. Digite Cero si no tiene.",IF(AQ35&gt;E35," * La variable Pueblos Originarios Hombres no puede ser Mayor al Total Hombres.",""))</f>
        <v xml:space="preserve"> * La variable Pueblos Originarios Hombres no puede ser Mayor al Total Hombres.</v>
      </c>
      <c r="CE35" s="191" t="str">
        <f t="shared" ref="CE35:CE39" si="37">IF(AND(F35&gt;0,OR(AR35=""))," * No olvide digitar la variable Pueblos Originarios Mujeres. Digite Cero si no tiene.",IF(AR35&gt;F35," * La variable Pueblos Originarios Mujeres no puede ser Mayor al Total Mujeres.",""))</f>
        <v xml:space="preserve"> * La variable Pueblos Originarios Mujeres no puede ser Mayor al Total Mujeres.</v>
      </c>
      <c r="CF35" s="191" t="str">
        <f t="shared" ref="CF35:CF39" si="38">IF(AND($E35&gt;0,OR(AS35=""))," * No olvide digitar la variable Migrantes Hombres. Digite Cero si no tiene.",IF(AS35&gt;$E35," * La variable Migrantes Hombres no puede ser Mayor al Total Hombres.",""))</f>
        <v xml:space="preserve"> * La variable Migrantes Hombres no puede ser Mayor al Total Hombres.</v>
      </c>
      <c r="CG35" s="191" t="str">
        <f t="shared" ref="CG35:CG39" si="39">IF(AND($F35&gt;0,OR(AT35=""))," * No olvide digitar la variable Migrantes Mujeres. Digite Cero si no tiene.",IF(AT35&gt;$F35," * La variable Migrantes Mujeres no puede ser Mayor al Total Mujeres.",""))</f>
        <v xml:space="preserve"> * La variable Migrantes Mujeres no puede ser Mayor al Total Mujeres.</v>
      </c>
      <c r="CH35" s="191" t="str">
        <f t="shared" si="21"/>
        <v xml:space="preserve"> * La variable Niños, Niñas, Adolescentes y Jóvenes SENAME no puede ser Mayor al Total ambos sexos.</v>
      </c>
      <c r="CI35" s="191" t="str">
        <f t="shared" si="22"/>
        <v xml:space="preserve"> * La variable Niños y niñas Mejor Niñez no puede ser Mayor al Total ambos sexos.</v>
      </c>
      <c r="CJ35" s="191" t="str">
        <f t="shared" ref="CJ35:CJ39" si="40">IF(AND(D35&gt;0,OR(AW35=""))," * No olvide digitar la variable Plan Cuidado Integral Elaborado. Digite Cero si no tiene.",IF($AW35&gt;$D35,"* La variable Plan Cuidado Integral Elaborado debe ser menor o igual al Total de Personas en control. ",""))</f>
        <v xml:space="preserve">* La variable Plan Cuidado Integral Elaborado debe ser menor o igual al Total de Personas en control. </v>
      </c>
      <c r="CK35" s="191" t="str">
        <f t="shared" ref="CK35:CK39" si="41">IF(AND(F35&gt;0,OR(AX35=""))," * No olvide digitar la variable Trans Masculino. (Digite Cero si no tiene).",IF(AX35&gt;F35," * La variable Trans Masculino no debe ser mayor al Total Mujeres.",""))</f>
        <v xml:space="preserve"> * La variable Trans Masculino no debe ser mayor al Total Mujeres.</v>
      </c>
      <c r="CL35" s="191" t="str">
        <f t="shared" ref="CL35:CL39" si="42">IF(AND(E35&gt;0,OR(AY35=""))," * No olvide digitar la variable Trans Femenino. (Digite Cero si no tiene).",IF(AY35&gt;E35," * La variable Trans Femenino no debe ser mayor al Total Hombre.",""))</f>
        <v xml:space="preserve"> * La variable Trans Femenino no debe ser mayor al Total Hombre.</v>
      </c>
      <c r="CM35" s="108"/>
      <c r="CN35" s="108"/>
      <c r="CO35" s="1047">
        <f t="shared" si="31"/>
        <v>1</v>
      </c>
      <c r="CP35" s="1086"/>
      <c r="CQ35" s="1047">
        <f t="shared" si="32"/>
        <v>1</v>
      </c>
      <c r="CR35" s="1047">
        <f t="shared" ref="CR35:CR38" si="43">IF(AND($F35&gt;0,OR(AR35="")),1,IF(AR35&gt;$F35,1,0))</f>
        <v>1</v>
      </c>
      <c r="CS35" s="1047">
        <f t="shared" ref="CS35:CS38" si="44">IF(AND($E35&gt;0,OR(AS35="")),1,IF(AS35&gt;$E35,1,0))</f>
        <v>1</v>
      </c>
      <c r="CT35" s="1047">
        <f t="shared" ref="CT35:CT38" si="45">IF(AND($F35&gt;0,OR(AT35="")),1,IF(AT35&gt;$F35,1,0))</f>
        <v>1</v>
      </c>
      <c r="CU35" s="1047">
        <f t="shared" ref="CU35:CU38" si="46">IF(AND($D35&gt;0,OR(AU35="")),1,IF(AU35&gt;$D35,1,0))</f>
        <v>1</v>
      </c>
      <c r="CV35" s="1047">
        <f t="shared" ref="CV35:CV38" si="47">IF(AND($D35&gt;0,OR(AV35="")),1,IF(AV35&gt;$D35,1,0))</f>
        <v>1</v>
      </c>
      <c r="CW35" s="1047">
        <f t="shared" ref="CW35:CW38" si="48">IF(AND($D35&gt;0,OR(AW35="")),1,IF(AW35&gt;$D35,1,0))</f>
        <v>1</v>
      </c>
      <c r="CX35" s="1047">
        <f t="shared" si="34"/>
        <v>1</v>
      </c>
      <c r="CY35" s="1047">
        <f t="shared" si="35"/>
        <v>1</v>
      </c>
      <c r="DL35" s="108"/>
      <c r="DM35" s="108"/>
      <c r="DN35" s="108"/>
      <c r="DO35" s="108"/>
      <c r="DP35" s="108"/>
      <c r="DQ35" s="108"/>
      <c r="DR35" s="108"/>
      <c r="DS35" s="108"/>
      <c r="DT35" s="108"/>
      <c r="DU35" s="108"/>
      <c r="DW35" s="606"/>
    </row>
    <row r="36" spans="1:127" s="95" customFormat="1" ht="15" customHeight="1" x14ac:dyDescent="0.25">
      <c r="A36" s="1585" t="s">
        <v>1346</v>
      </c>
      <c r="B36" s="2151"/>
      <c r="C36" s="1338" t="s">
        <v>654</v>
      </c>
      <c r="D36" s="1147" t="s">
        <v>1616</v>
      </c>
      <c r="E36" s="397" t="s">
        <v>1617</v>
      </c>
      <c r="F36" s="535" t="s">
        <v>1618</v>
      </c>
      <c r="G36" s="398" t="s">
        <v>1619</v>
      </c>
      <c r="H36" s="399" t="s">
        <v>1620</v>
      </c>
      <c r="I36" s="398" t="s">
        <v>1621</v>
      </c>
      <c r="J36" s="399" t="s">
        <v>1622</v>
      </c>
      <c r="K36" s="398" t="s">
        <v>1623</v>
      </c>
      <c r="L36" s="399" t="s">
        <v>1624</v>
      </c>
      <c r="M36" s="398" t="s">
        <v>1625</v>
      </c>
      <c r="N36" s="399" t="s">
        <v>1626</v>
      </c>
      <c r="O36" s="398" t="s">
        <v>1627</v>
      </c>
      <c r="P36" s="465" t="s">
        <v>1628</v>
      </c>
      <c r="Q36" s="398" t="s">
        <v>1629</v>
      </c>
      <c r="R36" s="399" t="s">
        <v>1630</v>
      </c>
      <c r="S36" s="398" t="s">
        <v>1631</v>
      </c>
      <c r="T36" s="399" t="s">
        <v>1632</v>
      </c>
      <c r="U36" s="398" t="s">
        <v>1633</v>
      </c>
      <c r="V36" s="399" t="s">
        <v>1634</v>
      </c>
      <c r="W36" s="398" t="s">
        <v>1635</v>
      </c>
      <c r="X36" s="399" t="s">
        <v>1636</v>
      </c>
      <c r="Y36" s="398" t="s">
        <v>1637</v>
      </c>
      <c r="Z36" s="399" t="s">
        <v>1638</v>
      </c>
      <c r="AA36" s="398" t="s">
        <v>1639</v>
      </c>
      <c r="AB36" s="399" t="s">
        <v>1640</v>
      </c>
      <c r="AC36" s="398" t="s">
        <v>1641</v>
      </c>
      <c r="AD36" s="399" t="s">
        <v>1642</v>
      </c>
      <c r="AE36" s="398" t="s">
        <v>1643</v>
      </c>
      <c r="AF36" s="399" t="s">
        <v>1644</v>
      </c>
      <c r="AG36" s="398" t="s">
        <v>1645</v>
      </c>
      <c r="AH36" s="399" t="s">
        <v>1646</v>
      </c>
      <c r="AI36" s="398" t="s">
        <v>1647</v>
      </c>
      <c r="AJ36" s="399" t="s">
        <v>1648</v>
      </c>
      <c r="AK36" s="398" t="s">
        <v>1649</v>
      </c>
      <c r="AL36" s="399" t="s">
        <v>1650</v>
      </c>
      <c r="AM36" s="398" t="s">
        <v>1651</v>
      </c>
      <c r="AN36" s="407" t="s">
        <v>1652</v>
      </c>
      <c r="AO36" s="549" t="s">
        <v>1653</v>
      </c>
      <c r="AP36" s="849" t="s">
        <v>1654</v>
      </c>
      <c r="AQ36" s="465" t="s">
        <v>1655</v>
      </c>
      <c r="AR36" s="399" t="s">
        <v>1656</v>
      </c>
      <c r="AS36" s="465" t="s">
        <v>1657</v>
      </c>
      <c r="AT36" s="399" t="s">
        <v>1658</v>
      </c>
      <c r="AU36" s="533" t="s">
        <v>1659</v>
      </c>
      <c r="AV36" s="533" t="s">
        <v>1660</v>
      </c>
      <c r="AW36" s="533" t="s">
        <v>1661</v>
      </c>
      <c r="AX36" s="533" t="s">
        <v>1662</v>
      </c>
      <c r="AY36" s="533" t="s">
        <v>1663</v>
      </c>
      <c r="AZ36" s="1056" t="str">
        <f t="shared" si="0"/>
        <v xml:space="preserve"> * La variable Gestante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6" s="113"/>
      <c r="BB36" s="113"/>
      <c r="CB36" s="191" t="str">
        <f t="shared" si="24"/>
        <v xml:space="preserve"> * La variable Gestante no puede ser Mayor al Total Mujeres.</v>
      </c>
      <c r="CC36" s="1086"/>
      <c r="CD36" s="191" t="str">
        <f t="shared" si="36"/>
        <v xml:space="preserve"> * La variable Pueblos Originarios Hombres no puede ser Mayor al Total Hombres.</v>
      </c>
      <c r="CE36" s="191" t="str">
        <f t="shared" si="37"/>
        <v xml:space="preserve"> * La variable Pueblos Originarios Mujeres no puede ser Mayor al Total Mujeres.</v>
      </c>
      <c r="CF36" s="191" t="str">
        <f t="shared" si="38"/>
        <v xml:space="preserve"> * La variable Migrantes Hombres no puede ser Mayor al Total Hombres.</v>
      </c>
      <c r="CG36" s="191" t="str">
        <f t="shared" si="39"/>
        <v xml:space="preserve"> * La variable Migrantes Mujeres no puede ser Mayor al Total Mujeres.</v>
      </c>
      <c r="CH36" s="191" t="str">
        <f t="shared" si="21"/>
        <v xml:space="preserve"> * La variable Niños, Niñas, Adolescentes y Jóvenes SENAME no puede ser Mayor al Total ambos sexos.</v>
      </c>
      <c r="CI36" s="191" t="str">
        <f t="shared" si="22"/>
        <v xml:space="preserve"> * La variable Niños y niñas Mejor Niñez no puede ser Mayor al Total ambos sexos.</v>
      </c>
      <c r="CJ36" s="191" t="str">
        <f t="shared" si="40"/>
        <v xml:space="preserve">* La variable Plan Cuidado Integral Elaborado debe ser menor o igual al Total de Personas en control. </v>
      </c>
      <c r="CK36" s="191" t="str">
        <f t="shared" si="41"/>
        <v xml:space="preserve"> * La variable Trans Masculino no debe ser mayor al Total Mujeres.</v>
      </c>
      <c r="CL36" s="191" t="str">
        <f t="shared" si="42"/>
        <v xml:space="preserve"> * La variable Trans Femenino no debe ser mayor al Total Hombre.</v>
      </c>
      <c r="CM36" s="108"/>
      <c r="CN36" s="108"/>
      <c r="CO36" s="1047">
        <f t="shared" si="31"/>
        <v>1</v>
      </c>
      <c r="CP36" s="1086"/>
      <c r="CQ36" s="1047">
        <f t="shared" ref="CQ36:CQ38" si="49">IF(AND($E36&gt;0,OR(AQ36="")),1,IF(AQ36&gt;$E36,1,0))</f>
        <v>1</v>
      </c>
      <c r="CR36" s="1047">
        <f t="shared" si="43"/>
        <v>1</v>
      </c>
      <c r="CS36" s="1047">
        <f t="shared" si="44"/>
        <v>1</v>
      </c>
      <c r="CT36" s="1047">
        <f t="shared" si="45"/>
        <v>1</v>
      </c>
      <c r="CU36" s="1047">
        <f t="shared" si="46"/>
        <v>1</v>
      </c>
      <c r="CV36" s="1047">
        <f t="shared" si="47"/>
        <v>1</v>
      </c>
      <c r="CW36" s="1047">
        <f t="shared" si="48"/>
        <v>1</v>
      </c>
      <c r="CX36" s="1047">
        <f t="shared" si="34"/>
        <v>1</v>
      </c>
      <c r="CY36" s="1047">
        <f t="shared" si="35"/>
        <v>1</v>
      </c>
      <c r="DL36" s="108"/>
      <c r="DM36" s="108"/>
      <c r="DN36" s="108"/>
      <c r="DO36" s="108"/>
      <c r="DP36" s="108"/>
      <c r="DQ36" s="108"/>
      <c r="DR36" s="108"/>
      <c r="DS36" s="108"/>
      <c r="DT36" s="108"/>
      <c r="DU36" s="108"/>
      <c r="DW36" s="606"/>
    </row>
    <row r="37" spans="1:127" s="95" customFormat="1" ht="15" customHeight="1" x14ac:dyDescent="0.25">
      <c r="A37" s="1585" t="s">
        <v>1347</v>
      </c>
      <c r="B37" s="2151"/>
      <c r="C37" s="1338" t="s">
        <v>655</v>
      </c>
      <c r="D37" s="1142" t="s">
        <v>1616</v>
      </c>
      <c r="E37" s="387" t="s">
        <v>1617</v>
      </c>
      <c r="F37" s="531" t="s">
        <v>1618</v>
      </c>
      <c r="G37" s="398" t="s">
        <v>1619</v>
      </c>
      <c r="H37" s="399" t="s">
        <v>1620</v>
      </c>
      <c r="I37" s="398" t="s">
        <v>1621</v>
      </c>
      <c r="J37" s="399" t="s">
        <v>1622</v>
      </c>
      <c r="K37" s="398" t="s">
        <v>1623</v>
      </c>
      <c r="L37" s="399" t="s">
        <v>1624</v>
      </c>
      <c r="M37" s="436" t="s">
        <v>1625</v>
      </c>
      <c r="N37" s="437" t="s">
        <v>1626</v>
      </c>
      <c r="O37" s="436" t="s">
        <v>1627</v>
      </c>
      <c r="P37" s="437" t="s">
        <v>1628</v>
      </c>
      <c r="Q37" s="436" t="s">
        <v>1629</v>
      </c>
      <c r="R37" s="437" t="s">
        <v>1630</v>
      </c>
      <c r="S37" s="436" t="s">
        <v>1631</v>
      </c>
      <c r="T37" s="437" t="s">
        <v>1632</v>
      </c>
      <c r="U37" s="436" t="s">
        <v>1633</v>
      </c>
      <c r="V37" s="437" t="s">
        <v>1634</v>
      </c>
      <c r="W37" s="436" t="s">
        <v>1635</v>
      </c>
      <c r="X37" s="437" t="s">
        <v>1636</v>
      </c>
      <c r="Y37" s="436" t="s">
        <v>1637</v>
      </c>
      <c r="Z37" s="437" t="s">
        <v>1638</v>
      </c>
      <c r="AA37" s="436" t="s">
        <v>1639</v>
      </c>
      <c r="AB37" s="437" t="s">
        <v>1640</v>
      </c>
      <c r="AC37" s="436" t="s">
        <v>1641</v>
      </c>
      <c r="AD37" s="437" t="s">
        <v>1642</v>
      </c>
      <c r="AE37" s="436" t="s">
        <v>1643</v>
      </c>
      <c r="AF37" s="437" t="s">
        <v>1644</v>
      </c>
      <c r="AG37" s="436" t="s">
        <v>1645</v>
      </c>
      <c r="AH37" s="437" t="s">
        <v>1646</v>
      </c>
      <c r="AI37" s="436" t="s">
        <v>1647</v>
      </c>
      <c r="AJ37" s="437" t="s">
        <v>1648</v>
      </c>
      <c r="AK37" s="436" t="s">
        <v>1649</v>
      </c>
      <c r="AL37" s="437" t="s">
        <v>1650</v>
      </c>
      <c r="AM37" s="436" t="s">
        <v>1651</v>
      </c>
      <c r="AN37" s="536" t="s">
        <v>1652</v>
      </c>
      <c r="AO37" s="549" t="s">
        <v>1653</v>
      </c>
      <c r="AP37" s="849" t="s">
        <v>1654</v>
      </c>
      <c r="AQ37" s="465" t="s">
        <v>1655</v>
      </c>
      <c r="AR37" s="399" t="s">
        <v>1656</v>
      </c>
      <c r="AS37" s="465" t="s">
        <v>1657</v>
      </c>
      <c r="AT37" s="399" t="s">
        <v>1658</v>
      </c>
      <c r="AU37" s="533" t="s">
        <v>1659</v>
      </c>
      <c r="AV37" s="533" t="s">
        <v>1660</v>
      </c>
      <c r="AW37" s="533" t="s">
        <v>1661</v>
      </c>
      <c r="AX37" s="533" t="s">
        <v>1662</v>
      </c>
      <c r="AY37" s="533" t="s">
        <v>1663</v>
      </c>
      <c r="AZ37" s="1056" t="str">
        <f t="shared" si="0"/>
        <v xml:space="preserve"> * La variable Gestante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7" s="113"/>
      <c r="BB37" s="113"/>
      <c r="CB37" s="191" t="str">
        <f t="shared" si="24"/>
        <v xml:space="preserve"> * La variable Gestante no puede ser Mayor al Total Mujeres.</v>
      </c>
      <c r="CC37" s="1086"/>
      <c r="CD37" s="191" t="str">
        <f t="shared" si="36"/>
        <v xml:space="preserve"> * La variable Pueblos Originarios Hombres no puede ser Mayor al Total Hombres.</v>
      </c>
      <c r="CE37" s="191" t="str">
        <f t="shared" si="37"/>
        <v xml:space="preserve"> * La variable Pueblos Originarios Mujeres no puede ser Mayor al Total Mujeres.</v>
      </c>
      <c r="CF37" s="191" t="str">
        <f t="shared" si="38"/>
        <v xml:space="preserve"> * La variable Migrantes Hombres no puede ser Mayor al Total Hombres.</v>
      </c>
      <c r="CG37" s="191" t="str">
        <f t="shared" si="39"/>
        <v xml:space="preserve"> * La variable Migrantes Mujeres no puede ser Mayor al Total Mujeres.</v>
      </c>
      <c r="CH37" s="191" t="str">
        <f t="shared" si="21"/>
        <v xml:space="preserve"> * La variable Niños, Niñas, Adolescentes y Jóvenes SENAME no puede ser Mayor al Total ambos sexos.</v>
      </c>
      <c r="CI37" s="191" t="str">
        <f t="shared" si="22"/>
        <v xml:space="preserve"> * La variable Niños y niñas Mejor Niñez no puede ser Mayor al Total ambos sexos.</v>
      </c>
      <c r="CJ37" s="191" t="str">
        <f t="shared" si="40"/>
        <v xml:space="preserve">* La variable Plan Cuidado Integral Elaborado debe ser menor o igual al Total de Personas en control. </v>
      </c>
      <c r="CK37" s="191" t="str">
        <f t="shared" si="41"/>
        <v xml:space="preserve"> * La variable Trans Masculino no debe ser mayor al Total Mujeres.</v>
      </c>
      <c r="CL37" s="191" t="str">
        <f t="shared" si="42"/>
        <v xml:space="preserve"> * La variable Trans Femenino no debe ser mayor al Total Hombre.</v>
      </c>
      <c r="CM37" s="108"/>
      <c r="CN37" s="108"/>
      <c r="CO37" s="1047">
        <f t="shared" si="31"/>
        <v>1</v>
      </c>
      <c r="CP37" s="1086"/>
      <c r="CQ37" s="1047">
        <f t="shared" si="49"/>
        <v>1</v>
      </c>
      <c r="CR37" s="1047">
        <f t="shared" si="43"/>
        <v>1</v>
      </c>
      <c r="CS37" s="1047">
        <f t="shared" si="44"/>
        <v>1</v>
      </c>
      <c r="CT37" s="1047">
        <f t="shared" si="45"/>
        <v>1</v>
      </c>
      <c r="CU37" s="1047">
        <f t="shared" si="46"/>
        <v>1</v>
      </c>
      <c r="CV37" s="1047">
        <f t="shared" si="47"/>
        <v>1</v>
      </c>
      <c r="CW37" s="1047">
        <f t="shared" si="48"/>
        <v>1</v>
      </c>
      <c r="CX37" s="1047">
        <f t="shared" si="34"/>
        <v>1</v>
      </c>
      <c r="CY37" s="1047">
        <f t="shared" si="35"/>
        <v>1</v>
      </c>
      <c r="DL37" s="108"/>
      <c r="DM37" s="108"/>
      <c r="DN37" s="108"/>
      <c r="DO37" s="108"/>
      <c r="DP37" s="108"/>
      <c r="DQ37" s="108"/>
      <c r="DR37" s="108"/>
      <c r="DS37" s="108"/>
      <c r="DT37" s="108"/>
      <c r="DU37" s="108"/>
      <c r="DW37" s="606"/>
    </row>
    <row r="38" spans="1:127" s="95" customFormat="1" ht="23.25" customHeight="1" x14ac:dyDescent="0.25">
      <c r="A38" s="1585" t="s">
        <v>1348</v>
      </c>
      <c r="B38" s="2152"/>
      <c r="C38" s="1337" t="s">
        <v>656</v>
      </c>
      <c r="D38" s="1143" t="s">
        <v>1616</v>
      </c>
      <c r="E38" s="391" t="s">
        <v>1617</v>
      </c>
      <c r="F38" s="532" t="s">
        <v>1618</v>
      </c>
      <c r="G38" s="403" t="s">
        <v>1619</v>
      </c>
      <c r="H38" s="404" t="s">
        <v>1620</v>
      </c>
      <c r="I38" s="403" t="s">
        <v>1621</v>
      </c>
      <c r="J38" s="404" t="s">
        <v>1622</v>
      </c>
      <c r="K38" s="403" t="s">
        <v>1623</v>
      </c>
      <c r="L38" s="404" t="s">
        <v>1624</v>
      </c>
      <c r="M38" s="403" t="s">
        <v>1625</v>
      </c>
      <c r="N38" s="404" t="s">
        <v>1626</v>
      </c>
      <c r="O38" s="403" t="s">
        <v>1627</v>
      </c>
      <c r="P38" s="404" t="s">
        <v>1628</v>
      </c>
      <c r="Q38" s="439" t="s">
        <v>1629</v>
      </c>
      <c r="R38" s="440" t="s">
        <v>1630</v>
      </c>
      <c r="S38" s="439" t="s">
        <v>1631</v>
      </c>
      <c r="T38" s="440" t="s">
        <v>1632</v>
      </c>
      <c r="U38" s="439" t="s">
        <v>1633</v>
      </c>
      <c r="V38" s="440" t="s">
        <v>1634</v>
      </c>
      <c r="W38" s="439" t="s">
        <v>1635</v>
      </c>
      <c r="X38" s="440" t="s">
        <v>1636</v>
      </c>
      <c r="Y38" s="439" t="s">
        <v>1637</v>
      </c>
      <c r="Z38" s="440" t="s">
        <v>1638</v>
      </c>
      <c r="AA38" s="439" t="s">
        <v>1639</v>
      </c>
      <c r="AB38" s="440" t="s">
        <v>1640</v>
      </c>
      <c r="AC38" s="439" t="s">
        <v>1641</v>
      </c>
      <c r="AD38" s="440" t="s">
        <v>1642</v>
      </c>
      <c r="AE38" s="439" t="s">
        <v>1643</v>
      </c>
      <c r="AF38" s="440" t="s">
        <v>1644</v>
      </c>
      <c r="AG38" s="439" t="s">
        <v>1645</v>
      </c>
      <c r="AH38" s="440" t="s">
        <v>1646</v>
      </c>
      <c r="AI38" s="439" t="s">
        <v>1647</v>
      </c>
      <c r="AJ38" s="440" t="s">
        <v>1648</v>
      </c>
      <c r="AK38" s="439" t="s">
        <v>1649</v>
      </c>
      <c r="AL38" s="440" t="s">
        <v>1650</v>
      </c>
      <c r="AM38" s="439" t="s">
        <v>1651</v>
      </c>
      <c r="AN38" s="858" t="s">
        <v>1652</v>
      </c>
      <c r="AO38" s="662" t="s">
        <v>1653</v>
      </c>
      <c r="AP38" s="850" t="s">
        <v>1654</v>
      </c>
      <c r="AQ38" s="464" t="s">
        <v>1655</v>
      </c>
      <c r="AR38" s="404" t="s">
        <v>1656</v>
      </c>
      <c r="AS38" s="464" t="s">
        <v>1657</v>
      </c>
      <c r="AT38" s="404" t="s">
        <v>1658</v>
      </c>
      <c r="AU38" s="442" t="s">
        <v>1659</v>
      </c>
      <c r="AV38" s="442" t="s">
        <v>1660</v>
      </c>
      <c r="AW38" s="442" t="s">
        <v>1661</v>
      </c>
      <c r="AX38" s="442" t="s">
        <v>1662</v>
      </c>
      <c r="AY38" s="442" t="s">
        <v>1663</v>
      </c>
      <c r="AZ38" s="1056" t="str">
        <f t="shared" si="0"/>
        <v xml:space="preserve"> * La variable Gestante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8" s="113"/>
      <c r="BB38" s="113"/>
      <c r="CB38" s="191" t="str">
        <f t="shared" si="24"/>
        <v xml:space="preserve"> * La variable Gestante no puede ser Mayor al Total Mujeres.</v>
      </c>
      <c r="CC38" s="1086"/>
      <c r="CD38" s="191" t="str">
        <f t="shared" si="36"/>
        <v xml:space="preserve"> * La variable Pueblos Originarios Hombres no puede ser Mayor al Total Hombres.</v>
      </c>
      <c r="CE38" s="191" t="str">
        <f t="shared" si="37"/>
        <v xml:space="preserve"> * La variable Pueblos Originarios Mujeres no puede ser Mayor al Total Mujeres.</v>
      </c>
      <c r="CF38" s="191" t="str">
        <f t="shared" si="38"/>
        <v xml:space="preserve"> * La variable Migrantes Hombres no puede ser Mayor al Total Hombres.</v>
      </c>
      <c r="CG38" s="191" t="str">
        <f t="shared" si="39"/>
        <v xml:space="preserve"> * La variable Migrantes Mujeres no puede ser Mayor al Total Mujeres.</v>
      </c>
      <c r="CH38" s="191" t="str">
        <f t="shared" si="21"/>
        <v xml:space="preserve"> * La variable Niños, Niñas, Adolescentes y Jóvenes SENAME no puede ser Mayor al Total ambos sexos.</v>
      </c>
      <c r="CI38" s="191" t="str">
        <f t="shared" si="22"/>
        <v xml:space="preserve"> * La variable Niños y niñas Mejor Niñez no puede ser Mayor al Total ambos sexos.</v>
      </c>
      <c r="CJ38" s="191" t="str">
        <f t="shared" si="40"/>
        <v xml:space="preserve">* La variable Plan Cuidado Integral Elaborado debe ser menor o igual al Total de Personas en control. </v>
      </c>
      <c r="CK38" s="191" t="str">
        <f t="shared" si="41"/>
        <v xml:space="preserve"> * La variable Trans Masculino no debe ser mayor al Total Mujeres.</v>
      </c>
      <c r="CL38" s="191" t="str">
        <f t="shared" si="42"/>
        <v xml:space="preserve"> * La variable Trans Femenino no debe ser mayor al Total Hombre.</v>
      </c>
      <c r="CM38" s="108"/>
      <c r="CN38" s="108"/>
      <c r="CO38" s="1047">
        <f t="shared" si="31"/>
        <v>1</v>
      </c>
      <c r="CP38" s="1086"/>
      <c r="CQ38" s="1047">
        <f t="shared" si="49"/>
        <v>1</v>
      </c>
      <c r="CR38" s="1047">
        <f t="shared" si="43"/>
        <v>1</v>
      </c>
      <c r="CS38" s="1047">
        <f t="shared" si="44"/>
        <v>1</v>
      </c>
      <c r="CT38" s="1047">
        <f t="shared" si="45"/>
        <v>1</v>
      </c>
      <c r="CU38" s="1047">
        <f t="shared" si="46"/>
        <v>1</v>
      </c>
      <c r="CV38" s="1047">
        <f t="shared" si="47"/>
        <v>1</v>
      </c>
      <c r="CW38" s="1047">
        <f t="shared" si="48"/>
        <v>1</v>
      </c>
      <c r="CX38" s="1047">
        <f t="shared" si="34"/>
        <v>1</v>
      </c>
      <c r="CY38" s="1047">
        <f t="shared" si="35"/>
        <v>1</v>
      </c>
      <c r="DL38" s="108"/>
      <c r="DM38" s="108"/>
      <c r="DN38" s="108"/>
      <c r="DO38" s="108"/>
      <c r="DP38" s="108"/>
      <c r="DQ38" s="108"/>
      <c r="DR38" s="108"/>
      <c r="DS38" s="108"/>
      <c r="DT38" s="108"/>
      <c r="DU38" s="108"/>
      <c r="DW38" s="606"/>
    </row>
    <row r="39" spans="1:127" s="95" customFormat="1" ht="15" customHeight="1" x14ac:dyDescent="0.25">
      <c r="A39" s="1585" t="s">
        <v>1349</v>
      </c>
      <c r="B39" s="2150" t="s">
        <v>657</v>
      </c>
      <c r="C39" s="1334" t="s">
        <v>658</v>
      </c>
      <c r="D39" s="708" t="s">
        <v>1616</v>
      </c>
      <c r="E39" s="1067" t="s">
        <v>1617</v>
      </c>
      <c r="F39" s="583" t="s">
        <v>1618</v>
      </c>
      <c r="G39" s="417" t="s">
        <v>1619</v>
      </c>
      <c r="H39" s="418" t="s">
        <v>1620</v>
      </c>
      <c r="I39" s="417" t="s">
        <v>1621</v>
      </c>
      <c r="J39" s="418" t="s">
        <v>1622</v>
      </c>
      <c r="K39" s="417" t="s">
        <v>1623</v>
      </c>
      <c r="L39" s="418" t="s">
        <v>1624</v>
      </c>
      <c r="M39" s="398" t="s">
        <v>1625</v>
      </c>
      <c r="N39" s="399" t="s">
        <v>1626</v>
      </c>
      <c r="O39" s="394" t="s">
        <v>1627</v>
      </c>
      <c r="P39" s="465" t="s">
        <v>1628</v>
      </c>
      <c r="Q39" s="398" t="s">
        <v>1629</v>
      </c>
      <c r="R39" s="465" t="s">
        <v>1630</v>
      </c>
      <c r="S39" s="398" t="s">
        <v>1631</v>
      </c>
      <c r="T39" s="465" t="s">
        <v>1632</v>
      </c>
      <c r="U39" s="398" t="s">
        <v>1633</v>
      </c>
      <c r="V39" s="465" t="s">
        <v>1634</v>
      </c>
      <c r="W39" s="398" t="s">
        <v>1635</v>
      </c>
      <c r="X39" s="465" t="s">
        <v>1636</v>
      </c>
      <c r="Y39" s="398" t="s">
        <v>1637</v>
      </c>
      <c r="Z39" s="465" t="s">
        <v>1638</v>
      </c>
      <c r="AA39" s="398" t="s">
        <v>1639</v>
      </c>
      <c r="AB39" s="465" t="s">
        <v>1640</v>
      </c>
      <c r="AC39" s="398" t="s">
        <v>1641</v>
      </c>
      <c r="AD39" s="465" t="s">
        <v>1642</v>
      </c>
      <c r="AE39" s="398" t="s">
        <v>1643</v>
      </c>
      <c r="AF39" s="465" t="s">
        <v>1644</v>
      </c>
      <c r="AG39" s="398" t="s">
        <v>1645</v>
      </c>
      <c r="AH39" s="465" t="s">
        <v>1646</v>
      </c>
      <c r="AI39" s="398" t="s">
        <v>1647</v>
      </c>
      <c r="AJ39" s="465" t="s">
        <v>1648</v>
      </c>
      <c r="AK39" s="398" t="s">
        <v>1649</v>
      </c>
      <c r="AL39" s="465" t="s">
        <v>1650</v>
      </c>
      <c r="AM39" s="398" t="s">
        <v>1651</v>
      </c>
      <c r="AN39" s="406" t="s">
        <v>1652</v>
      </c>
      <c r="AO39" s="661" t="s">
        <v>1653</v>
      </c>
      <c r="AP39" s="649" t="s">
        <v>1654</v>
      </c>
      <c r="AQ39" s="465" t="s">
        <v>1655</v>
      </c>
      <c r="AR39" s="533" t="s">
        <v>1656</v>
      </c>
      <c r="AS39" s="465" t="s">
        <v>1657</v>
      </c>
      <c r="AT39" s="399" t="s">
        <v>1658</v>
      </c>
      <c r="AU39" s="461" t="s">
        <v>1659</v>
      </c>
      <c r="AV39" s="461" t="s">
        <v>1660</v>
      </c>
      <c r="AW39" s="395" t="s">
        <v>1661</v>
      </c>
      <c r="AX39" s="395" t="s">
        <v>1662</v>
      </c>
      <c r="AY39" s="395" t="s">
        <v>1663</v>
      </c>
      <c r="AZ39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9" s="113"/>
      <c r="BB39" s="113"/>
      <c r="CB39" s="191" t="str">
        <f t="shared" si="24"/>
        <v xml:space="preserve"> * La variable Gestante no puede ser Mayor al Total Mujeres.</v>
      </c>
      <c r="CC39" s="191" t="str">
        <f t="shared" ref="CC39:CC43" si="50">IF(AND(D39&gt;0,OR(AP39=""))," * No olvide digitar la variable Madre de hijo menor de 5 años. Digite Cero si no tiene.",IF(AP39&gt;D39," * La variable Madre de hijo menor de 5 años no puede ser Mayor al Total Mujeres.",""))</f>
        <v xml:space="preserve"> * La variable Madre de hijo menor de 5 años no puede ser Mayor al Total Mujeres.</v>
      </c>
      <c r="CD39" s="191" t="str">
        <f t="shared" si="36"/>
        <v xml:space="preserve"> * La variable Pueblos Originarios Hombres no puede ser Mayor al Total Hombres.</v>
      </c>
      <c r="CE39" s="191" t="str">
        <f t="shared" si="37"/>
        <v xml:space="preserve"> * La variable Pueblos Originarios Mujeres no puede ser Mayor al Total Mujeres.</v>
      </c>
      <c r="CF39" s="191" t="str">
        <f t="shared" si="38"/>
        <v xml:space="preserve"> * La variable Migrantes Hombres no puede ser Mayor al Total Hombres.</v>
      </c>
      <c r="CG39" s="191" t="str">
        <f t="shared" si="39"/>
        <v xml:space="preserve"> * La variable Migrantes Mujeres no puede ser Mayor al Total Mujeres.</v>
      </c>
      <c r="CH39" s="191" t="str">
        <f t="shared" si="21"/>
        <v xml:space="preserve"> * La variable Niños, Niñas, Adolescentes y Jóvenes SENAME no puede ser Mayor al Total ambos sexos.</v>
      </c>
      <c r="CI39" s="191" t="str">
        <f t="shared" si="22"/>
        <v xml:space="preserve"> * La variable Niños y niñas Mejor Niñez no puede ser Mayor al Total ambos sexos.</v>
      </c>
      <c r="CJ39" s="191" t="str">
        <f t="shared" si="40"/>
        <v xml:space="preserve">* La variable Plan Cuidado Integral Elaborado debe ser menor o igual al Total de Personas en control. </v>
      </c>
      <c r="CK39" s="191" t="str">
        <f t="shared" si="41"/>
        <v xml:space="preserve"> * La variable Trans Masculino no debe ser mayor al Total Mujeres.</v>
      </c>
      <c r="CL39" s="191" t="str">
        <f t="shared" si="42"/>
        <v xml:space="preserve"> * La variable Trans Femenino no debe ser mayor al Total Hombre.</v>
      </c>
      <c r="CM39" s="108"/>
      <c r="CN39" s="108"/>
      <c r="CO39" s="1047">
        <f t="shared" si="31"/>
        <v>1</v>
      </c>
      <c r="CP39" s="1047">
        <f t="shared" ref="CP39:CP43" si="51">IF(AND($F39&gt;0,OR(AP39="")),1,IF(AP39&gt;$F39,1,0))</f>
        <v>1</v>
      </c>
      <c r="CQ39" s="1047">
        <f>IF(AND($E39&gt;0,OR(AQ39="")),1,IF(AQ39&gt;$E39,1,0))</f>
        <v>1</v>
      </c>
      <c r="CR39" s="1047">
        <f>IF(AND($F39&gt;0,OR(AR39="")),1,IF(AR39&gt;$F39,1,0))</f>
        <v>1</v>
      </c>
      <c r="CS39" s="1047">
        <f>IF(AND($E39&gt;0,OR(AS39="")),1,IF(AS39&gt;$E39,1,0))</f>
        <v>1</v>
      </c>
      <c r="CT39" s="1047">
        <f>IF(AND($F39&gt;0,OR(AT39="")),1,IF(AT39&gt;$F39,1,0))</f>
        <v>1</v>
      </c>
      <c r="CU39" s="1047">
        <f t="shared" ref="CU39:CW40" si="52">IF(AND($D39&gt;0,OR(AU39="")),1,IF(AU39&gt;$D39,1,0))</f>
        <v>1</v>
      </c>
      <c r="CV39" s="1047">
        <f t="shared" si="52"/>
        <v>1</v>
      </c>
      <c r="CW39" s="1047">
        <f t="shared" si="52"/>
        <v>1</v>
      </c>
      <c r="CX39" s="1047">
        <f t="shared" si="34"/>
        <v>1</v>
      </c>
      <c r="CY39" s="1047">
        <f t="shared" si="35"/>
        <v>1</v>
      </c>
      <c r="DL39" s="108"/>
      <c r="DM39" s="108"/>
      <c r="DN39" s="108"/>
      <c r="DO39" s="108"/>
      <c r="DP39" s="108"/>
      <c r="DQ39" s="108"/>
      <c r="DR39" s="108"/>
      <c r="DS39" s="108"/>
      <c r="DT39" s="108"/>
      <c r="DU39" s="108"/>
      <c r="DW39" s="606"/>
    </row>
    <row r="40" spans="1:127" s="95" customFormat="1" ht="15" customHeight="1" x14ac:dyDescent="0.25">
      <c r="A40" s="1585" t="s">
        <v>1350</v>
      </c>
      <c r="B40" s="2151"/>
      <c r="C40" s="1338" t="s">
        <v>659</v>
      </c>
      <c r="D40" s="708" t="s">
        <v>1616</v>
      </c>
      <c r="E40" s="1067" t="s">
        <v>1617</v>
      </c>
      <c r="F40" s="583" t="s">
        <v>1618</v>
      </c>
      <c r="G40" s="398" t="s">
        <v>1619</v>
      </c>
      <c r="H40" s="399" t="s">
        <v>1620</v>
      </c>
      <c r="I40" s="398" t="s">
        <v>1621</v>
      </c>
      <c r="J40" s="399" t="s">
        <v>1622</v>
      </c>
      <c r="K40" s="398" t="s">
        <v>1623</v>
      </c>
      <c r="L40" s="399" t="s">
        <v>1624</v>
      </c>
      <c r="M40" s="398" t="s">
        <v>1625</v>
      </c>
      <c r="N40" s="399" t="s">
        <v>1626</v>
      </c>
      <c r="O40" s="398" t="s">
        <v>1627</v>
      </c>
      <c r="P40" s="465" t="s">
        <v>1628</v>
      </c>
      <c r="Q40" s="398" t="s">
        <v>1629</v>
      </c>
      <c r="R40" s="465" t="s">
        <v>1630</v>
      </c>
      <c r="S40" s="398" t="s">
        <v>1631</v>
      </c>
      <c r="T40" s="465" t="s">
        <v>1632</v>
      </c>
      <c r="U40" s="398" t="s">
        <v>1633</v>
      </c>
      <c r="V40" s="465" t="s">
        <v>1634</v>
      </c>
      <c r="W40" s="398" t="s">
        <v>1635</v>
      </c>
      <c r="X40" s="465" t="s">
        <v>1636</v>
      </c>
      <c r="Y40" s="398" t="s">
        <v>1637</v>
      </c>
      <c r="Z40" s="465" t="s">
        <v>1638</v>
      </c>
      <c r="AA40" s="398" t="s">
        <v>1639</v>
      </c>
      <c r="AB40" s="465" t="s">
        <v>1640</v>
      </c>
      <c r="AC40" s="398" t="s">
        <v>1641</v>
      </c>
      <c r="AD40" s="465" t="s">
        <v>1642</v>
      </c>
      <c r="AE40" s="398" t="s">
        <v>1643</v>
      </c>
      <c r="AF40" s="465" t="s">
        <v>1644</v>
      </c>
      <c r="AG40" s="398" t="s">
        <v>1645</v>
      </c>
      <c r="AH40" s="465" t="s">
        <v>1646</v>
      </c>
      <c r="AI40" s="398" t="s">
        <v>1647</v>
      </c>
      <c r="AJ40" s="465" t="s">
        <v>1648</v>
      </c>
      <c r="AK40" s="398" t="s">
        <v>1649</v>
      </c>
      <c r="AL40" s="465" t="s">
        <v>1650</v>
      </c>
      <c r="AM40" s="398" t="s">
        <v>1651</v>
      </c>
      <c r="AN40" s="407" t="s">
        <v>1652</v>
      </c>
      <c r="AO40" s="549" t="s">
        <v>1653</v>
      </c>
      <c r="AP40" s="650" t="s">
        <v>1654</v>
      </c>
      <c r="AQ40" s="465" t="s">
        <v>1655</v>
      </c>
      <c r="AR40" s="533" t="s">
        <v>1656</v>
      </c>
      <c r="AS40" s="465" t="s">
        <v>1657</v>
      </c>
      <c r="AT40" s="399" t="s">
        <v>1658</v>
      </c>
      <c r="AU40" s="533" t="s">
        <v>1659</v>
      </c>
      <c r="AV40" s="533" t="s">
        <v>1660</v>
      </c>
      <c r="AW40" s="399" t="s">
        <v>1661</v>
      </c>
      <c r="AX40" s="399" t="s">
        <v>1662</v>
      </c>
      <c r="AY40" s="399" t="s">
        <v>1663</v>
      </c>
      <c r="AZ40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40" s="113"/>
      <c r="BB40" s="113"/>
      <c r="CB40" s="191" t="str">
        <f t="shared" si="24"/>
        <v xml:space="preserve"> * La variable Gestante no puede ser Mayor al Total Mujeres.</v>
      </c>
      <c r="CC40" s="191" t="str">
        <f t="shared" si="50"/>
        <v xml:space="preserve"> * La variable Madre de hijo menor de 5 años no puede ser Mayor al Total Mujeres.</v>
      </c>
      <c r="CD40" s="191" t="str">
        <f t="shared" ref="CD40" si="53">IF(AND(E40&gt;0,OR(AQ40=""))," * No olvide digitar la variable Pueblos Originarios Hombres. Digite Cero si no tiene.",IF(AQ40&gt;E40," * La variable Pueblos Originarios Hombres no puede ser Mayor al Total Hombres.",""))</f>
        <v xml:space="preserve"> * La variable Pueblos Originarios Hombres no puede ser Mayor al Total Hombres.</v>
      </c>
      <c r="CE40" s="191" t="str">
        <f t="shared" ref="CE40" si="54">IF(AND(F40&gt;0,OR(AR40=""))," * No olvide digitar la variable Pueblos Originarios Mujeres. Digite Cero si no tiene.",IF(AR40&gt;F40," * La variable Pueblos Originarios Mujeres no puede ser Mayor al Total Mujeres.",""))</f>
        <v xml:space="preserve"> * La variable Pueblos Originarios Mujeres no puede ser Mayor al Total Mujeres.</v>
      </c>
      <c r="CF40" s="191" t="str">
        <f t="shared" ref="CF40" si="55">IF(AND($E40&gt;0,OR(AS40=""))," * No olvide digitar la variable Migrantes Hombres. Digite Cero si no tiene.",IF(AS40&gt;$E40," * La variable Migrantes Hombres no puede ser Mayor al Total Hombres.",""))</f>
        <v xml:space="preserve"> * La variable Migrantes Hombres no puede ser Mayor al Total Hombres.</v>
      </c>
      <c r="CG40" s="191" t="str">
        <f t="shared" ref="CG40" si="56">IF(AND($F40&gt;0,OR(AT40=""))," * No olvide digitar la variable Migrantes Mujeres. Digite Cero si no tiene.",IF(AT40&gt;$F40," * La variable Migrantes Mujeres no puede ser Mayor al Total Mujeres.",""))</f>
        <v xml:space="preserve"> * La variable Migrantes Mujeres no puede ser Mayor al Total Mujeres.</v>
      </c>
      <c r="CH40" s="191" t="str">
        <f t="shared" si="21"/>
        <v xml:space="preserve"> * La variable Niños, Niñas, Adolescentes y Jóvenes SENAME no puede ser Mayor al Total ambos sexos.</v>
      </c>
      <c r="CI40" s="191" t="str">
        <f t="shared" si="22"/>
        <v xml:space="preserve"> * La variable Niños y niñas Mejor Niñez no puede ser Mayor al Total ambos sexos.</v>
      </c>
      <c r="CJ40" s="191" t="str">
        <f t="shared" ref="CJ40:CJ46" si="57">IF(AND(D40&gt;0,OR(AW40=""))," * No olvide digitar la variable Plan Cuidado Integral Elaborado. Digite Cero si no tiene.",IF($AW40&gt;$D40,"* La variable Plan Cuidado Integral Elaborado debe ser menor o igual al Total de Personas en control. ",""))</f>
        <v xml:space="preserve">* La variable Plan Cuidado Integral Elaborado debe ser menor o igual al Total de Personas en control. </v>
      </c>
      <c r="CK40" s="191" t="str">
        <f t="shared" ref="CK40:CK46" si="58">IF(AND(F40&gt;0,OR(AX40=""))," * No olvide digitar la variable Trans Masculino. (Digite Cero si no tiene).",IF(AX40&gt;F40," * La variable Trans Masculino no debe ser mayor al Total Mujeres.",""))</f>
        <v xml:space="preserve"> * La variable Trans Masculino no debe ser mayor al Total Mujeres.</v>
      </c>
      <c r="CL40" s="191" t="str">
        <f t="shared" ref="CL40:CL46" si="59">IF(AND(E40&gt;0,OR(AY40=""))," * No olvide digitar la variable Trans Femenino. (Digite Cero si no tiene).",IF(AY40&gt;E40," * La variable Trans Femenino no debe ser mayor al Total Hombre.",""))</f>
        <v xml:space="preserve"> * La variable Trans Femenino no debe ser mayor al Total Hombre.</v>
      </c>
      <c r="CM40" s="108"/>
      <c r="CN40" s="108"/>
      <c r="CO40" s="1047">
        <f t="shared" si="31"/>
        <v>1</v>
      </c>
      <c r="CP40" s="1047">
        <f t="shared" si="51"/>
        <v>1</v>
      </c>
      <c r="CQ40" s="1047">
        <f>IF(AND($E40&gt;0,OR(AQ40="")),1,IF(AQ40&gt;$E40,1,0))</f>
        <v>1</v>
      </c>
      <c r="CR40" s="1047">
        <f>IF(AND($F40&gt;0,OR(AR40="")),1,IF(AR40&gt;$F40,1,0))</f>
        <v>1</v>
      </c>
      <c r="CS40" s="1047">
        <f>IF(AND($E40&gt;0,OR(AS40="")),1,IF(AS40&gt;$E40,1,0))</f>
        <v>1</v>
      </c>
      <c r="CT40" s="1047">
        <f>IF(AND($F40&gt;0,OR(AT40="")),1,IF(AT40&gt;$F40,1,0))</f>
        <v>1</v>
      </c>
      <c r="CU40" s="1047">
        <f t="shared" si="52"/>
        <v>1</v>
      </c>
      <c r="CV40" s="1047">
        <f t="shared" si="52"/>
        <v>1</v>
      </c>
      <c r="CW40" s="1047">
        <f t="shared" si="52"/>
        <v>1</v>
      </c>
      <c r="CX40" s="1047">
        <f t="shared" si="34"/>
        <v>1</v>
      </c>
      <c r="CY40" s="1047">
        <f t="shared" si="35"/>
        <v>1</v>
      </c>
      <c r="DL40" s="108"/>
      <c r="DM40" s="108"/>
      <c r="DN40" s="108"/>
      <c r="DO40" s="108"/>
      <c r="DP40" s="108"/>
      <c r="DQ40" s="108"/>
      <c r="DR40" s="108"/>
      <c r="DS40" s="108"/>
      <c r="DT40" s="108"/>
      <c r="DU40" s="108"/>
      <c r="DW40" s="606"/>
    </row>
    <row r="41" spans="1:127" s="95" customFormat="1" ht="15" customHeight="1" x14ac:dyDescent="0.25">
      <c r="A41" s="1585" t="s">
        <v>1351</v>
      </c>
      <c r="B41" s="2151"/>
      <c r="C41" s="1338" t="s">
        <v>660</v>
      </c>
      <c r="D41" s="709" t="s">
        <v>1616</v>
      </c>
      <c r="E41" s="1068" t="s">
        <v>1617</v>
      </c>
      <c r="F41" s="584" t="s">
        <v>1618</v>
      </c>
      <c r="G41" s="398" t="s">
        <v>1619</v>
      </c>
      <c r="H41" s="399" t="s">
        <v>1620</v>
      </c>
      <c r="I41" s="398" t="s">
        <v>1621</v>
      </c>
      <c r="J41" s="399" t="s">
        <v>1622</v>
      </c>
      <c r="K41" s="398" t="s">
        <v>1623</v>
      </c>
      <c r="L41" s="399" t="s">
        <v>1624</v>
      </c>
      <c r="M41" s="398" t="s">
        <v>1625</v>
      </c>
      <c r="N41" s="399" t="s">
        <v>1626</v>
      </c>
      <c r="O41" s="398" t="s">
        <v>1627</v>
      </c>
      <c r="P41" s="465" t="s">
        <v>1628</v>
      </c>
      <c r="Q41" s="398" t="s">
        <v>1629</v>
      </c>
      <c r="R41" s="465" t="s">
        <v>1630</v>
      </c>
      <c r="S41" s="398" t="s">
        <v>1631</v>
      </c>
      <c r="T41" s="465" t="s">
        <v>1632</v>
      </c>
      <c r="U41" s="398" t="s">
        <v>1633</v>
      </c>
      <c r="V41" s="465" t="s">
        <v>1634</v>
      </c>
      <c r="W41" s="398" t="s">
        <v>1635</v>
      </c>
      <c r="X41" s="465" t="s">
        <v>1636</v>
      </c>
      <c r="Y41" s="398" t="s">
        <v>1637</v>
      </c>
      <c r="Z41" s="465" t="s">
        <v>1638</v>
      </c>
      <c r="AA41" s="398" t="s">
        <v>1639</v>
      </c>
      <c r="AB41" s="465" t="s">
        <v>1640</v>
      </c>
      <c r="AC41" s="398" t="s">
        <v>1641</v>
      </c>
      <c r="AD41" s="465" t="s">
        <v>1642</v>
      </c>
      <c r="AE41" s="398" t="s">
        <v>1643</v>
      </c>
      <c r="AF41" s="465" t="s">
        <v>1644</v>
      </c>
      <c r="AG41" s="398" t="s">
        <v>1645</v>
      </c>
      <c r="AH41" s="465" t="s">
        <v>1646</v>
      </c>
      <c r="AI41" s="398" t="s">
        <v>1647</v>
      </c>
      <c r="AJ41" s="465" t="s">
        <v>1648</v>
      </c>
      <c r="AK41" s="398" t="s">
        <v>1649</v>
      </c>
      <c r="AL41" s="465" t="s">
        <v>1650</v>
      </c>
      <c r="AM41" s="398" t="s">
        <v>1651</v>
      </c>
      <c r="AN41" s="407" t="s">
        <v>1652</v>
      </c>
      <c r="AO41" s="549" t="s">
        <v>1653</v>
      </c>
      <c r="AP41" s="650" t="s">
        <v>1654</v>
      </c>
      <c r="AQ41" s="465" t="s">
        <v>1655</v>
      </c>
      <c r="AR41" s="533" t="s">
        <v>1656</v>
      </c>
      <c r="AS41" s="465" t="s">
        <v>1657</v>
      </c>
      <c r="AT41" s="399" t="s">
        <v>1658</v>
      </c>
      <c r="AU41" s="533" t="s">
        <v>1659</v>
      </c>
      <c r="AV41" s="533" t="s">
        <v>1660</v>
      </c>
      <c r="AW41" s="399" t="s">
        <v>1661</v>
      </c>
      <c r="AX41" s="399" t="s">
        <v>1662</v>
      </c>
      <c r="AY41" s="399" t="s">
        <v>1663</v>
      </c>
      <c r="AZ41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41" s="113"/>
      <c r="BB41" s="113"/>
      <c r="CB41" s="191" t="str">
        <f t="shared" si="24"/>
        <v xml:space="preserve"> * La variable Gestante no puede ser Mayor al Total Mujeres.</v>
      </c>
      <c r="CC41" s="191" t="str">
        <f t="shared" si="50"/>
        <v xml:space="preserve"> * La variable Madre de hijo menor de 5 años no puede ser Mayor al Total Mujeres.</v>
      </c>
      <c r="CD41" s="191" t="str">
        <f t="shared" ref="CD41:CD48" si="60">IF(AND(E41&gt;0,OR(AQ41=""))," * No olvide digitar la variable Pueblos Originarios Hombres. Digite Cero si no tiene.",IF(AQ41&gt;E41," * La variable Pueblos Originarios Hombres no puede ser Mayor al Total Hombres.",""))</f>
        <v xml:space="preserve"> * La variable Pueblos Originarios Hombres no puede ser Mayor al Total Hombres.</v>
      </c>
      <c r="CE41" s="191" t="str">
        <f t="shared" ref="CE41:CE48" si="61">IF(AND(F41&gt;0,OR(AR41=""))," * No olvide digitar la variable Pueblos Originarios Mujeres. Digite Cero si no tiene.",IF(AR41&gt;F41," * La variable Pueblos Originarios Mujeres no puede ser Mayor al Total Mujeres.",""))</f>
        <v xml:space="preserve"> * La variable Pueblos Originarios Mujeres no puede ser Mayor al Total Mujeres.</v>
      </c>
      <c r="CF41" s="191" t="str">
        <f t="shared" ref="CF41:CF48" si="62">IF(AND($E41&gt;0,OR(AS41=""))," * No olvide digitar la variable Migrantes Hombres. Digite Cero si no tiene.",IF(AS41&gt;$E41," * La variable Migrantes Hombres no puede ser Mayor al Total Hombres.",""))</f>
        <v xml:space="preserve"> * La variable Migrantes Hombres no puede ser Mayor al Total Hombres.</v>
      </c>
      <c r="CG41" s="191" t="str">
        <f t="shared" ref="CG41:CG48" si="63">IF(AND($F41&gt;0,OR(AT41=""))," * No olvide digitar la variable Migrantes Mujeres. Digite Cero si no tiene.",IF(AT41&gt;$F41," * La variable Migrantes Mujeres no puede ser Mayor al Total Mujeres.",""))</f>
        <v xml:space="preserve"> * La variable Migrantes Mujeres no puede ser Mayor al Total Mujeres.</v>
      </c>
      <c r="CH41" s="191" t="str">
        <f t="shared" si="21"/>
        <v xml:space="preserve"> * La variable Niños, Niñas, Adolescentes y Jóvenes SENAME no puede ser Mayor al Total ambos sexos.</v>
      </c>
      <c r="CI41" s="191" t="str">
        <f t="shared" si="22"/>
        <v xml:space="preserve"> * La variable Niños y niñas Mejor Niñez no puede ser Mayor al Total ambos sexos.</v>
      </c>
      <c r="CJ41" s="191" t="str">
        <f t="shared" si="57"/>
        <v xml:space="preserve">* La variable Plan Cuidado Integral Elaborado debe ser menor o igual al Total de Personas en control. </v>
      </c>
      <c r="CK41" s="191" t="str">
        <f t="shared" si="58"/>
        <v xml:space="preserve"> * La variable Trans Masculino no debe ser mayor al Total Mujeres.</v>
      </c>
      <c r="CL41" s="191" t="str">
        <f t="shared" si="59"/>
        <v xml:space="preserve"> * La variable Trans Femenino no debe ser mayor al Total Hombre.</v>
      </c>
      <c r="CM41" s="108"/>
      <c r="CN41" s="108"/>
      <c r="CO41" s="1047">
        <f t="shared" si="31"/>
        <v>1</v>
      </c>
      <c r="CP41" s="1047">
        <f t="shared" si="51"/>
        <v>1</v>
      </c>
      <c r="CQ41" s="1047">
        <f t="shared" ref="CQ41:CQ58" si="64">IF(AND($E41&gt;0,OR(AQ41="")),1,IF(AQ41&gt;$E41,1,0))</f>
        <v>1</v>
      </c>
      <c r="CR41" s="1047">
        <f t="shared" ref="CR41:CR58" si="65">IF(AND($F41&gt;0,OR(AR41="")),1,IF(AR41&gt;$F41,1,0))</f>
        <v>1</v>
      </c>
      <c r="CS41" s="1047">
        <f t="shared" ref="CS41:CS58" si="66">IF(AND($E41&gt;0,OR(AS41="")),1,IF(AS41&gt;$E41,1,0))</f>
        <v>1</v>
      </c>
      <c r="CT41" s="1047">
        <f t="shared" ref="CT41:CT58" si="67">IF(AND($F41&gt;0,OR(AT41="")),1,IF(AT41&gt;$F41,1,0))</f>
        <v>1</v>
      </c>
      <c r="CU41" s="1047">
        <f t="shared" ref="CU41:CU58" si="68">IF(AND($D41&gt;0,OR(AU41="")),1,IF(AU41&gt;$D41,1,0))</f>
        <v>1</v>
      </c>
      <c r="CV41" s="1047">
        <f t="shared" ref="CV41:CV58" si="69">IF(AND($D41&gt;0,OR(AV41="")),1,IF(AV41&gt;$D41,1,0))</f>
        <v>1</v>
      </c>
      <c r="CW41" s="1047">
        <f t="shared" ref="CW41:CW58" si="70">IF(AND($D41&gt;0,OR(AW41="")),1,IF(AW41&gt;$D41,1,0))</f>
        <v>1</v>
      </c>
      <c r="CX41" s="1047">
        <f t="shared" si="34"/>
        <v>1</v>
      </c>
      <c r="CY41" s="1047">
        <f t="shared" si="35"/>
        <v>1</v>
      </c>
      <c r="DL41" s="108"/>
      <c r="DM41" s="108"/>
      <c r="DN41" s="108"/>
      <c r="DO41" s="108"/>
      <c r="DP41" s="108"/>
      <c r="DQ41" s="108"/>
      <c r="DR41" s="108"/>
      <c r="DS41" s="108"/>
      <c r="DT41" s="108"/>
      <c r="DU41" s="108"/>
      <c r="DW41" s="606"/>
    </row>
    <row r="42" spans="1:127" s="95" customFormat="1" ht="15" customHeight="1" x14ac:dyDescent="0.25">
      <c r="A42" s="1585" t="s">
        <v>1352</v>
      </c>
      <c r="B42" s="2151"/>
      <c r="C42" s="1338" t="s">
        <v>661</v>
      </c>
      <c r="D42" s="708" t="s">
        <v>1616</v>
      </c>
      <c r="E42" s="1067" t="s">
        <v>1617</v>
      </c>
      <c r="F42" s="583" t="s">
        <v>1618</v>
      </c>
      <c r="G42" s="398" t="s">
        <v>1619</v>
      </c>
      <c r="H42" s="399" t="s">
        <v>1620</v>
      </c>
      <c r="I42" s="398" t="s">
        <v>1621</v>
      </c>
      <c r="J42" s="399" t="s">
        <v>1622</v>
      </c>
      <c r="K42" s="398" t="s">
        <v>1623</v>
      </c>
      <c r="L42" s="399" t="s">
        <v>1624</v>
      </c>
      <c r="M42" s="398" t="s">
        <v>1625</v>
      </c>
      <c r="N42" s="399" t="s">
        <v>1626</v>
      </c>
      <c r="O42" s="398" t="s">
        <v>1627</v>
      </c>
      <c r="P42" s="465" t="s">
        <v>1628</v>
      </c>
      <c r="Q42" s="398" t="s">
        <v>1629</v>
      </c>
      <c r="R42" s="465" t="s">
        <v>1630</v>
      </c>
      <c r="S42" s="398" t="s">
        <v>1631</v>
      </c>
      <c r="T42" s="465" t="s">
        <v>1632</v>
      </c>
      <c r="U42" s="398" t="s">
        <v>1633</v>
      </c>
      <c r="V42" s="465" t="s">
        <v>1634</v>
      </c>
      <c r="W42" s="398" t="s">
        <v>1635</v>
      </c>
      <c r="X42" s="465" t="s">
        <v>1636</v>
      </c>
      <c r="Y42" s="398" t="s">
        <v>1637</v>
      </c>
      <c r="Z42" s="465" t="s">
        <v>1638</v>
      </c>
      <c r="AA42" s="398" t="s">
        <v>1639</v>
      </c>
      <c r="AB42" s="465" t="s">
        <v>1640</v>
      </c>
      <c r="AC42" s="398" t="s">
        <v>1641</v>
      </c>
      <c r="AD42" s="465" t="s">
        <v>1642</v>
      </c>
      <c r="AE42" s="398" t="s">
        <v>1643</v>
      </c>
      <c r="AF42" s="465" t="s">
        <v>1644</v>
      </c>
      <c r="AG42" s="398" t="s">
        <v>1645</v>
      </c>
      <c r="AH42" s="465" t="s">
        <v>1646</v>
      </c>
      <c r="AI42" s="398" t="s">
        <v>1647</v>
      </c>
      <c r="AJ42" s="465" t="s">
        <v>1648</v>
      </c>
      <c r="AK42" s="398" t="s">
        <v>1649</v>
      </c>
      <c r="AL42" s="465" t="s">
        <v>1650</v>
      </c>
      <c r="AM42" s="398" t="s">
        <v>1651</v>
      </c>
      <c r="AN42" s="407" t="s">
        <v>1652</v>
      </c>
      <c r="AO42" s="549" t="s">
        <v>1653</v>
      </c>
      <c r="AP42" s="650" t="s">
        <v>1654</v>
      </c>
      <c r="AQ42" s="465" t="s">
        <v>1655</v>
      </c>
      <c r="AR42" s="533" t="s">
        <v>1656</v>
      </c>
      <c r="AS42" s="465" t="s">
        <v>1657</v>
      </c>
      <c r="AT42" s="399" t="s">
        <v>1658</v>
      </c>
      <c r="AU42" s="533" t="s">
        <v>1659</v>
      </c>
      <c r="AV42" s="533" t="s">
        <v>1660</v>
      </c>
      <c r="AW42" s="399" t="s">
        <v>1661</v>
      </c>
      <c r="AX42" s="399" t="s">
        <v>1662</v>
      </c>
      <c r="AY42" s="399" t="s">
        <v>1663</v>
      </c>
      <c r="AZ42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42" s="113"/>
      <c r="BB42" s="113"/>
      <c r="CB42" s="191" t="str">
        <f t="shared" si="24"/>
        <v xml:space="preserve"> * La variable Gestante no puede ser Mayor al Total Mujeres.</v>
      </c>
      <c r="CC42" s="191" t="str">
        <f t="shared" si="50"/>
        <v xml:space="preserve"> * La variable Madre de hijo menor de 5 años no puede ser Mayor al Total Mujeres.</v>
      </c>
      <c r="CD42" s="191" t="str">
        <f t="shared" si="60"/>
        <v xml:space="preserve"> * La variable Pueblos Originarios Hombres no puede ser Mayor al Total Hombres.</v>
      </c>
      <c r="CE42" s="191" t="str">
        <f t="shared" si="61"/>
        <v xml:space="preserve"> * La variable Pueblos Originarios Mujeres no puede ser Mayor al Total Mujeres.</v>
      </c>
      <c r="CF42" s="191" t="str">
        <f t="shared" si="62"/>
        <v xml:space="preserve"> * La variable Migrantes Hombres no puede ser Mayor al Total Hombres.</v>
      </c>
      <c r="CG42" s="191" t="str">
        <f t="shared" si="63"/>
        <v xml:space="preserve"> * La variable Migrantes Mujeres no puede ser Mayor al Total Mujeres.</v>
      </c>
      <c r="CH42" s="191" t="str">
        <f t="shared" si="21"/>
        <v xml:space="preserve"> * La variable Niños, Niñas, Adolescentes y Jóvenes SENAME no puede ser Mayor al Total ambos sexos.</v>
      </c>
      <c r="CI42" s="191" t="str">
        <f t="shared" si="22"/>
        <v xml:space="preserve"> * La variable Niños y niñas Mejor Niñez no puede ser Mayor al Total ambos sexos.</v>
      </c>
      <c r="CJ42" s="191" t="str">
        <f t="shared" si="57"/>
        <v xml:space="preserve">* La variable Plan Cuidado Integral Elaborado debe ser menor o igual al Total de Personas en control. </v>
      </c>
      <c r="CK42" s="191" t="str">
        <f t="shared" si="58"/>
        <v xml:space="preserve"> * La variable Trans Masculino no debe ser mayor al Total Mujeres.</v>
      </c>
      <c r="CL42" s="191" t="str">
        <f t="shared" si="59"/>
        <v xml:space="preserve"> * La variable Trans Femenino no debe ser mayor al Total Hombre.</v>
      </c>
      <c r="CM42" s="108"/>
      <c r="CN42" s="108"/>
      <c r="CO42" s="1047">
        <f t="shared" si="31"/>
        <v>1</v>
      </c>
      <c r="CP42" s="1047">
        <f t="shared" si="51"/>
        <v>1</v>
      </c>
      <c r="CQ42" s="1047">
        <f t="shared" si="64"/>
        <v>1</v>
      </c>
      <c r="CR42" s="1047">
        <f t="shared" si="65"/>
        <v>1</v>
      </c>
      <c r="CS42" s="1047">
        <f t="shared" si="66"/>
        <v>1</v>
      </c>
      <c r="CT42" s="1047">
        <f t="shared" si="67"/>
        <v>1</v>
      </c>
      <c r="CU42" s="1047">
        <f t="shared" si="68"/>
        <v>1</v>
      </c>
      <c r="CV42" s="1047">
        <f t="shared" si="69"/>
        <v>1</v>
      </c>
      <c r="CW42" s="1047">
        <f t="shared" si="70"/>
        <v>1</v>
      </c>
      <c r="CX42" s="1047">
        <f t="shared" si="34"/>
        <v>1</v>
      </c>
      <c r="CY42" s="1047">
        <f t="shared" si="35"/>
        <v>1</v>
      </c>
      <c r="DL42" s="108"/>
      <c r="DM42" s="108"/>
      <c r="DN42" s="108"/>
      <c r="DO42" s="108"/>
      <c r="DP42" s="108"/>
      <c r="DQ42" s="108"/>
      <c r="DR42" s="108"/>
      <c r="DS42" s="108"/>
      <c r="DT42" s="108"/>
      <c r="DU42" s="108"/>
      <c r="DW42" s="606"/>
    </row>
    <row r="43" spans="1:127" s="95" customFormat="1" ht="15" customHeight="1" x14ac:dyDescent="0.25">
      <c r="A43" s="1585" t="s">
        <v>1353</v>
      </c>
      <c r="B43" s="2152"/>
      <c r="C43" s="1337" t="s">
        <v>662</v>
      </c>
      <c r="D43" s="1381" t="s">
        <v>1616</v>
      </c>
      <c r="E43" s="1069" t="s">
        <v>1617</v>
      </c>
      <c r="F43" s="585" t="s">
        <v>1618</v>
      </c>
      <c r="G43" s="398" t="s">
        <v>1619</v>
      </c>
      <c r="H43" s="399" t="s">
        <v>1620</v>
      </c>
      <c r="I43" s="398" t="s">
        <v>1621</v>
      </c>
      <c r="J43" s="399" t="s">
        <v>1622</v>
      </c>
      <c r="K43" s="398" t="s">
        <v>1623</v>
      </c>
      <c r="L43" s="399" t="s">
        <v>1624</v>
      </c>
      <c r="M43" s="398" t="s">
        <v>1625</v>
      </c>
      <c r="N43" s="399" t="s">
        <v>1626</v>
      </c>
      <c r="O43" s="403" t="s">
        <v>1627</v>
      </c>
      <c r="P43" s="465" t="s">
        <v>1628</v>
      </c>
      <c r="Q43" s="398" t="s">
        <v>1629</v>
      </c>
      <c r="R43" s="465" t="s">
        <v>1630</v>
      </c>
      <c r="S43" s="398" t="s">
        <v>1631</v>
      </c>
      <c r="T43" s="465" t="s">
        <v>1632</v>
      </c>
      <c r="U43" s="398" t="s">
        <v>1633</v>
      </c>
      <c r="V43" s="465" t="s">
        <v>1634</v>
      </c>
      <c r="W43" s="398" t="s">
        <v>1635</v>
      </c>
      <c r="X43" s="465" t="s">
        <v>1636</v>
      </c>
      <c r="Y43" s="398" t="s">
        <v>1637</v>
      </c>
      <c r="Z43" s="465" t="s">
        <v>1638</v>
      </c>
      <c r="AA43" s="398" t="s">
        <v>1639</v>
      </c>
      <c r="AB43" s="465" t="s">
        <v>1640</v>
      </c>
      <c r="AC43" s="398" t="s">
        <v>1641</v>
      </c>
      <c r="AD43" s="465" t="s">
        <v>1642</v>
      </c>
      <c r="AE43" s="398" t="s">
        <v>1643</v>
      </c>
      <c r="AF43" s="465" t="s">
        <v>1644</v>
      </c>
      <c r="AG43" s="398" t="s">
        <v>1645</v>
      </c>
      <c r="AH43" s="465" t="s">
        <v>1646</v>
      </c>
      <c r="AI43" s="398" t="s">
        <v>1647</v>
      </c>
      <c r="AJ43" s="465" t="s">
        <v>1648</v>
      </c>
      <c r="AK43" s="398" t="s">
        <v>1649</v>
      </c>
      <c r="AL43" s="465" t="s">
        <v>1650</v>
      </c>
      <c r="AM43" s="398" t="s">
        <v>1651</v>
      </c>
      <c r="AN43" s="431" t="s">
        <v>1652</v>
      </c>
      <c r="AO43" s="662" t="s">
        <v>1653</v>
      </c>
      <c r="AP43" s="652" t="s">
        <v>1654</v>
      </c>
      <c r="AQ43" s="464" t="s">
        <v>1655</v>
      </c>
      <c r="AR43" s="404" t="s">
        <v>1656</v>
      </c>
      <c r="AS43" s="464" t="s">
        <v>1657</v>
      </c>
      <c r="AT43" s="404" t="s">
        <v>1658</v>
      </c>
      <c r="AU43" s="442" t="s">
        <v>1659</v>
      </c>
      <c r="AV43" s="442" t="s">
        <v>1660</v>
      </c>
      <c r="AW43" s="404" t="s">
        <v>1661</v>
      </c>
      <c r="AX43" s="404" t="s">
        <v>1662</v>
      </c>
      <c r="AY43" s="404" t="s">
        <v>1663</v>
      </c>
      <c r="AZ43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43" s="113"/>
      <c r="BB43" s="113"/>
      <c r="CB43" s="191" t="str">
        <f t="shared" si="24"/>
        <v xml:space="preserve"> * La variable Gestante no puede ser Mayor al Total Mujeres.</v>
      </c>
      <c r="CC43" s="191" t="str">
        <f t="shared" si="50"/>
        <v xml:space="preserve"> * La variable Madre de hijo menor de 5 años no puede ser Mayor al Total Mujeres.</v>
      </c>
      <c r="CD43" s="191" t="str">
        <f t="shared" si="60"/>
        <v xml:space="preserve"> * La variable Pueblos Originarios Hombres no puede ser Mayor al Total Hombres.</v>
      </c>
      <c r="CE43" s="191" t="str">
        <f t="shared" si="61"/>
        <v xml:space="preserve"> * La variable Pueblos Originarios Mujeres no puede ser Mayor al Total Mujeres.</v>
      </c>
      <c r="CF43" s="191" t="str">
        <f t="shared" si="62"/>
        <v xml:space="preserve"> * La variable Migrantes Hombres no puede ser Mayor al Total Hombres.</v>
      </c>
      <c r="CG43" s="191" t="str">
        <f t="shared" si="63"/>
        <v xml:space="preserve"> * La variable Migrantes Mujeres no puede ser Mayor al Total Mujeres.</v>
      </c>
      <c r="CH43" s="191" t="str">
        <f t="shared" si="21"/>
        <v xml:space="preserve"> * La variable Niños, Niñas, Adolescentes y Jóvenes SENAME no puede ser Mayor al Total ambos sexos.</v>
      </c>
      <c r="CI43" s="191" t="str">
        <f t="shared" si="22"/>
        <v xml:space="preserve"> * La variable Niños y niñas Mejor Niñez no puede ser Mayor al Total ambos sexos.</v>
      </c>
      <c r="CJ43" s="191" t="str">
        <f t="shared" si="57"/>
        <v xml:space="preserve">* La variable Plan Cuidado Integral Elaborado debe ser menor o igual al Total de Personas en control. </v>
      </c>
      <c r="CK43" s="191" t="str">
        <f t="shared" si="58"/>
        <v xml:space="preserve"> * La variable Trans Masculino no debe ser mayor al Total Mujeres.</v>
      </c>
      <c r="CL43" s="191" t="str">
        <f t="shared" si="59"/>
        <v xml:space="preserve"> * La variable Trans Femenino no debe ser mayor al Total Hombre.</v>
      </c>
      <c r="CM43" s="108"/>
      <c r="CN43" s="108"/>
      <c r="CO43" s="1047">
        <f t="shared" si="31"/>
        <v>1</v>
      </c>
      <c r="CP43" s="1047">
        <f t="shared" si="51"/>
        <v>1</v>
      </c>
      <c r="CQ43" s="1047">
        <f t="shared" si="64"/>
        <v>1</v>
      </c>
      <c r="CR43" s="1047">
        <f t="shared" si="65"/>
        <v>1</v>
      </c>
      <c r="CS43" s="1047">
        <f t="shared" si="66"/>
        <v>1</v>
      </c>
      <c r="CT43" s="1047">
        <f t="shared" si="67"/>
        <v>1</v>
      </c>
      <c r="CU43" s="1047">
        <f t="shared" si="68"/>
        <v>1</v>
      </c>
      <c r="CV43" s="1047">
        <f t="shared" si="69"/>
        <v>1</v>
      </c>
      <c r="CW43" s="1047">
        <f t="shared" si="70"/>
        <v>1</v>
      </c>
      <c r="CX43" s="1047">
        <f t="shared" si="34"/>
        <v>1</v>
      </c>
      <c r="CY43" s="1047">
        <f t="shared" si="35"/>
        <v>1</v>
      </c>
      <c r="DL43" s="108"/>
      <c r="DM43" s="108"/>
      <c r="DN43" s="108"/>
      <c r="DO43" s="108"/>
      <c r="DP43" s="108"/>
      <c r="DQ43" s="108"/>
      <c r="DR43" s="108"/>
      <c r="DS43" s="108"/>
      <c r="DT43" s="108"/>
      <c r="DU43" s="108"/>
      <c r="DW43" s="606"/>
    </row>
    <row r="44" spans="1:127" s="95" customFormat="1" ht="15" customHeight="1" x14ac:dyDescent="0.25">
      <c r="A44" s="1585" t="s">
        <v>1354</v>
      </c>
      <c r="B44" s="2150" t="s">
        <v>663</v>
      </c>
      <c r="C44" s="1334" t="s">
        <v>282</v>
      </c>
      <c r="D44" s="1145" t="s">
        <v>1616</v>
      </c>
      <c r="E44" s="392" t="s">
        <v>1617</v>
      </c>
      <c r="F44" s="539" t="s">
        <v>1618</v>
      </c>
      <c r="G44" s="1039" t="s">
        <v>1619</v>
      </c>
      <c r="H44" s="1040" t="s">
        <v>1620</v>
      </c>
      <c r="I44" s="1039" t="s">
        <v>1621</v>
      </c>
      <c r="J44" s="1040" t="s">
        <v>1622</v>
      </c>
      <c r="K44" s="1039" t="s">
        <v>1623</v>
      </c>
      <c r="L44" s="1040" t="s">
        <v>1624</v>
      </c>
      <c r="M44" s="1039" t="s">
        <v>1625</v>
      </c>
      <c r="N44" s="1040" t="s">
        <v>1626</v>
      </c>
      <c r="O44" s="1039" t="s">
        <v>1627</v>
      </c>
      <c r="P44" s="1040" t="s">
        <v>1628</v>
      </c>
      <c r="Q44" s="1039" t="s">
        <v>1629</v>
      </c>
      <c r="R44" s="1040" t="s">
        <v>1630</v>
      </c>
      <c r="S44" s="394" t="s">
        <v>1631</v>
      </c>
      <c r="T44" s="395" t="s">
        <v>1632</v>
      </c>
      <c r="U44" s="394" t="s">
        <v>1633</v>
      </c>
      <c r="V44" s="395" t="s">
        <v>1634</v>
      </c>
      <c r="W44" s="394" t="s">
        <v>1635</v>
      </c>
      <c r="X44" s="395" t="s">
        <v>1636</v>
      </c>
      <c r="Y44" s="394" t="s">
        <v>1637</v>
      </c>
      <c r="Z44" s="395" t="s">
        <v>1638</v>
      </c>
      <c r="AA44" s="394" t="s">
        <v>1639</v>
      </c>
      <c r="AB44" s="395" t="s">
        <v>1640</v>
      </c>
      <c r="AC44" s="394" t="s">
        <v>1641</v>
      </c>
      <c r="AD44" s="395" t="s">
        <v>1642</v>
      </c>
      <c r="AE44" s="394" t="s">
        <v>1643</v>
      </c>
      <c r="AF44" s="395" t="s">
        <v>1644</v>
      </c>
      <c r="AG44" s="394" t="s">
        <v>1645</v>
      </c>
      <c r="AH44" s="395" t="s">
        <v>1646</v>
      </c>
      <c r="AI44" s="394" t="s">
        <v>1647</v>
      </c>
      <c r="AJ44" s="395" t="s">
        <v>1648</v>
      </c>
      <c r="AK44" s="394" t="s">
        <v>1649</v>
      </c>
      <c r="AL44" s="395" t="s">
        <v>1650</v>
      </c>
      <c r="AM44" s="394" t="s">
        <v>1651</v>
      </c>
      <c r="AN44" s="406" t="s">
        <v>1652</v>
      </c>
      <c r="AO44" s="859" t="s">
        <v>1653</v>
      </c>
      <c r="AP44" s="860" t="s">
        <v>1654</v>
      </c>
      <c r="AQ44" s="394" t="s">
        <v>1655</v>
      </c>
      <c r="AR44" s="461" t="s">
        <v>1656</v>
      </c>
      <c r="AS44" s="462" t="s">
        <v>1657</v>
      </c>
      <c r="AT44" s="395" t="s">
        <v>1658</v>
      </c>
      <c r="AU44" s="435" t="s">
        <v>1659</v>
      </c>
      <c r="AV44" s="435" t="s">
        <v>1660</v>
      </c>
      <c r="AW44" s="395" t="s">
        <v>1661</v>
      </c>
      <c r="AX44" s="395" t="s">
        <v>1662</v>
      </c>
      <c r="AY44" s="395" t="s">
        <v>1663</v>
      </c>
      <c r="AZ44" s="1056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Mujeres.* La variable Plan Cuidado Integral Elaborado debe ser menor o igual al Total de Personas en control.  * La variable Trans Masculino no debe ser mayor al Total Mujeres. * La variable Trans Femenino no debe ser mayor al Total Hombre.</v>
      </c>
      <c r="BA44" s="113"/>
      <c r="BB44" s="113"/>
      <c r="CB44" s="1086"/>
      <c r="CC44" s="1086"/>
      <c r="CD44" s="191" t="str">
        <f>IF(AND(E44&gt;0,OR(AQ44=""))," * No olvide digitar la variable Pueblos Originarios Hombres. Digite Cero si no tiene.",IF(AQ44&gt;E44," * La variable Pueblos Originarios Hombres no puede ser Mayor al Total Hombres.",""))</f>
        <v xml:space="preserve"> * La variable Pueblos Originarios Hombres no puede ser Mayor al Total Hombres.</v>
      </c>
      <c r="CE44" s="191" t="str">
        <f t="shared" si="61"/>
        <v xml:space="preserve"> * La variable Pueblos Originarios Mujeres no puede ser Mayor al Total Mujeres.</v>
      </c>
      <c r="CF44" s="191" t="str">
        <f t="shared" si="62"/>
        <v xml:space="preserve"> * La variable Migrantes Hombres no puede ser Mayor al Total Hombres.</v>
      </c>
      <c r="CG44" s="191" t="str">
        <f t="shared" si="63"/>
        <v xml:space="preserve"> * La variable Migrantes Mujeres no puede ser Mayor al Total Mujeres.</v>
      </c>
      <c r="CH44" s="1086"/>
      <c r="CI44" s="1086"/>
      <c r="CJ44" s="191" t="str">
        <f t="shared" si="57"/>
        <v xml:space="preserve">* La variable Plan Cuidado Integral Elaborado debe ser menor o igual al Total de Personas en control. </v>
      </c>
      <c r="CK44" s="191" t="str">
        <f t="shared" si="58"/>
        <v xml:space="preserve"> * La variable Trans Masculino no debe ser mayor al Total Mujeres.</v>
      </c>
      <c r="CL44" s="191" t="str">
        <f t="shared" si="59"/>
        <v xml:space="preserve"> * La variable Trans Femenino no debe ser mayor al Total Hombre.</v>
      </c>
      <c r="CM44" s="108"/>
      <c r="CN44" s="108"/>
      <c r="CO44" s="1086"/>
      <c r="CP44" s="1086"/>
      <c r="CQ44" s="1047">
        <f t="shared" si="64"/>
        <v>1</v>
      </c>
      <c r="CR44" s="1047">
        <f t="shared" si="65"/>
        <v>1</v>
      </c>
      <c r="CS44" s="1047">
        <f t="shared" si="66"/>
        <v>1</v>
      </c>
      <c r="CT44" s="1047">
        <f t="shared" si="67"/>
        <v>1</v>
      </c>
      <c r="CU44" s="1086"/>
      <c r="CV44" s="1086"/>
      <c r="CW44" s="1047">
        <f t="shared" si="70"/>
        <v>1</v>
      </c>
      <c r="CX44" s="1047">
        <f t="shared" si="34"/>
        <v>1</v>
      </c>
      <c r="CY44" s="1047">
        <f t="shared" si="35"/>
        <v>1</v>
      </c>
      <c r="DL44" s="108"/>
      <c r="DM44" s="108"/>
      <c r="DN44" s="108"/>
      <c r="DO44" s="108"/>
      <c r="DP44" s="108"/>
      <c r="DQ44" s="108"/>
      <c r="DR44" s="108"/>
      <c r="DS44" s="108"/>
      <c r="DT44" s="108"/>
      <c r="DU44" s="108"/>
      <c r="DW44" s="606"/>
    </row>
    <row r="45" spans="1:127" s="95" customFormat="1" ht="15" customHeight="1" x14ac:dyDescent="0.25">
      <c r="A45" s="1585" t="s">
        <v>1355</v>
      </c>
      <c r="B45" s="2151"/>
      <c r="C45" s="1338" t="s">
        <v>283</v>
      </c>
      <c r="D45" s="1142" t="s">
        <v>1616</v>
      </c>
      <c r="E45" s="387" t="s">
        <v>1617</v>
      </c>
      <c r="F45" s="531" t="s">
        <v>1618</v>
      </c>
      <c r="G45" s="1041" t="s">
        <v>1619</v>
      </c>
      <c r="H45" s="1042" t="s">
        <v>1620</v>
      </c>
      <c r="I45" s="1041" t="s">
        <v>1621</v>
      </c>
      <c r="J45" s="1042" t="s">
        <v>1622</v>
      </c>
      <c r="K45" s="1041" t="s">
        <v>1623</v>
      </c>
      <c r="L45" s="1042" t="s">
        <v>1624</v>
      </c>
      <c r="M45" s="1041" t="s">
        <v>1625</v>
      </c>
      <c r="N45" s="1042" t="s">
        <v>1626</v>
      </c>
      <c r="O45" s="1041" t="s">
        <v>1627</v>
      </c>
      <c r="P45" s="1042" t="s">
        <v>1628</v>
      </c>
      <c r="Q45" s="1041" t="s">
        <v>1629</v>
      </c>
      <c r="R45" s="1042" t="s">
        <v>1630</v>
      </c>
      <c r="S45" s="417" t="s">
        <v>1631</v>
      </c>
      <c r="T45" s="418" t="s">
        <v>1632</v>
      </c>
      <c r="U45" s="417" t="s">
        <v>1633</v>
      </c>
      <c r="V45" s="418" t="s">
        <v>1634</v>
      </c>
      <c r="W45" s="417" t="s">
        <v>1635</v>
      </c>
      <c r="X45" s="418" t="s">
        <v>1636</v>
      </c>
      <c r="Y45" s="417" t="s">
        <v>1637</v>
      </c>
      <c r="Z45" s="418" t="s">
        <v>1638</v>
      </c>
      <c r="AA45" s="417" t="s">
        <v>1639</v>
      </c>
      <c r="AB45" s="418" t="s">
        <v>1640</v>
      </c>
      <c r="AC45" s="417" t="s">
        <v>1641</v>
      </c>
      <c r="AD45" s="418" t="s">
        <v>1642</v>
      </c>
      <c r="AE45" s="417" t="s">
        <v>1643</v>
      </c>
      <c r="AF45" s="418" t="s">
        <v>1644</v>
      </c>
      <c r="AG45" s="417" t="s">
        <v>1645</v>
      </c>
      <c r="AH45" s="418" t="s">
        <v>1646</v>
      </c>
      <c r="AI45" s="417" t="s">
        <v>1647</v>
      </c>
      <c r="AJ45" s="418" t="s">
        <v>1648</v>
      </c>
      <c r="AK45" s="417" t="s">
        <v>1649</v>
      </c>
      <c r="AL45" s="418" t="s">
        <v>1650</v>
      </c>
      <c r="AM45" s="417" t="s">
        <v>1651</v>
      </c>
      <c r="AN45" s="419" t="s">
        <v>1652</v>
      </c>
      <c r="AO45" s="861" t="s">
        <v>1653</v>
      </c>
      <c r="AP45" s="853" t="s">
        <v>1654</v>
      </c>
      <c r="AQ45" s="398" t="s">
        <v>1655</v>
      </c>
      <c r="AR45" s="533" t="s">
        <v>1656</v>
      </c>
      <c r="AS45" s="1036" t="s">
        <v>1657</v>
      </c>
      <c r="AT45" s="399" t="s">
        <v>1658</v>
      </c>
      <c r="AU45" s="546" t="s">
        <v>1659</v>
      </c>
      <c r="AV45" s="546" t="s">
        <v>1660</v>
      </c>
      <c r="AW45" s="417" t="s">
        <v>1661</v>
      </c>
      <c r="AX45" s="417" t="s">
        <v>1662</v>
      </c>
      <c r="AY45" s="655" t="s">
        <v>1663</v>
      </c>
      <c r="AZ45" s="1056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Mujeres.* La variable Plan Cuidado Integral Elaborado debe ser menor o igual al Total de Personas en control.  * La variable Trans Masculino no debe ser mayor al Total Mujeres. * La variable Trans Femenino no debe ser mayor al Total Hombre.</v>
      </c>
      <c r="BA45" s="113"/>
      <c r="BB45" s="113"/>
      <c r="CB45" s="1086"/>
      <c r="CC45" s="1086"/>
      <c r="CD45" s="191" t="str">
        <f t="shared" si="60"/>
        <v xml:space="preserve"> * La variable Pueblos Originarios Hombres no puede ser Mayor al Total Hombres.</v>
      </c>
      <c r="CE45" s="191" t="str">
        <f t="shared" si="61"/>
        <v xml:space="preserve"> * La variable Pueblos Originarios Mujeres no puede ser Mayor al Total Mujeres.</v>
      </c>
      <c r="CF45" s="191" t="str">
        <f t="shared" si="62"/>
        <v xml:space="preserve"> * La variable Migrantes Hombres no puede ser Mayor al Total Hombres.</v>
      </c>
      <c r="CG45" s="191" t="str">
        <f t="shared" si="63"/>
        <v xml:space="preserve"> * La variable Migrantes Mujeres no puede ser Mayor al Total Mujeres.</v>
      </c>
      <c r="CH45" s="1086"/>
      <c r="CI45" s="1086"/>
      <c r="CJ45" s="191" t="str">
        <f t="shared" si="57"/>
        <v xml:space="preserve">* La variable Plan Cuidado Integral Elaborado debe ser menor o igual al Total de Personas en control. </v>
      </c>
      <c r="CK45" s="191" t="str">
        <f t="shared" si="58"/>
        <v xml:space="preserve"> * La variable Trans Masculino no debe ser mayor al Total Mujeres.</v>
      </c>
      <c r="CL45" s="191" t="str">
        <f t="shared" si="59"/>
        <v xml:space="preserve"> * La variable Trans Femenino no debe ser mayor al Total Hombre.</v>
      </c>
      <c r="CM45" s="108"/>
      <c r="CN45" s="108"/>
      <c r="CO45" s="1086"/>
      <c r="CP45" s="1086"/>
      <c r="CQ45" s="1047">
        <f t="shared" si="64"/>
        <v>1</v>
      </c>
      <c r="CR45" s="1047">
        <f t="shared" si="65"/>
        <v>1</v>
      </c>
      <c r="CS45" s="1047">
        <f t="shared" si="66"/>
        <v>1</v>
      </c>
      <c r="CT45" s="1047">
        <f t="shared" si="67"/>
        <v>1</v>
      </c>
      <c r="CU45" s="1086"/>
      <c r="CV45" s="1086"/>
      <c r="CW45" s="1047">
        <f t="shared" si="70"/>
        <v>1</v>
      </c>
      <c r="CX45" s="1047">
        <f t="shared" si="34"/>
        <v>1</v>
      </c>
      <c r="CY45" s="1047">
        <f t="shared" si="35"/>
        <v>1</v>
      </c>
      <c r="DL45" s="108"/>
      <c r="DM45" s="108"/>
      <c r="DN45" s="108"/>
      <c r="DO45" s="108"/>
      <c r="DP45" s="108"/>
      <c r="DQ45" s="108"/>
      <c r="DR45" s="108"/>
      <c r="DS45" s="108"/>
      <c r="DT45" s="108"/>
      <c r="DU45" s="108"/>
      <c r="DW45" s="606"/>
    </row>
    <row r="46" spans="1:127" s="95" customFormat="1" ht="15" customHeight="1" x14ac:dyDescent="0.25">
      <c r="A46" s="1585" t="s">
        <v>1356</v>
      </c>
      <c r="B46" s="2152"/>
      <c r="C46" s="1337" t="s">
        <v>664</v>
      </c>
      <c r="D46" s="1144" t="s">
        <v>1616</v>
      </c>
      <c r="E46" s="540" t="s">
        <v>1617</v>
      </c>
      <c r="F46" s="541" t="s">
        <v>1618</v>
      </c>
      <c r="G46" s="1043" t="s">
        <v>1619</v>
      </c>
      <c r="H46" s="1044" t="s">
        <v>1620</v>
      </c>
      <c r="I46" s="1043" t="s">
        <v>1621</v>
      </c>
      <c r="J46" s="1044" t="s">
        <v>1622</v>
      </c>
      <c r="K46" s="1043" t="s">
        <v>1623</v>
      </c>
      <c r="L46" s="1044" t="s">
        <v>1624</v>
      </c>
      <c r="M46" s="1043" t="s">
        <v>1625</v>
      </c>
      <c r="N46" s="1044" t="s">
        <v>1626</v>
      </c>
      <c r="O46" s="1043" t="s">
        <v>1627</v>
      </c>
      <c r="P46" s="1044" t="s">
        <v>1628</v>
      </c>
      <c r="Q46" s="1043" t="s">
        <v>1629</v>
      </c>
      <c r="R46" s="1044" t="s">
        <v>1630</v>
      </c>
      <c r="S46" s="413" t="s">
        <v>1631</v>
      </c>
      <c r="T46" s="414" t="s">
        <v>1632</v>
      </c>
      <c r="U46" s="413" t="s">
        <v>1633</v>
      </c>
      <c r="V46" s="414" t="s">
        <v>1634</v>
      </c>
      <c r="W46" s="413" t="s">
        <v>1635</v>
      </c>
      <c r="X46" s="414" t="s">
        <v>1636</v>
      </c>
      <c r="Y46" s="413" t="s">
        <v>1637</v>
      </c>
      <c r="Z46" s="414" t="s">
        <v>1638</v>
      </c>
      <c r="AA46" s="413" t="s">
        <v>1639</v>
      </c>
      <c r="AB46" s="414" t="s">
        <v>1640</v>
      </c>
      <c r="AC46" s="413" t="s">
        <v>1641</v>
      </c>
      <c r="AD46" s="414" t="s">
        <v>1642</v>
      </c>
      <c r="AE46" s="413" t="s">
        <v>1643</v>
      </c>
      <c r="AF46" s="414" t="s">
        <v>1644</v>
      </c>
      <c r="AG46" s="413" t="s">
        <v>1645</v>
      </c>
      <c r="AH46" s="414" t="s">
        <v>1646</v>
      </c>
      <c r="AI46" s="413" t="s">
        <v>1647</v>
      </c>
      <c r="AJ46" s="414" t="s">
        <v>1648</v>
      </c>
      <c r="AK46" s="413" t="s">
        <v>1649</v>
      </c>
      <c r="AL46" s="414" t="s">
        <v>1650</v>
      </c>
      <c r="AM46" s="413" t="s">
        <v>1651</v>
      </c>
      <c r="AN46" s="415" t="s">
        <v>1652</v>
      </c>
      <c r="AO46" s="862" t="s">
        <v>1653</v>
      </c>
      <c r="AP46" s="863" t="s">
        <v>1654</v>
      </c>
      <c r="AQ46" s="403" t="s">
        <v>1655</v>
      </c>
      <c r="AR46" s="442" t="s">
        <v>1656</v>
      </c>
      <c r="AS46" s="1037" t="s">
        <v>1657</v>
      </c>
      <c r="AT46" s="404" t="s">
        <v>1658</v>
      </c>
      <c r="AU46" s="568" t="s">
        <v>1659</v>
      </c>
      <c r="AV46" s="568" t="s">
        <v>1660</v>
      </c>
      <c r="AW46" s="413" t="s">
        <v>1661</v>
      </c>
      <c r="AX46" s="413" t="s">
        <v>1662</v>
      </c>
      <c r="AY46" s="665" t="s">
        <v>1663</v>
      </c>
      <c r="AZ46" s="1056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Mujeres.* La variable Plan Cuidado Integral Elaborado debe ser menor o igual al Total de Personas en control.  * La variable Trans Masculino no debe ser mayor al Total Mujeres. * La variable Trans Femenino no debe ser mayor al Total Hombre.</v>
      </c>
      <c r="BA46" s="113"/>
      <c r="BB46" s="113"/>
      <c r="CB46" s="1086"/>
      <c r="CC46" s="1086"/>
      <c r="CD46" s="191" t="str">
        <f t="shared" si="60"/>
        <v xml:space="preserve"> * La variable Pueblos Originarios Hombres no puede ser Mayor al Total Hombres.</v>
      </c>
      <c r="CE46" s="191" t="str">
        <f t="shared" si="61"/>
        <v xml:space="preserve"> * La variable Pueblos Originarios Mujeres no puede ser Mayor al Total Mujeres.</v>
      </c>
      <c r="CF46" s="191" t="str">
        <f t="shared" si="62"/>
        <v xml:space="preserve"> * La variable Migrantes Hombres no puede ser Mayor al Total Hombres.</v>
      </c>
      <c r="CG46" s="191" t="str">
        <f t="shared" si="63"/>
        <v xml:space="preserve"> * La variable Migrantes Mujeres no puede ser Mayor al Total Mujeres.</v>
      </c>
      <c r="CH46" s="1086"/>
      <c r="CI46" s="1086"/>
      <c r="CJ46" s="191" t="str">
        <f t="shared" si="57"/>
        <v xml:space="preserve">* La variable Plan Cuidado Integral Elaborado debe ser menor o igual al Total de Personas en control. </v>
      </c>
      <c r="CK46" s="191" t="str">
        <f t="shared" si="58"/>
        <v xml:space="preserve"> * La variable Trans Masculino no debe ser mayor al Total Mujeres.</v>
      </c>
      <c r="CL46" s="191" t="str">
        <f t="shared" si="59"/>
        <v xml:space="preserve"> * La variable Trans Femenino no debe ser mayor al Total Hombre.</v>
      </c>
      <c r="CM46" s="108"/>
      <c r="CN46" s="108"/>
      <c r="CO46" s="1086"/>
      <c r="CP46" s="1086"/>
      <c r="CQ46" s="1047">
        <f t="shared" si="64"/>
        <v>1</v>
      </c>
      <c r="CR46" s="1047">
        <f t="shared" si="65"/>
        <v>1</v>
      </c>
      <c r="CS46" s="1047">
        <f t="shared" si="66"/>
        <v>1</v>
      </c>
      <c r="CT46" s="1047">
        <f t="shared" si="67"/>
        <v>1</v>
      </c>
      <c r="CU46" s="1086"/>
      <c r="CV46" s="1086"/>
      <c r="CW46" s="1047">
        <f t="shared" si="70"/>
        <v>1</v>
      </c>
      <c r="CX46" s="1047">
        <f t="shared" si="34"/>
        <v>1</v>
      </c>
      <c r="CY46" s="1047">
        <f t="shared" si="35"/>
        <v>1</v>
      </c>
      <c r="DL46" s="108"/>
      <c r="DM46" s="108"/>
      <c r="DN46" s="108"/>
      <c r="DO46" s="108"/>
      <c r="DP46" s="108"/>
      <c r="DQ46" s="108"/>
      <c r="DR46" s="108"/>
      <c r="DS46" s="108"/>
      <c r="DT46" s="108"/>
      <c r="DU46" s="108"/>
      <c r="DW46" s="606"/>
    </row>
    <row r="47" spans="1:127" s="95" customFormat="1" ht="15" customHeight="1" x14ac:dyDescent="0.25">
      <c r="A47" s="1585" t="s">
        <v>1357</v>
      </c>
      <c r="B47" s="2138" t="s">
        <v>665</v>
      </c>
      <c r="C47" s="2139"/>
      <c r="D47" s="1142" t="s">
        <v>1616</v>
      </c>
      <c r="E47" s="387" t="s">
        <v>1617</v>
      </c>
      <c r="F47" s="531" t="s">
        <v>1618</v>
      </c>
      <c r="G47" s="417" t="s">
        <v>1619</v>
      </c>
      <c r="H47" s="418" t="s">
        <v>1620</v>
      </c>
      <c r="I47" s="417" t="s">
        <v>1621</v>
      </c>
      <c r="J47" s="418" t="s">
        <v>1622</v>
      </c>
      <c r="K47" s="417" t="s">
        <v>1623</v>
      </c>
      <c r="L47" s="418" t="s">
        <v>1624</v>
      </c>
      <c r="M47" s="417" t="s">
        <v>1625</v>
      </c>
      <c r="N47" s="418" t="s">
        <v>1626</v>
      </c>
      <c r="O47" s="417" t="s">
        <v>1627</v>
      </c>
      <c r="P47" s="418" t="s">
        <v>1628</v>
      </c>
      <c r="Q47" s="417" t="s">
        <v>1629</v>
      </c>
      <c r="R47" s="418" t="s">
        <v>1630</v>
      </c>
      <c r="S47" s="417" t="s">
        <v>1631</v>
      </c>
      <c r="T47" s="418" t="s">
        <v>1632</v>
      </c>
      <c r="U47" s="417" t="s">
        <v>1633</v>
      </c>
      <c r="V47" s="418" t="s">
        <v>1634</v>
      </c>
      <c r="W47" s="417" t="s">
        <v>1635</v>
      </c>
      <c r="X47" s="418" t="s">
        <v>1636</v>
      </c>
      <c r="Y47" s="417" t="s">
        <v>1637</v>
      </c>
      <c r="Z47" s="418" t="s">
        <v>1638</v>
      </c>
      <c r="AA47" s="417" t="s">
        <v>1639</v>
      </c>
      <c r="AB47" s="418" t="s">
        <v>1640</v>
      </c>
      <c r="AC47" s="417" t="s">
        <v>1641</v>
      </c>
      <c r="AD47" s="418" t="s">
        <v>1642</v>
      </c>
      <c r="AE47" s="417" t="s">
        <v>1643</v>
      </c>
      <c r="AF47" s="418" t="s">
        <v>1644</v>
      </c>
      <c r="AG47" s="417" t="s">
        <v>1645</v>
      </c>
      <c r="AH47" s="418" t="s">
        <v>1646</v>
      </c>
      <c r="AI47" s="417" t="s">
        <v>1647</v>
      </c>
      <c r="AJ47" s="418" t="s">
        <v>1648</v>
      </c>
      <c r="AK47" s="417" t="s">
        <v>1649</v>
      </c>
      <c r="AL47" s="418" t="s">
        <v>1650</v>
      </c>
      <c r="AM47" s="417" t="s">
        <v>1651</v>
      </c>
      <c r="AN47" s="419" t="s">
        <v>1652</v>
      </c>
      <c r="AO47" s="548" t="s">
        <v>1653</v>
      </c>
      <c r="AP47" s="655" t="s">
        <v>1654</v>
      </c>
      <c r="AQ47" s="468" t="s">
        <v>1655</v>
      </c>
      <c r="AR47" s="418" t="s">
        <v>1656</v>
      </c>
      <c r="AS47" s="468" t="s">
        <v>1657</v>
      </c>
      <c r="AT47" s="418" t="s">
        <v>1658</v>
      </c>
      <c r="AU47" s="432" t="s">
        <v>1659</v>
      </c>
      <c r="AV47" s="432" t="s">
        <v>1660</v>
      </c>
      <c r="AW47" s="432" t="s">
        <v>1661</v>
      </c>
      <c r="AX47" s="432" t="s">
        <v>1662</v>
      </c>
      <c r="AY47" s="432" t="s">
        <v>1663</v>
      </c>
      <c r="AZ47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47" s="113"/>
      <c r="BB47" s="113"/>
      <c r="CB47" s="191" t="str">
        <f t="shared" ref="CB47:CB58" si="71">IF(AND(F47&gt;0,OR(AO47=""))," * No olvide digitar la variable Gestantes. Digite Cero si no tiene.",IF(AO47&gt;F47," * La variable Gestante no puede ser Mayor al Total Mujeres.",""))</f>
        <v xml:space="preserve"> * La variable Gestante no puede ser Mayor al Total Mujeres.</v>
      </c>
      <c r="CC47" s="191" t="str">
        <f t="shared" ref="CC47:CC58" si="72">IF(AND(D47&gt;0,OR(AP47=""))," * No olvide digitar la variable Madre de hijo menor de 5 años. Digite Cero si no tiene.",IF(AP47&gt;D47," * La variable Madre de hijo menor de 5 años no puede ser Mayor al Total Mujeres.",""))</f>
        <v xml:space="preserve"> * La variable Madre de hijo menor de 5 años no puede ser Mayor al Total Mujeres.</v>
      </c>
      <c r="CD47" s="191" t="str">
        <f t="shared" si="60"/>
        <v xml:space="preserve"> * La variable Pueblos Originarios Hombres no puede ser Mayor al Total Hombres.</v>
      </c>
      <c r="CE47" s="191" t="str">
        <f t="shared" si="61"/>
        <v xml:space="preserve"> * La variable Pueblos Originarios Mujeres no puede ser Mayor al Total Mujeres.</v>
      </c>
      <c r="CF47" s="191" t="str">
        <f t="shared" si="62"/>
        <v xml:space="preserve"> * La variable Migrantes Hombres no puede ser Mayor al Total Hombres.</v>
      </c>
      <c r="CG47" s="191" t="str">
        <f t="shared" si="63"/>
        <v xml:space="preserve"> * La variable Migrantes Mujeres no puede ser Mayor al Total Mujeres.</v>
      </c>
      <c r="CH47" s="191" t="str">
        <f t="shared" ref="CH47" si="73">IF(AND($D47&gt;0,OR(AU47=""))," * No olvide digitar la variable Niños, Niñas, Adolescentes y Jóvenes SENAME. Digite Cero si no tiene.",IF(AU47&gt;$D47," * La variable Niños, Niñas, Adolescentes y Jóvenes SENAME no puede ser Mayor al Total ambos sexos.",""))</f>
        <v xml:space="preserve"> * La variable Niños, Niñas, Adolescentes y Jóvenes SENAME no puede ser Mayor al Total ambos sexos.</v>
      </c>
      <c r="CI47" s="191" t="str">
        <f t="shared" ref="CI47" si="74">IF(AND($D47&gt;0,OR(AV47=""))," * No olvide digitar la variable Niños y niñas Mejor Niñez. Digite Cero si no tiene.",IF(AV47&gt;$D47," * La variable Niños y niñas Mejor Niñez no puede ser Mayor al Total ambos sexos.",""))</f>
        <v xml:space="preserve"> * La variable Niños y niñas Mejor Niñez no puede ser Mayor al Total ambos sexos.</v>
      </c>
      <c r="CJ47" s="191" t="str">
        <f t="shared" ref="CJ47:CJ51" si="75">IF(AND(D47&gt;0,OR(AW47=""))," * No olvide digitar la variable Plan Cuidado Integral Elaborado. Digite Cero si no tiene.",IF($AW47&gt;$D47,"* La variable Plan Cuidado Integral Elaborado debe ser menor o igual al Total de Personas en control. ",""))</f>
        <v xml:space="preserve">* La variable Plan Cuidado Integral Elaborado debe ser menor o igual al Total de Personas en control. </v>
      </c>
      <c r="CK47" s="191" t="str">
        <f t="shared" ref="CK47:CK51" si="76">IF(AND(F47&gt;0,OR(AX47=""))," * No olvide digitar la variable Trans Masculino. (Digite Cero si no tiene).",IF(AX47&gt;F47," * La variable Trans Masculino no debe ser mayor al Total Mujeres.",""))</f>
        <v xml:space="preserve"> * La variable Trans Masculino no debe ser mayor al Total Mujeres.</v>
      </c>
      <c r="CL47" s="191" t="str">
        <f t="shared" ref="CL47:CL51" si="77">IF(AND(E47&gt;0,OR(AY47=""))," * No olvide digitar la variable Trans Femenino. (Digite Cero si no tiene).",IF(AY47&gt;E47," * La variable Trans Femenino no debe ser mayor al Total Hombre.",""))</f>
        <v xml:space="preserve"> * La variable Trans Femenino no debe ser mayor al Total Hombre.</v>
      </c>
      <c r="CM47" s="108"/>
      <c r="CN47" s="108"/>
      <c r="CO47" s="1047">
        <f t="shared" ref="CO47:CO58" si="78">IF(AND($F47&gt;0,OR(AO47="")),1,IF(AO47&gt;$F47,1,0))</f>
        <v>1</v>
      </c>
      <c r="CP47" s="1047">
        <f t="shared" ref="CP47:CP58" si="79">IF(AND($F47&gt;0,OR(AP47="")),1,IF(AP47&gt;$F47,1,0))</f>
        <v>1</v>
      </c>
      <c r="CQ47" s="1047">
        <f t="shared" si="64"/>
        <v>1</v>
      </c>
      <c r="CR47" s="1047">
        <f t="shared" si="65"/>
        <v>1</v>
      </c>
      <c r="CS47" s="1047">
        <f t="shared" si="66"/>
        <v>1</v>
      </c>
      <c r="CT47" s="1047">
        <f t="shared" si="67"/>
        <v>1</v>
      </c>
      <c r="CU47" s="1047">
        <f t="shared" si="68"/>
        <v>1</v>
      </c>
      <c r="CV47" s="1047">
        <f t="shared" si="69"/>
        <v>1</v>
      </c>
      <c r="CW47" s="1047">
        <f t="shared" si="70"/>
        <v>1</v>
      </c>
      <c r="CX47" s="1047">
        <f t="shared" si="34"/>
        <v>1</v>
      </c>
      <c r="CY47" s="1047">
        <f t="shared" si="35"/>
        <v>1</v>
      </c>
      <c r="DL47" s="108"/>
      <c r="DM47" s="108"/>
      <c r="DN47" s="108"/>
      <c r="DO47" s="108"/>
      <c r="DP47" s="108"/>
      <c r="DQ47" s="108"/>
      <c r="DR47" s="108"/>
      <c r="DS47" s="108"/>
      <c r="DT47" s="108"/>
      <c r="DU47" s="108"/>
      <c r="DW47" s="606"/>
    </row>
    <row r="48" spans="1:127" s="95" customFormat="1" ht="15" customHeight="1" x14ac:dyDescent="0.25">
      <c r="A48" s="1585" t="s">
        <v>1358</v>
      </c>
      <c r="B48" s="1341" t="s">
        <v>666</v>
      </c>
      <c r="C48" s="1342"/>
      <c r="D48" s="1142" t="s">
        <v>1616</v>
      </c>
      <c r="E48" s="387" t="s">
        <v>1617</v>
      </c>
      <c r="F48" s="531" t="s">
        <v>1618</v>
      </c>
      <c r="G48" s="417" t="s">
        <v>1619</v>
      </c>
      <c r="H48" s="418" t="s">
        <v>1620</v>
      </c>
      <c r="I48" s="417" t="s">
        <v>1621</v>
      </c>
      <c r="J48" s="418" t="s">
        <v>1622</v>
      </c>
      <c r="K48" s="417" t="s">
        <v>1623</v>
      </c>
      <c r="L48" s="418" t="s">
        <v>1624</v>
      </c>
      <c r="M48" s="417" t="s">
        <v>1625</v>
      </c>
      <c r="N48" s="418" t="s">
        <v>1626</v>
      </c>
      <c r="O48" s="417" t="s">
        <v>1627</v>
      </c>
      <c r="P48" s="418" t="s">
        <v>1628</v>
      </c>
      <c r="Q48" s="417" t="s">
        <v>1629</v>
      </c>
      <c r="R48" s="418" t="s">
        <v>1630</v>
      </c>
      <c r="S48" s="417" t="s">
        <v>1631</v>
      </c>
      <c r="T48" s="418" t="s">
        <v>1632</v>
      </c>
      <c r="U48" s="417" t="s">
        <v>1633</v>
      </c>
      <c r="V48" s="418" t="s">
        <v>1634</v>
      </c>
      <c r="W48" s="417" t="s">
        <v>1635</v>
      </c>
      <c r="X48" s="418" t="s">
        <v>1636</v>
      </c>
      <c r="Y48" s="417" t="s">
        <v>1637</v>
      </c>
      <c r="Z48" s="418" t="s">
        <v>1638</v>
      </c>
      <c r="AA48" s="417" t="s">
        <v>1639</v>
      </c>
      <c r="AB48" s="418" t="s">
        <v>1640</v>
      </c>
      <c r="AC48" s="417" t="s">
        <v>1641</v>
      </c>
      <c r="AD48" s="418" t="s">
        <v>1642</v>
      </c>
      <c r="AE48" s="417" t="s">
        <v>1643</v>
      </c>
      <c r="AF48" s="418" t="s">
        <v>1644</v>
      </c>
      <c r="AG48" s="417" t="s">
        <v>1645</v>
      </c>
      <c r="AH48" s="418" t="s">
        <v>1646</v>
      </c>
      <c r="AI48" s="417" t="s">
        <v>1647</v>
      </c>
      <c r="AJ48" s="418" t="s">
        <v>1648</v>
      </c>
      <c r="AK48" s="417" t="s">
        <v>1649</v>
      </c>
      <c r="AL48" s="418" t="s">
        <v>1650</v>
      </c>
      <c r="AM48" s="417" t="s">
        <v>1651</v>
      </c>
      <c r="AN48" s="419" t="s">
        <v>1652</v>
      </c>
      <c r="AO48" s="548" t="s">
        <v>1653</v>
      </c>
      <c r="AP48" s="655" t="s">
        <v>1654</v>
      </c>
      <c r="AQ48" s="468" t="s">
        <v>1655</v>
      </c>
      <c r="AR48" s="418" t="s">
        <v>1656</v>
      </c>
      <c r="AS48" s="468" t="s">
        <v>1657</v>
      </c>
      <c r="AT48" s="418" t="s">
        <v>1658</v>
      </c>
      <c r="AU48" s="432" t="s">
        <v>1659</v>
      </c>
      <c r="AV48" s="432" t="s">
        <v>1660</v>
      </c>
      <c r="AW48" s="432" t="s">
        <v>1661</v>
      </c>
      <c r="AX48" s="432" t="s">
        <v>1662</v>
      </c>
      <c r="AY48" s="432" t="s">
        <v>1663</v>
      </c>
      <c r="AZ48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48" s="113"/>
      <c r="BB48" s="113"/>
      <c r="CB48" s="191" t="str">
        <f t="shared" si="71"/>
        <v xml:space="preserve"> * La variable Gestante no puede ser Mayor al Total Mujeres.</v>
      </c>
      <c r="CC48" s="191" t="str">
        <f t="shared" si="72"/>
        <v xml:space="preserve"> * La variable Madre de hijo menor de 5 años no puede ser Mayor al Total Mujeres.</v>
      </c>
      <c r="CD48" s="191" t="str">
        <f t="shared" si="60"/>
        <v xml:space="preserve"> * La variable Pueblos Originarios Hombres no puede ser Mayor al Total Hombres.</v>
      </c>
      <c r="CE48" s="191" t="str">
        <f t="shared" si="61"/>
        <v xml:space="preserve"> * La variable Pueblos Originarios Mujeres no puede ser Mayor al Total Mujeres.</v>
      </c>
      <c r="CF48" s="191" t="str">
        <f t="shared" si="62"/>
        <v xml:space="preserve"> * La variable Migrantes Hombres no puede ser Mayor al Total Hombres.</v>
      </c>
      <c r="CG48" s="191" t="str">
        <f t="shared" si="63"/>
        <v xml:space="preserve"> * La variable Migrantes Mujeres no puede ser Mayor al Total Mujeres.</v>
      </c>
      <c r="CH48" s="191" t="str">
        <f t="shared" ref="CH48:CH58" si="80">IF(AND($D48&gt;0,OR(AU48=""))," * No olvide digitar la variable Niños, Niñas, Adolescentes y Jóvenes SENAME. Digite Cero si no tiene.",IF(AU48&gt;$D48," * La variable Niños, Niñas, Adolescentes y Jóvenes SENAME no puede ser Mayor al Total ambos sexos.",""))</f>
        <v xml:space="preserve"> * La variable Niños, Niñas, Adolescentes y Jóvenes SENAME no puede ser Mayor al Total ambos sexos.</v>
      </c>
      <c r="CI48" s="191" t="str">
        <f t="shared" ref="CI48:CI58" si="81">IF(AND($D48&gt;0,OR(AV48=""))," * No olvide digitar la variable Niños y niñas Mejor Niñez. Digite Cero si no tiene.",IF(AV48&gt;$D48," * La variable Niños y niñas Mejor Niñez no puede ser Mayor al Total ambos sexos.",""))</f>
        <v xml:space="preserve"> * La variable Niños y niñas Mejor Niñez no puede ser Mayor al Total ambos sexos.</v>
      </c>
      <c r="CJ48" s="191" t="str">
        <f t="shared" si="75"/>
        <v xml:space="preserve">* La variable Plan Cuidado Integral Elaborado debe ser menor o igual al Total de Personas en control. </v>
      </c>
      <c r="CK48" s="191" t="str">
        <f t="shared" si="76"/>
        <v xml:space="preserve"> * La variable Trans Masculino no debe ser mayor al Total Mujeres.</v>
      </c>
      <c r="CL48" s="191" t="str">
        <f t="shared" si="77"/>
        <v xml:space="preserve"> * La variable Trans Femenino no debe ser mayor al Total Hombre.</v>
      </c>
      <c r="CM48" s="108"/>
      <c r="CN48" s="108"/>
      <c r="CO48" s="1047">
        <f t="shared" si="78"/>
        <v>1</v>
      </c>
      <c r="CP48" s="1047">
        <f t="shared" si="79"/>
        <v>1</v>
      </c>
      <c r="CQ48" s="1047">
        <f t="shared" si="64"/>
        <v>1</v>
      </c>
      <c r="CR48" s="1047">
        <f t="shared" si="65"/>
        <v>1</v>
      </c>
      <c r="CS48" s="1047">
        <f t="shared" si="66"/>
        <v>1</v>
      </c>
      <c r="CT48" s="1047">
        <f t="shared" si="67"/>
        <v>1</v>
      </c>
      <c r="CU48" s="1047">
        <f t="shared" si="68"/>
        <v>1</v>
      </c>
      <c r="CV48" s="1047">
        <f t="shared" si="69"/>
        <v>1</v>
      </c>
      <c r="CW48" s="1047">
        <f t="shared" si="70"/>
        <v>1</v>
      </c>
      <c r="CX48" s="1047">
        <f t="shared" si="34"/>
        <v>1</v>
      </c>
      <c r="CY48" s="1047">
        <f t="shared" si="35"/>
        <v>1</v>
      </c>
      <c r="DL48" s="108"/>
      <c r="DM48" s="108"/>
      <c r="DN48" s="108"/>
      <c r="DO48" s="108"/>
      <c r="DP48" s="108"/>
      <c r="DQ48" s="108"/>
      <c r="DR48" s="108"/>
      <c r="DS48" s="108"/>
      <c r="DT48" s="108"/>
      <c r="DU48" s="108"/>
      <c r="DW48" s="606"/>
    </row>
    <row r="49" spans="1:127" ht="15" customHeight="1" x14ac:dyDescent="0.25">
      <c r="A49" s="1585" t="s">
        <v>1359</v>
      </c>
      <c r="B49" s="2146" t="s">
        <v>667</v>
      </c>
      <c r="C49" s="2147"/>
      <c r="D49" s="1147" t="s">
        <v>1616</v>
      </c>
      <c r="E49" s="397" t="s">
        <v>1617</v>
      </c>
      <c r="F49" s="535" t="s">
        <v>1618</v>
      </c>
      <c r="G49" s="398" t="s">
        <v>1619</v>
      </c>
      <c r="H49" s="399" t="s">
        <v>1620</v>
      </c>
      <c r="I49" s="398" t="s">
        <v>1621</v>
      </c>
      <c r="J49" s="399" t="s">
        <v>1622</v>
      </c>
      <c r="K49" s="398" t="s">
        <v>1623</v>
      </c>
      <c r="L49" s="399" t="s">
        <v>1624</v>
      </c>
      <c r="M49" s="398" t="s">
        <v>1625</v>
      </c>
      <c r="N49" s="399" t="s">
        <v>1626</v>
      </c>
      <c r="O49" s="398" t="s">
        <v>1627</v>
      </c>
      <c r="P49" s="399" t="s">
        <v>1628</v>
      </c>
      <c r="Q49" s="398" t="s">
        <v>1629</v>
      </c>
      <c r="R49" s="399" t="s">
        <v>1630</v>
      </c>
      <c r="S49" s="398" t="s">
        <v>1631</v>
      </c>
      <c r="T49" s="399" t="s">
        <v>1632</v>
      </c>
      <c r="U49" s="398" t="s">
        <v>1633</v>
      </c>
      <c r="V49" s="399" t="s">
        <v>1634</v>
      </c>
      <c r="W49" s="398" t="s">
        <v>1635</v>
      </c>
      <c r="X49" s="399" t="s">
        <v>1636</v>
      </c>
      <c r="Y49" s="398" t="s">
        <v>1637</v>
      </c>
      <c r="Z49" s="399" t="s">
        <v>1638</v>
      </c>
      <c r="AA49" s="398" t="s">
        <v>1639</v>
      </c>
      <c r="AB49" s="399" t="s">
        <v>1640</v>
      </c>
      <c r="AC49" s="398" t="s">
        <v>1641</v>
      </c>
      <c r="AD49" s="399" t="s">
        <v>1642</v>
      </c>
      <c r="AE49" s="398" t="s">
        <v>1643</v>
      </c>
      <c r="AF49" s="399" t="s">
        <v>1644</v>
      </c>
      <c r="AG49" s="398" t="s">
        <v>1645</v>
      </c>
      <c r="AH49" s="399" t="s">
        <v>1646</v>
      </c>
      <c r="AI49" s="398" t="s">
        <v>1647</v>
      </c>
      <c r="AJ49" s="399" t="s">
        <v>1648</v>
      </c>
      <c r="AK49" s="398" t="s">
        <v>1649</v>
      </c>
      <c r="AL49" s="399" t="s">
        <v>1650</v>
      </c>
      <c r="AM49" s="398" t="s">
        <v>1651</v>
      </c>
      <c r="AN49" s="407" t="s">
        <v>1652</v>
      </c>
      <c r="AO49" s="549" t="s">
        <v>1653</v>
      </c>
      <c r="AP49" s="650" t="s">
        <v>1654</v>
      </c>
      <c r="AQ49" s="465" t="s">
        <v>1655</v>
      </c>
      <c r="AR49" s="399" t="s">
        <v>1656</v>
      </c>
      <c r="AS49" s="465" t="s">
        <v>1657</v>
      </c>
      <c r="AT49" s="399" t="s">
        <v>1658</v>
      </c>
      <c r="AU49" s="533" t="s">
        <v>1659</v>
      </c>
      <c r="AV49" s="533" t="s">
        <v>1660</v>
      </c>
      <c r="AW49" s="533" t="s">
        <v>1661</v>
      </c>
      <c r="AX49" s="533" t="s">
        <v>1662</v>
      </c>
      <c r="AY49" s="533" t="s">
        <v>1663</v>
      </c>
      <c r="AZ49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49" s="191" t="str">
        <f t="shared" si="71"/>
        <v xml:space="preserve"> * La variable Gestante no puede ser Mayor al Total Mujeres.</v>
      </c>
      <c r="CC49" s="191" t="str">
        <f t="shared" si="72"/>
        <v xml:space="preserve"> * La variable Madre de hijo menor de 5 años no puede ser Mayor al Total Mujeres.</v>
      </c>
      <c r="CD49" s="191" t="str">
        <f t="shared" ref="CD49:CD51" si="82">IF(AND(E49&gt;0,OR(AQ49=""))," * No olvide digitar la variable Pueblos Originarios Hombres. Digite Cero si no tiene.",IF(AQ49&gt;E49," * La variable Pueblos Originarios Hombres no puede ser Mayor al Total Hombres.",""))</f>
        <v xml:space="preserve"> * La variable Pueblos Originarios Hombres no puede ser Mayor al Total Hombres.</v>
      </c>
      <c r="CE49" s="191" t="str">
        <f t="shared" ref="CE49:CE51" si="83">IF(AND(F49&gt;0,OR(AR49=""))," * No olvide digitar la variable Pueblos Originarios Mujeres. Digite Cero si no tiene.",IF(AR49&gt;F49," * La variable Pueblos Originarios Mujeres no puede ser Mayor al Total Mujeres.",""))</f>
        <v xml:space="preserve"> * La variable Pueblos Originarios Mujeres no puede ser Mayor al Total Mujeres.</v>
      </c>
      <c r="CF49" s="191" t="str">
        <f t="shared" ref="CF49:CF51" si="84">IF(AND($E49&gt;0,OR(AS49=""))," * No olvide digitar la variable Migrantes Hombres. Digite Cero si no tiene.",IF(AS49&gt;$E49," * La variable Migrantes Hombres no puede ser Mayor al Total Hombres.",""))</f>
        <v xml:space="preserve"> * La variable Migrantes Hombres no puede ser Mayor al Total Hombres.</v>
      </c>
      <c r="CG49" s="191" t="str">
        <f t="shared" ref="CG49:CG51" si="85">IF(AND($F49&gt;0,OR(AT49=""))," * No olvide digitar la variable Migrantes Mujeres. Digite Cero si no tiene.",IF(AT49&gt;$F49," * La variable Migrantes Mujeres no puede ser Mayor al Total Mujeres.",""))</f>
        <v xml:space="preserve"> * La variable Migrantes Mujeres no puede ser Mayor al Total Mujeres.</v>
      </c>
      <c r="CH49" s="191" t="str">
        <f t="shared" si="80"/>
        <v xml:space="preserve"> * La variable Niños, Niñas, Adolescentes y Jóvenes SENAME no puede ser Mayor al Total ambos sexos.</v>
      </c>
      <c r="CI49" s="191" t="str">
        <f t="shared" si="81"/>
        <v xml:space="preserve"> * La variable Niños y niñas Mejor Niñez no puede ser Mayor al Total ambos sexos.</v>
      </c>
      <c r="CJ49" s="191" t="str">
        <f t="shared" si="75"/>
        <v xml:space="preserve">* La variable Plan Cuidado Integral Elaborado debe ser menor o igual al Total de Personas en control. </v>
      </c>
      <c r="CK49" s="191" t="str">
        <f t="shared" si="76"/>
        <v xml:space="preserve"> * La variable Trans Masculino no debe ser mayor al Total Mujeres.</v>
      </c>
      <c r="CL49" s="191" t="str">
        <f t="shared" si="77"/>
        <v xml:space="preserve"> * La variable Trans Femenino no debe ser mayor al Total Hombre.</v>
      </c>
      <c r="CO49" s="1047">
        <f t="shared" si="78"/>
        <v>1</v>
      </c>
      <c r="CP49" s="1047">
        <f t="shared" si="79"/>
        <v>1</v>
      </c>
      <c r="CQ49" s="1047">
        <f t="shared" si="64"/>
        <v>1</v>
      </c>
      <c r="CR49" s="1047">
        <f t="shared" si="65"/>
        <v>1</v>
      </c>
      <c r="CS49" s="1047">
        <f t="shared" si="66"/>
        <v>1</v>
      </c>
      <c r="CT49" s="1047">
        <f t="shared" si="67"/>
        <v>1</v>
      </c>
      <c r="CU49" s="1047">
        <f t="shared" si="68"/>
        <v>1</v>
      </c>
      <c r="CV49" s="1047">
        <f t="shared" si="69"/>
        <v>1</v>
      </c>
      <c r="CW49" s="1047">
        <f t="shared" si="70"/>
        <v>1</v>
      </c>
      <c r="CX49" s="1047">
        <f t="shared" si="34"/>
        <v>1</v>
      </c>
      <c r="CY49" s="1047">
        <f t="shared" si="35"/>
        <v>1</v>
      </c>
      <c r="DN49" s="108"/>
      <c r="DO49" s="108"/>
      <c r="DP49" s="108"/>
      <c r="DW49" s="606"/>
    </row>
    <row r="50" spans="1:127" ht="15" customHeight="1" x14ac:dyDescent="0.25">
      <c r="A50" s="1585" t="s">
        <v>1360</v>
      </c>
      <c r="B50" s="2146" t="s">
        <v>668</v>
      </c>
      <c r="C50" s="2147"/>
      <c r="D50" s="1147" t="s">
        <v>1616</v>
      </c>
      <c r="E50" s="397" t="s">
        <v>1617</v>
      </c>
      <c r="F50" s="535" t="s">
        <v>1618</v>
      </c>
      <c r="G50" s="398" t="s">
        <v>1619</v>
      </c>
      <c r="H50" s="399" t="s">
        <v>1620</v>
      </c>
      <c r="I50" s="398" t="s">
        <v>1621</v>
      </c>
      <c r="J50" s="399" t="s">
        <v>1622</v>
      </c>
      <c r="K50" s="398" t="s">
        <v>1623</v>
      </c>
      <c r="L50" s="399" t="s">
        <v>1624</v>
      </c>
      <c r="M50" s="398" t="s">
        <v>1625</v>
      </c>
      <c r="N50" s="399" t="s">
        <v>1626</v>
      </c>
      <c r="O50" s="398" t="s">
        <v>1627</v>
      </c>
      <c r="P50" s="399" t="s">
        <v>1628</v>
      </c>
      <c r="Q50" s="398" t="s">
        <v>1629</v>
      </c>
      <c r="R50" s="399" t="s">
        <v>1630</v>
      </c>
      <c r="S50" s="398" t="s">
        <v>1631</v>
      </c>
      <c r="T50" s="399" t="s">
        <v>1632</v>
      </c>
      <c r="U50" s="398" t="s">
        <v>1633</v>
      </c>
      <c r="V50" s="399" t="s">
        <v>1634</v>
      </c>
      <c r="W50" s="398" t="s">
        <v>1635</v>
      </c>
      <c r="X50" s="399" t="s">
        <v>1636</v>
      </c>
      <c r="Y50" s="398" t="s">
        <v>1637</v>
      </c>
      <c r="Z50" s="399" t="s">
        <v>1638</v>
      </c>
      <c r="AA50" s="398" t="s">
        <v>1639</v>
      </c>
      <c r="AB50" s="399" t="s">
        <v>1640</v>
      </c>
      <c r="AC50" s="398" t="s">
        <v>1641</v>
      </c>
      <c r="AD50" s="399" t="s">
        <v>1642</v>
      </c>
      <c r="AE50" s="398" t="s">
        <v>1643</v>
      </c>
      <c r="AF50" s="399" t="s">
        <v>1644</v>
      </c>
      <c r="AG50" s="398" t="s">
        <v>1645</v>
      </c>
      <c r="AH50" s="399" t="s">
        <v>1646</v>
      </c>
      <c r="AI50" s="398" t="s">
        <v>1647</v>
      </c>
      <c r="AJ50" s="399" t="s">
        <v>1648</v>
      </c>
      <c r="AK50" s="398" t="s">
        <v>1649</v>
      </c>
      <c r="AL50" s="399" t="s">
        <v>1650</v>
      </c>
      <c r="AM50" s="398" t="s">
        <v>1651</v>
      </c>
      <c r="AN50" s="407" t="s">
        <v>1652</v>
      </c>
      <c r="AO50" s="549" t="s">
        <v>1653</v>
      </c>
      <c r="AP50" s="650" t="s">
        <v>1654</v>
      </c>
      <c r="AQ50" s="465" t="s">
        <v>1655</v>
      </c>
      <c r="AR50" s="399" t="s">
        <v>1656</v>
      </c>
      <c r="AS50" s="465" t="s">
        <v>1657</v>
      </c>
      <c r="AT50" s="399" t="s">
        <v>1658</v>
      </c>
      <c r="AU50" s="533" t="s">
        <v>1659</v>
      </c>
      <c r="AV50" s="533" t="s">
        <v>1660</v>
      </c>
      <c r="AW50" s="533" t="s">
        <v>1661</v>
      </c>
      <c r="AX50" s="533" t="s">
        <v>1662</v>
      </c>
      <c r="AY50" s="533" t="s">
        <v>1663</v>
      </c>
      <c r="AZ50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0" s="191" t="str">
        <f t="shared" si="71"/>
        <v xml:space="preserve"> * La variable Gestante no puede ser Mayor al Total Mujeres.</v>
      </c>
      <c r="CC50" s="191" t="str">
        <f t="shared" si="72"/>
        <v xml:space="preserve"> * La variable Madre de hijo menor de 5 años no puede ser Mayor al Total Mujeres.</v>
      </c>
      <c r="CD50" s="191" t="str">
        <f t="shared" si="82"/>
        <v xml:space="preserve"> * La variable Pueblos Originarios Hombres no puede ser Mayor al Total Hombres.</v>
      </c>
      <c r="CE50" s="191" t="str">
        <f t="shared" si="83"/>
        <v xml:space="preserve"> * La variable Pueblos Originarios Mujeres no puede ser Mayor al Total Mujeres.</v>
      </c>
      <c r="CF50" s="191" t="str">
        <f t="shared" si="84"/>
        <v xml:space="preserve"> * La variable Migrantes Hombres no puede ser Mayor al Total Hombres.</v>
      </c>
      <c r="CG50" s="191" t="str">
        <f t="shared" si="85"/>
        <v xml:space="preserve"> * La variable Migrantes Mujeres no puede ser Mayor al Total Mujeres.</v>
      </c>
      <c r="CH50" s="191" t="str">
        <f t="shared" si="80"/>
        <v xml:space="preserve"> * La variable Niños, Niñas, Adolescentes y Jóvenes SENAME no puede ser Mayor al Total ambos sexos.</v>
      </c>
      <c r="CI50" s="191" t="str">
        <f t="shared" si="81"/>
        <v xml:space="preserve"> * La variable Niños y niñas Mejor Niñez no puede ser Mayor al Total ambos sexos.</v>
      </c>
      <c r="CJ50" s="191" t="str">
        <f t="shared" si="75"/>
        <v xml:space="preserve">* La variable Plan Cuidado Integral Elaborado debe ser menor o igual al Total de Personas en control. </v>
      </c>
      <c r="CK50" s="191" t="str">
        <f t="shared" si="76"/>
        <v xml:space="preserve"> * La variable Trans Masculino no debe ser mayor al Total Mujeres.</v>
      </c>
      <c r="CL50" s="191" t="str">
        <f t="shared" si="77"/>
        <v xml:space="preserve"> * La variable Trans Femenino no debe ser mayor al Total Hombre.</v>
      </c>
      <c r="CO50" s="1047">
        <f t="shared" si="78"/>
        <v>1</v>
      </c>
      <c r="CP50" s="1047">
        <f t="shared" si="79"/>
        <v>1</v>
      </c>
      <c r="CQ50" s="1047">
        <f t="shared" si="64"/>
        <v>1</v>
      </c>
      <c r="CR50" s="1047">
        <f t="shared" si="65"/>
        <v>1</v>
      </c>
      <c r="CS50" s="1047">
        <f t="shared" si="66"/>
        <v>1</v>
      </c>
      <c r="CT50" s="1047">
        <f t="shared" si="67"/>
        <v>1</v>
      </c>
      <c r="CU50" s="1047">
        <f t="shared" si="68"/>
        <v>1</v>
      </c>
      <c r="CV50" s="1047">
        <f t="shared" si="69"/>
        <v>1</v>
      </c>
      <c r="CW50" s="1047">
        <f t="shared" si="70"/>
        <v>1</v>
      </c>
      <c r="CX50" s="1047">
        <f t="shared" si="34"/>
        <v>1</v>
      </c>
      <c r="CY50" s="1047">
        <f t="shared" si="35"/>
        <v>1</v>
      </c>
      <c r="DN50" s="108"/>
      <c r="DO50" s="108"/>
      <c r="DP50" s="108"/>
      <c r="DW50" s="606"/>
    </row>
    <row r="51" spans="1:127" ht="15" customHeight="1" x14ac:dyDescent="0.25">
      <c r="A51" s="1585" t="s">
        <v>1361</v>
      </c>
      <c r="B51" s="2148" t="s">
        <v>669</v>
      </c>
      <c r="C51" s="2149"/>
      <c r="D51" s="1143" t="s">
        <v>1616</v>
      </c>
      <c r="E51" s="391" t="s">
        <v>1617</v>
      </c>
      <c r="F51" s="532" t="s">
        <v>1618</v>
      </c>
      <c r="G51" s="403" t="s">
        <v>1619</v>
      </c>
      <c r="H51" s="404" t="s">
        <v>1620</v>
      </c>
      <c r="I51" s="403" t="s">
        <v>1621</v>
      </c>
      <c r="J51" s="404" t="s">
        <v>1622</v>
      </c>
      <c r="K51" s="403" t="s">
        <v>1623</v>
      </c>
      <c r="L51" s="404" t="s">
        <v>1624</v>
      </c>
      <c r="M51" s="403" t="s">
        <v>1625</v>
      </c>
      <c r="N51" s="404" t="s">
        <v>1626</v>
      </c>
      <c r="O51" s="403" t="s">
        <v>1627</v>
      </c>
      <c r="P51" s="404" t="s">
        <v>1628</v>
      </c>
      <c r="Q51" s="403" t="s">
        <v>1629</v>
      </c>
      <c r="R51" s="404" t="s">
        <v>1630</v>
      </c>
      <c r="S51" s="403" t="s">
        <v>1631</v>
      </c>
      <c r="T51" s="404" t="s">
        <v>1632</v>
      </c>
      <c r="U51" s="403" t="s">
        <v>1633</v>
      </c>
      <c r="V51" s="404" t="s">
        <v>1634</v>
      </c>
      <c r="W51" s="403" t="s">
        <v>1635</v>
      </c>
      <c r="X51" s="404" t="s">
        <v>1636</v>
      </c>
      <c r="Y51" s="403" t="s">
        <v>1637</v>
      </c>
      <c r="Z51" s="404" t="s">
        <v>1638</v>
      </c>
      <c r="AA51" s="403" t="s">
        <v>1639</v>
      </c>
      <c r="AB51" s="404" t="s">
        <v>1640</v>
      </c>
      <c r="AC51" s="403" t="s">
        <v>1641</v>
      </c>
      <c r="AD51" s="404" t="s">
        <v>1642</v>
      </c>
      <c r="AE51" s="403" t="s">
        <v>1643</v>
      </c>
      <c r="AF51" s="404" t="s">
        <v>1644</v>
      </c>
      <c r="AG51" s="403" t="s">
        <v>1645</v>
      </c>
      <c r="AH51" s="404" t="s">
        <v>1646</v>
      </c>
      <c r="AI51" s="403" t="s">
        <v>1647</v>
      </c>
      <c r="AJ51" s="404" t="s">
        <v>1648</v>
      </c>
      <c r="AK51" s="403" t="s">
        <v>1649</v>
      </c>
      <c r="AL51" s="404" t="s">
        <v>1650</v>
      </c>
      <c r="AM51" s="403" t="s">
        <v>1651</v>
      </c>
      <c r="AN51" s="431" t="s">
        <v>1652</v>
      </c>
      <c r="AO51" s="662" t="s">
        <v>1653</v>
      </c>
      <c r="AP51" s="652" t="s">
        <v>1654</v>
      </c>
      <c r="AQ51" s="464" t="s">
        <v>1655</v>
      </c>
      <c r="AR51" s="404" t="s">
        <v>1656</v>
      </c>
      <c r="AS51" s="464" t="s">
        <v>1657</v>
      </c>
      <c r="AT51" s="404" t="s">
        <v>1658</v>
      </c>
      <c r="AU51" s="442" t="s">
        <v>1659</v>
      </c>
      <c r="AV51" s="442" t="s">
        <v>1660</v>
      </c>
      <c r="AW51" s="442" t="s">
        <v>1661</v>
      </c>
      <c r="AX51" s="442" t="s">
        <v>1662</v>
      </c>
      <c r="AY51" s="442" t="s">
        <v>1663</v>
      </c>
      <c r="AZ51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1" s="191" t="str">
        <f t="shared" si="71"/>
        <v xml:space="preserve"> * La variable Gestante no puede ser Mayor al Total Mujeres.</v>
      </c>
      <c r="CC51" s="191" t="str">
        <f t="shared" si="72"/>
        <v xml:space="preserve"> * La variable Madre de hijo menor de 5 años no puede ser Mayor al Total Mujeres.</v>
      </c>
      <c r="CD51" s="191" t="str">
        <f t="shared" si="82"/>
        <v xml:space="preserve"> * La variable Pueblos Originarios Hombres no puede ser Mayor al Total Hombres.</v>
      </c>
      <c r="CE51" s="191" t="str">
        <f t="shared" si="83"/>
        <v xml:space="preserve"> * La variable Pueblos Originarios Mujeres no puede ser Mayor al Total Mujeres.</v>
      </c>
      <c r="CF51" s="191" t="str">
        <f t="shared" si="84"/>
        <v xml:space="preserve"> * La variable Migrantes Hombres no puede ser Mayor al Total Hombres.</v>
      </c>
      <c r="CG51" s="191" t="str">
        <f t="shared" si="85"/>
        <v xml:space="preserve"> * La variable Migrantes Mujeres no puede ser Mayor al Total Mujeres.</v>
      </c>
      <c r="CH51" s="191" t="str">
        <f t="shared" si="80"/>
        <v xml:space="preserve"> * La variable Niños, Niñas, Adolescentes y Jóvenes SENAME no puede ser Mayor al Total ambos sexos.</v>
      </c>
      <c r="CI51" s="191" t="str">
        <f t="shared" si="81"/>
        <v xml:space="preserve"> * La variable Niños y niñas Mejor Niñez no puede ser Mayor al Total ambos sexos.</v>
      </c>
      <c r="CJ51" s="191" t="str">
        <f t="shared" si="75"/>
        <v xml:space="preserve">* La variable Plan Cuidado Integral Elaborado debe ser menor o igual al Total de Personas en control. </v>
      </c>
      <c r="CK51" s="191" t="str">
        <f t="shared" si="76"/>
        <v xml:space="preserve"> * La variable Trans Masculino no debe ser mayor al Total Mujeres.</v>
      </c>
      <c r="CL51" s="191" t="str">
        <f t="shared" si="77"/>
        <v xml:space="preserve"> * La variable Trans Femenino no debe ser mayor al Total Hombre.</v>
      </c>
      <c r="CO51" s="1047">
        <f t="shared" si="78"/>
        <v>1</v>
      </c>
      <c r="CP51" s="1047">
        <f t="shared" si="79"/>
        <v>1</v>
      </c>
      <c r="CQ51" s="1047">
        <f t="shared" si="64"/>
        <v>1</v>
      </c>
      <c r="CR51" s="1047">
        <f t="shared" si="65"/>
        <v>1</v>
      </c>
      <c r="CS51" s="1047">
        <f t="shared" si="66"/>
        <v>1</v>
      </c>
      <c r="CT51" s="1047">
        <f t="shared" si="67"/>
        <v>1</v>
      </c>
      <c r="CU51" s="1047">
        <f t="shared" si="68"/>
        <v>1</v>
      </c>
      <c r="CV51" s="1047">
        <f t="shared" si="69"/>
        <v>1</v>
      </c>
      <c r="CW51" s="1047">
        <f t="shared" si="70"/>
        <v>1</v>
      </c>
      <c r="CX51" s="1047">
        <f t="shared" si="34"/>
        <v>1</v>
      </c>
      <c r="CY51" s="1047">
        <f t="shared" si="35"/>
        <v>1</v>
      </c>
      <c r="DN51" s="108"/>
      <c r="DO51" s="108"/>
      <c r="DP51" s="108"/>
      <c r="DW51" s="606"/>
    </row>
    <row r="52" spans="1:127" ht="15" customHeight="1" x14ac:dyDescent="0.25">
      <c r="A52" s="1585" t="s">
        <v>1362</v>
      </c>
      <c r="B52" s="2150" t="s">
        <v>670</v>
      </c>
      <c r="C52" s="1334" t="s">
        <v>420</v>
      </c>
      <c r="D52" s="1376" t="s">
        <v>1616</v>
      </c>
      <c r="E52" s="389" t="s">
        <v>1617</v>
      </c>
      <c r="F52" s="582" t="s">
        <v>1618</v>
      </c>
      <c r="G52" s="450" t="s">
        <v>1619</v>
      </c>
      <c r="H52" s="451" t="s">
        <v>1620</v>
      </c>
      <c r="I52" s="450" t="s">
        <v>1621</v>
      </c>
      <c r="J52" s="451" t="s">
        <v>1622</v>
      </c>
      <c r="K52" s="450" t="s">
        <v>1623</v>
      </c>
      <c r="L52" s="451" t="s">
        <v>1624</v>
      </c>
      <c r="M52" s="450" t="s">
        <v>1625</v>
      </c>
      <c r="N52" s="451" t="s">
        <v>1626</v>
      </c>
      <c r="O52" s="450" t="s">
        <v>1627</v>
      </c>
      <c r="P52" s="451" t="s">
        <v>1628</v>
      </c>
      <c r="Q52" s="450" t="s">
        <v>1629</v>
      </c>
      <c r="R52" s="451" t="s">
        <v>1630</v>
      </c>
      <c r="S52" s="450" t="s">
        <v>1631</v>
      </c>
      <c r="T52" s="451" t="s">
        <v>1632</v>
      </c>
      <c r="U52" s="450" t="s">
        <v>1633</v>
      </c>
      <c r="V52" s="451" t="s">
        <v>1634</v>
      </c>
      <c r="W52" s="450" t="s">
        <v>1635</v>
      </c>
      <c r="X52" s="451" t="s">
        <v>1636</v>
      </c>
      <c r="Y52" s="450" t="s">
        <v>1637</v>
      </c>
      <c r="Z52" s="451" t="s">
        <v>1638</v>
      </c>
      <c r="AA52" s="450" t="s">
        <v>1639</v>
      </c>
      <c r="AB52" s="451" t="s">
        <v>1640</v>
      </c>
      <c r="AC52" s="450" t="s">
        <v>1641</v>
      </c>
      <c r="AD52" s="451" t="s">
        <v>1642</v>
      </c>
      <c r="AE52" s="450" t="s">
        <v>1643</v>
      </c>
      <c r="AF52" s="451" t="s">
        <v>1644</v>
      </c>
      <c r="AG52" s="450" t="s">
        <v>1645</v>
      </c>
      <c r="AH52" s="451" t="s">
        <v>1646</v>
      </c>
      <c r="AI52" s="450" t="s">
        <v>1647</v>
      </c>
      <c r="AJ52" s="451" t="s">
        <v>1648</v>
      </c>
      <c r="AK52" s="450" t="s">
        <v>1649</v>
      </c>
      <c r="AL52" s="451" t="s">
        <v>1650</v>
      </c>
      <c r="AM52" s="450" t="s">
        <v>1651</v>
      </c>
      <c r="AN52" s="452" t="s">
        <v>1652</v>
      </c>
      <c r="AO52" s="548" t="s">
        <v>1653</v>
      </c>
      <c r="AP52" s="655" t="s">
        <v>1654</v>
      </c>
      <c r="AQ52" s="468" t="s">
        <v>1655</v>
      </c>
      <c r="AR52" s="418" t="s">
        <v>1656</v>
      </c>
      <c r="AS52" s="666" t="s">
        <v>1657</v>
      </c>
      <c r="AT52" s="451" t="s">
        <v>1658</v>
      </c>
      <c r="AU52" s="668" t="s">
        <v>1659</v>
      </c>
      <c r="AV52" s="668" t="s">
        <v>1660</v>
      </c>
      <c r="AW52" s="668" t="s">
        <v>1661</v>
      </c>
      <c r="AX52" s="668" t="s">
        <v>1662</v>
      </c>
      <c r="AY52" s="668" t="s">
        <v>1663</v>
      </c>
      <c r="AZ52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2" s="191" t="str">
        <f t="shared" si="71"/>
        <v xml:space="preserve"> * La variable Gestante no puede ser Mayor al Total Mujeres.</v>
      </c>
      <c r="CC52" s="191" t="str">
        <f t="shared" si="72"/>
        <v xml:space="preserve"> * La variable Madre de hijo menor de 5 años no puede ser Mayor al Total Mujeres.</v>
      </c>
      <c r="CD52" s="191" t="str">
        <f t="shared" ref="CD52:CD55" si="86">IF(AND(E52&gt;0,OR(AQ52=""))," * No olvide digitar la variable Pueblos Originarios Hombres. Digite Cero si no tiene.",IF(AQ52&gt;E52," * La variable Pueblos Originarios Hombres no puede ser Mayor al Total Hombres.",""))</f>
        <v xml:space="preserve"> * La variable Pueblos Originarios Hombres no puede ser Mayor al Total Hombres.</v>
      </c>
      <c r="CE52" s="191" t="str">
        <f t="shared" ref="CE52:CE55" si="87">IF(AND(F52&gt;0,OR(AR52=""))," * No olvide digitar la variable Pueblos Originarios Mujeres. Digite Cero si no tiene.",IF(AR52&gt;F52," * La variable Pueblos Originarios Mujeres no puede ser Mayor al Total Mujeres.",""))</f>
        <v xml:space="preserve"> * La variable Pueblos Originarios Mujeres no puede ser Mayor al Total Mujeres.</v>
      </c>
      <c r="CF52" s="191" t="str">
        <f t="shared" ref="CF52:CF55" si="88">IF(AND($E52&gt;0,OR(AS52=""))," * No olvide digitar la variable Migrantes Hombres. Digite Cero si no tiene.",IF(AS52&gt;$E52," * La variable Migrantes Hombres no puede ser Mayor al Total Hombres.",""))</f>
        <v xml:space="preserve"> * La variable Migrantes Hombres no puede ser Mayor al Total Hombres.</v>
      </c>
      <c r="CG52" s="191" t="str">
        <f t="shared" ref="CG52:CG55" si="89">IF(AND($F52&gt;0,OR(AT52=""))," * No olvide digitar la variable Migrantes Mujeres. Digite Cero si no tiene.",IF(AT52&gt;$F52," * La variable Migrantes Mujeres no puede ser Mayor al Total Mujeres.",""))</f>
        <v xml:space="preserve"> * La variable Migrantes Mujeres no puede ser Mayor al Total Mujeres.</v>
      </c>
      <c r="CH52" s="191" t="str">
        <f t="shared" si="80"/>
        <v xml:space="preserve"> * La variable Niños, Niñas, Adolescentes y Jóvenes SENAME no puede ser Mayor al Total ambos sexos.</v>
      </c>
      <c r="CI52" s="191" t="str">
        <f t="shared" si="81"/>
        <v xml:space="preserve"> * La variable Niños y niñas Mejor Niñez no puede ser Mayor al Total ambos sexos.</v>
      </c>
      <c r="CJ52" s="191" t="str">
        <f t="shared" ref="CJ52:CJ58" si="90">IF(AND(D52&gt;0,OR(AW52=""))," * No olvide digitar la variable Plan Cuidado Integral Elaborado. Digite Cero si no tiene.",IF($AW52&gt;$D52,"* La variable Plan Cuidado Integral Elaborado debe ser menor o igual al Total de Personas en control. ",""))</f>
        <v xml:space="preserve">* La variable Plan Cuidado Integral Elaborado debe ser menor o igual al Total de Personas en control. </v>
      </c>
      <c r="CK52" s="191" t="str">
        <f t="shared" ref="CK52:CK58" si="91">IF(AND(F52&gt;0,OR(AX52=""))," * No olvide digitar la variable Trans Masculino. (Digite Cero si no tiene).",IF(AX52&gt;F52," * La variable Trans Masculino no debe ser mayor al Total Mujeres.",""))</f>
        <v xml:space="preserve"> * La variable Trans Masculino no debe ser mayor al Total Mujeres.</v>
      </c>
      <c r="CL52" s="191" t="str">
        <f t="shared" ref="CL52:CL58" si="92">IF(AND(E52&gt;0,OR(AY52=""))," * No olvide digitar la variable Trans Femenino. (Digite Cero si no tiene).",IF(AY52&gt;E52," * La variable Trans Femenino no debe ser mayor al Total Hombre.",""))</f>
        <v xml:space="preserve"> * La variable Trans Femenino no debe ser mayor al Total Hombre.</v>
      </c>
      <c r="CO52" s="1047">
        <f t="shared" si="78"/>
        <v>1</v>
      </c>
      <c r="CP52" s="1047">
        <f t="shared" si="79"/>
        <v>1</v>
      </c>
      <c r="CQ52" s="1047">
        <f t="shared" si="64"/>
        <v>1</v>
      </c>
      <c r="CR52" s="1047">
        <f t="shared" si="65"/>
        <v>1</v>
      </c>
      <c r="CS52" s="1047">
        <f t="shared" si="66"/>
        <v>1</v>
      </c>
      <c r="CT52" s="1047">
        <f t="shared" si="67"/>
        <v>1</v>
      </c>
      <c r="CU52" s="1047">
        <f t="shared" si="68"/>
        <v>1</v>
      </c>
      <c r="CV52" s="1047">
        <f t="shared" si="69"/>
        <v>1</v>
      </c>
      <c r="CW52" s="1047">
        <f t="shared" si="70"/>
        <v>1</v>
      </c>
      <c r="CX52" s="1047">
        <f t="shared" si="34"/>
        <v>1</v>
      </c>
      <c r="CY52" s="1047">
        <f t="shared" si="35"/>
        <v>1</v>
      </c>
      <c r="DN52" s="108"/>
      <c r="DO52" s="108"/>
      <c r="DP52" s="108"/>
      <c r="DW52" s="606"/>
    </row>
    <row r="53" spans="1:127" ht="15" customHeight="1" x14ac:dyDescent="0.25">
      <c r="A53" s="1585" t="s">
        <v>1363</v>
      </c>
      <c r="B53" s="2151"/>
      <c r="C53" s="1338" t="s">
        <v>422</v>
      </c>
      <c r="D53" s="1146" t="s">
        <v>1616</v>
      </c>
      <c r="E53" s="401" t="s">
        <v>1617</v>
      </c>
      <c r="F53" s="537" t="s">
        <v>1618</v>
      </c>
      <c r="G53" s="408" t="s">
        <v>1619</v>
      </c>
      <c r="H53" s="409" t="s">
        <v>1620</v>
      </c>
      <c r="I53" s="408" t="s">
        <v>1621</v>
      </c>
      <c r="J53" s="409" t="s">
        <v>1622</v>
      </c>
      <c r="K53" s="408" t="s">
        <v>1623</v>
      </c>
      <c r="L53" s="409" t="s">
        <v>1624</v>
      </c>
      <c r="M53" s="408" t="s">
        <v>1625</v>
      </c>
      <c r="N53" s="409" t="s">
        <v>1626</v>
      </c>
      <c r="O53" s="408" t="s">
        <v>1627</v>
      </c>
      <c r="P53" s="409" t="s">
        <v>1628</v>
      </c>
      <c r="Q53" s="408" t="s">
        <v>1629</v>
      </c>
      <c r="R53" s="409" t="s">
        <v>1630</v>
      </c>
      <c r="S53" s="408" t="s">
        <v>1631</v>
      </c>
      <c r="T53" s="409" t="s">
        <v>1632</v>
      </c>
      <c r="U53" s="408" t="s">
        <v>1633</v>
      </c>
      <c r="V53" s="409" t="s">
        <v>1634</v>
      </c>
      <c r="W53" s="408" t="s">
        <v>1635</v>
      </c>
      <c r="X53" s="409" t="s">
        <v>1636</v>
      </c>
      <c r="Y53" s="408" t="s">
        <v>1637</v>
      </c>
      <c r="Z53" s="409" t="s">
        <v>1638</v>
      </c>
      <c r="AA53" s="408" t="s">
        <v>1639</v>
      </c>
      <c r="AB53" s="409" t="s">
        <v>1640</v>
      </c>
      <c r="AC53" s="408" t="s">
        <v>1641</v>
      </c>
      <c r="AD53" s="409" t="s">
        <v>1642</v>
      </c>
      <c r="AE53" s="408" t="s">
        <v>1643</v>
      </c>
      <c r="AF53" s="409" t="s">
        <v>1644</v>
      </c>
      <c r="AG53" s="408" t="s">
        <v>1645</v>
      </c>
      <c r="AH53" s="409" t="s">
        <v>1646</v>
      </c>
      <c r="AI53" s="408" t="s">
        <v>1647</v>
      </c>
      <c r="AJ53" s="409" t="s">
        <v>1648</v>
      </c>
      <c r="AK53" s="408" t="s">
        <v>1649</v>
      </c>
      <c r="AL53" s="409" t="s">
        <v>1650</v>
      </c>
      <c r="AM53" s="408" t="s">
        <v>1651</v>
      </c>
      <c r="AN53" s="410" t="s">
        <v>1652</v>
      </c>
      <c r="AO53" s="549" t="s">
        <v>1653</v>
      </c>
      <c r="AP53" s="650" t="s">
        <v>1654</v>
      </c>
      <c r="AQ53" s="465" t="s">
        <v>1655</v>
      </c>
      <c r="AR53" s="399" t="s">
        <v>1656</v>
      </c>
      <c r="AS53" s="659" t="s">
        <v>1657</v>
      </c>
      <c r="AT53" s="409" t="s">
        <v>1658</v>
      </c>
      <c r="AU53" s="538" t="s">
        <v>1659</v>
      </c>
      <c r="AV53" s="538" t="s">
        <v>1660</v>
      </c>
      <c r="AW53" s="538" t="s">
        <v>1661</v>
      </c>
      <c r="AX53" s="538" t="s">
        <v>1662</v>
      </c>
      <c r="AY53" s="538" t="s">
        <v>1663</v>
      </c>
      <c r="AZ53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3" s="191" t="str">
        <f t="shared" si="71"/>
        <v xml:space="preserve"> * La variable Gestante no puede ser Mayor al Total Mujeres.</v>
      </c>
      <c r="CC53" s="191" t="str">
        <f t="shared" si="72"/>
        <v xml:space="preserve"> * La variable Madre de hijo menor de 5 años no puede ser Mayor al Total Mujeres.</v>
      </c>
      <c r="CD53" s="191" t="str">
        <f t="shared" si="86"/>
        <v xml:space="preserve"> * La variable Pueblos Originarios Hombres no puede ser Mayor al Total Hombres.</v>
      </c>
      <c r="CE53" s="191" t="str">
        <f t="shared" si="87"/>
        <v xml:space="preserve"> * La variable Pueblos Originarios Mujeres no puede ser Mayor al Total Mujeres.</v>
      </c>
      <c r="CF53" s="191" t="str">
        <f t="shared" si="88"/>
        <v xml:space="preserve"> * La variable Migrantes Hombres no puede ser Mayor al Total Hombres.</v>
      </c>
      <c r="CG53" s="191" t="str">
        <f t="shared" si="89"/>
        <v xml:space="preserve"> * La variable Migrantes Mujeres no puede ser Mayor al Total Mujeres.</v>
      </c>
      <c r="CH53" s="191" t="str">
        <f t="shared" si="80"/>
        <v xml:space="preserve"> * La variable Niños, Niñas, Adolescentes y Jóvenes SENAME no puede ser Mayor al Total ambos sexos.</v>
      </c>
      <c r="CI53" s="191" t="str">
        <f t="shared" si="81"/>
        <v xml:space="preserve"> * La variable Niños y niñas Mejor Niñez no puede ser Mayor al Total ambos sexos.</v>
      </c>
      <c r="CJ53" s="191" t="str">
        <f t="shared" si="90"/>
        <v xml:space="preserve">* La variable Plan Cuidado Integral Elaborado debe ser menor o igual al Total de Personas en control. </v>
      </c>
      <c r="CK53" s="191" t="str">
        <f t="shared" si="91"/>
        <v xml:space="preserve"> * La variable Trans Masculino no debe ser mayor al Total Mujeres.</v>
      </c>
      <c r="CL53" s="191" t="str">
        <f t="shared" si="92"/>
        <v xml:space="preserve"> * La variable Trans Femenino no debe ser mayor al Total Hombre.</v>
      </c>
      <c r="CO53" s="1047">
        <f t="shared" si="78"/>
        <v>1</v>
      </c>
      <c r="CP53" s="1047">
        <f t="shared" si="79"/>
        <v>1</v>
      </c>
      <c r="CQ53" s="1047">
        <f t="shared" si="64"/>
        <v>1</v>
      </c>
      <c r="CR53" s="1047">
        <f t="shared" si="65"/>
        <v>1</v>
      </c>
      <c r="CS53" s="1047">
        <f t="shared" si="66"/>
        <v>1</v>
      </c>
      <c r="CT53" s="1047">
        <f t="shared" si="67"/>
        <v>1</v>
      </c>
      <c r="CU53" s="1047">
        <f t="shared" si="68"/>
        <v>1</v>
      </c>
      <c r="CV53" s="1047">
        <f t="shared" si="69"/>
        <v>1</v>
      </c>
      <c r="CW53" s="1047">
        <f t="shared" si="70"/>
        <v>1</v>
      </c>
      <c r="CX53" s="1047">
        <f t="shared" si="34"/>
        <v>1</v>
      </c>
      <c r="CY53" s="1047">
        <f t="shared" si="35"/>
        <v>1</v>
      </c>
      <c r="DN53" s="108"/>
      <c r="DO53" s="108"/>
      <c r="DP53" s="108"/>
      <c r="DW53" s="606"/>
    </row>
    <row r="54" spans="1:127" ht="15" customHeight="1" x14ac:dyDescent="0.25">
      <c r="A54" s="1585" t="s">
        <v>1364</v>
      </c>
      <c r="B54" s="2151"/>
      <c r="C54" s="1338" t="s">
        <v>905</v>
      </c>
      <c r="D54" s="1146" t="s">
        <v>1616</v>
      </c>
      <c r="E54" s="401" t="s">
        <v>1617</v>
      </c>
      <c r="F54" s="537" t="s">
        <v>1618</v>
      </c>
      <c r="G54" s="408" t="s">
        <v>1619</v>
      </c>
      <c r="H54" s="409" t="s">
        <v>1620</v>
      </c>
      <c r="I54" s="408" t="s">
        <v>1621</v>
      </c>
      <c r="J54" s="409" t="s">
        <v>1622</v>
      </c>
      <c r="K54" s="408" t="s">
        <v>1623</v>
      </c>
      <c r="L54" s="409" t="s">
        <v>1624</v>
      </c>
      <c r="M54" s="408" t="s">
        <v>1625</v>
      </c>
      <c r="N54" s="409" t="s">
        <v>1626</v>
      </c>
      <c r="O54" s="408" t="s">
        <v>1627</v>
      </c>
      <c r="P54" s="409" t="s">
        <v>1628</v>
      </c>
      <c r="Q54" s="408" t="s">
        <v>1629</v>
      </c>
      <c r="R54" s="409" t="s">
        <v>1630</v>
      </c>
      <c r="S54" s="408" t="s">
        <v>1631</v>
      </c>
      <c r="T54" s="409" t="s">
        <v>1632</v>
      </c>
      <c r="U54" s="408" t="s">
        <v>1633</v>
      </c>
      <c r="V54" s="409" t="s">
        <v>1634</v>
      </c>
      <c r="W54" s="408" t="s">
        <v>1635</v>
      </c>
      <c r="X54" s="409" t="s">
        <v>1636</v>
      </c>
      <c r="Y54" s="408" t="s">
        <v>1637</v>
      </c>
      <c r="Z54" s="409" t="s">
        <v>1638</v>
      </c>
      <c r="AA54" s="408" t="s">
        <v>1639</v>
      </c>
      <c r="AB54" s="409" t="s">
        <v>1640</v>
      </c>
      <c r="AC54" s="408" t="s">
        <v>1641</v>
      </c>
      <c r="AD54" s="409" t="s">
        <v>1642</v>
      </c>
      <c r="AE54" s="408" t="s">
        <v>1643</v>
      </c>
      <c r="AF54" s="409" t="s">
        <v>1644</v>
      </c>
      <c r="AG54" s="408" t="s">
        <v>1645</v>
      </c>
      <c r="AH54" s="409" t="s">
        <v>1646</v>
      </c>
      <c r="AI54" s="408" t="s">
        <v>1647</v>
      </c>
      <c r="AJ54" s="409" t="s">
        <v>1648</v>
      </c>
      <c r="AK54" s="408" t="s">
        <v>1649</v>
      </c>
      <c r="AL54" s="409" t="s">
        <v>1650</v>
      </c>
      <c r="AM54" s="408" t="s">
        <v>1651</v>
      </c>
      <c r="AN54" s="410" t="s">
        <v>1652</v>
      </c>
      <c r="AO54" s="549" t="s">
        <v>1653</v>
      </c>
      <c r="AP54" s="650" t="s">
        <v>1654</v>
      </c>
      <c r="AQ54" s="465" t="s">
        <v>1655</v>
      </c>
      <c r="AR54" s="399" t="s">
        <v>1656</v>
      </c>
      <c r="AS54" s="659" t="s">
        <v>1657</v>
      </c>
      <c r="AT54" s="409" t="s">
        <v>1658</v>
      </c>
      <c r="AU54" s="538" t="s">
        <v>1659</v>
      </c>
      <c r="AV54" s="538" t="s">
        <v>1660</v>
      </c>
      <c r="AW54" s="538" t="s">
        <v>1661</v>
      </c>
      <c r="AX54" s="538" t="s">
        <v>1662</v>
      </c>
      <c r="AY54" s="538" t="s">
        <v>1663</v>
      </c>
      <c r="AZ54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4" s="191" t="str">
        <f t="shared" si="71"/>
        <v xml:space="preserve"> * La variable Gestante no puede ser Mayor al Total Mujeres.</v>
      </c>
      <c r="CC54" s="191" t="str">
        <f t="shared" si="72"/>
        <v xml:space="preserve"> * La variable Madre de hijo menor de 5 años no puede ser Mayor al Total Mujeres.</v>
      </c>
      <c r="CD54" s="191" t="str">
        <f t="shared" si="86"/>
        <v xml:space="preserve"> * La variable Pueblos Originarios Hombres no puede ser Mayor al Total Hombres.</v>
      </c>
      <c r="CE54" s="191" t="str">
        <f t="shared" si="87"/>
        <v xml:space="preserve"> * La variable Pueblos Originarios Mujeres no puede ser Mayor al Total Mujeres.</v>
      </c>
      <c r="CF54" s="191" t="str">
        <f t="shared" si="88"/>
        <v xml:space="preserve"> * La variable Migrantes Hombres no puede ser Mayor al Total Hombres.</v>
      </c>
      <c r="CG54" s="191" t="str">
        <f t="shared" si="89"/>
        <v xml:space="preserve"> * La variable Migrantes Mujeres no puede ser Mayor al Total Mujeres.</v>
      </c>
      <c r="CH54" s="191" t="str">
        <f t="shared" si="80"/>
        <v xml:space="preserve"> * La variable Niños, Niñas, Adolescentes y Jóvenes SENAME no puede ser Mayor al Total ambos sexos.</v>
      </c>
      <c r="CI54" s="191" t="str">
        <f t="shared" si="81"/>
        <v xml:space="preserve"> * La variable Niños y niñas Mejor Niñez no puede ser Mayor al Total ambos sexos.</v>
      </c>
      <c r="CJ54" s="191" t="str">
        <f t="shared" si="90"/>
        <v xml:space="preserve">* La variable Plan Cuidado Integral Elaborado debe ser menor o igual al Total de Personas en control. </v>
      </c>
      <c r="CK54" s="191" t="str">
        <f t="shared" si="91"/>
        <v xml:space="preserve"> * La variable Trans Masculino no debe ser mayor al Total Mujeres.</v>
      </c>
      <c r="CL54" s="191" t="str">
        <f t="shared" si="92"/>
        <v xml:space="preserve"> * La variable Trans Femenino no debe ser mayor al Total Hombre.</v>
      </c>
      <c r="CO54" s="1047">
        <f t="shared" si="78"/>
        <v>1</v>
      </c>
      <c r="CP54" s="1047">
        <f t="shared" si="79"/>
        <v>1</v>
      </c>
      <c r="CQ54" s="1047">
        <f t="shared" si="64"/>
        <v>1</v>
      </c>
      <c r="CR54" s="1047">
        <f t="shared" si="65"/>
        <v>1</v>
      </c>
      <c r="CS54" s="1047">
        <f t="shared" si="66"/>
        <v>1</v>
      </c>
      <c r="CT54" s="1047">
        <f t="shared" si="67"/>
        <v>1</v>
      </c>
      <c r="CU54" s="1047">
        <f t="shared" si="68"/>
        <v>1</v>
      </c>
      <c r="CV54" s="1047">
        <f t="shared" si="69"/>
        <v>1</v>
      </c>
      <c r="CW54" s="1047">
        <f t="shared" si="70"/>
        <v>1</v>
      </c>
      <c r="CX54" s="1047">
        <f t="shared" si="34"/>
        <v>1</v>
      </c>
      <c r="CY54" s="1047">
        <f t="shared" si="35"/>
        <v>1</v>
      </c>
      <c r="DN54" s="108"/>
      <c r="DO54" s="108"/>
      <c r="DP54" s="108"/>
      <c r="DW54" s="606"/>
    </row>
    <row r="55" spans="1:127" ht="15" customHeight="1" x14ac:dyDescent="0.25">
      <c r="A55" s="1585" t="s">
        <v>1365</v>
      </c>
      <c r="B55" s="2151"/>
      <c r="C55" s="1338" t="s">
        <v>672</v>
      </c>
      <c r="D55" s="1146" t="s">
        <v>1616</v>
      </c>
      <c r="E55" s="401" t="s">
        <v>1617</v>
      </c>
      <c r="F55" s="537" t="s">
        <v>1618</v>
      </c>
      <c r="G55" s="408" t="s">
        <v>1619</v>
      </c>
      <c r="H55" s="409" t="s">
        <v>1620</v>
      </c>
      <c r="I55" s="408" t="s">
        <v>1621</v>
      </c>
      <c r="J55" s="409" t="s">
        <v>1622</v>
      </c>
      <c r="K55" s="408" t="s">
        <v>1623</v>
      </c>
      <c r="L55" s="409" t="s">
        <v>1624</v>
      </c>
      <c r="M55" s="408" t="s">
        <v>1625</v>
      </c>
      <c r="N55" s="409" t="s">
        <v>1626</v>
      </c>
      <c r="O55" s="408" t="s">
        <v>1627</v>
      </c>
      <c r="P55" s="409" t="s">
        <v>1628</v>
      </c>
      <c r="Q55" s="408" t="s">
        <v>1629</v>
      </c>
      <c r="R55" s="409" t="s">
        <v>1630</v>
      </c>
      <c r="S55" s="408" t="s">
        <v>1631</v>
      </c>
      <c r="T55" s="409" t="s">
        <v>1632</v>
      </c>
      <c r="U55" s="408" t="s">
        <v>1633</v>
      </c>
      <c r="V55" s="409" t="s">
        <v>1634</v>
      </c>
      <c r="W55" s="408" t="s">
        <v>1635</v>
      </c>
      <c r="X55" s="409" t="s">
        <v>1636</v>
      </c>
      <c r="Y55" s="408" t="s">
        <v>1637</v>
      </c>
      <c r="Z55" s="409" t="s">
        <v>1638</v>
      </c>
      <c r="AA55" s="408" t="s">
        <v>1639</v>
      </c>
      <c r="AB55" s="409" t="s">
        <v>1640</v>
      </c>
      <c r="AC55" s="408" t="s">
        <v>1641</v>
      </c>
      <c r="AD55" s="409" t="s">
        <v>1642</v>
      </c>
      <c r="AE55" s="408" t="s">
        <v>1643</v>
      </c>
      <c r="AF55" s="409" t="s">
        <v>1644</v>
      </c>
      <c r="AG55" s="408" t="s">
        <v>1645</v>
      </c>
      <c r="AH55" s="409" t="s">
        <v>1646</v>
      </c>
      <c r="AI55" s="408" t="s">
        <v>1647</v>
      </c>
      <c r="AJ55" s="409" t="s">
        <v>1648</v>
      </c>
      <c r="AK55" s="408" t="s">
        <v>1649</v>
      </c>
      <c r="AL55" s="409" t="s">
        <v>1650</v>
      </c>
      <c r="AM55" s="408" t="s">
        <v>1651</v>
      </c>
      <c r="AN55" s="410" t="s">
        <v>1652</v>
      </c>
      <c r="AO55" s="549" t="s">
        <v>1653</v>
      </c>
      <c r="AP55" s="650" t="s">
        <v>1654</v>
      </c>
      <c r="AQ55" s="465" t="s">
        <v>1655</v>
      </c>
      <c r="AR55" s="399" t="s">
        <v>1656</v>
      </c>
      <c r="AS55" s="659" t="s">
        <v>1657</v>
      </c>
      <c r="AT55" s="409" t="s">
        <v>1658</v>
      </c>
      <c r="AU55" s="538" t="s">
        <v>1659</v>
      </c>
      <c r="AV55" s="538" t="s">
        <v>1660</v>
      </c>
      <c r="AW55" s="538" t="s">
        <v>1661</v>
      </c>
      <c r="AX55" s="538" t="s">
        <v>1662</v>
      </c>
      <c r="AY55" s="538" t="s">
        <v>1663</v>
      </c>
      <c r="AZ55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5" s="191" t="str">
        <f t="shared" si="71"/>
        <v xml:space="preserve"> * La variable Gestante no puede ser Mayor al Total Mujeres.</v>
      </c>
      <c r="CC55" s="191" t="str">
        <f t="shared" si="72"/>
        <v xml:space="preserve"> * La variable Madre de hijo menor de 5 años no puede ser Mayor al Total Mujeres.</v>
      </c>
      <c r="CD55" s="191" t="str">
        <f t="shared" si="86"/>
        <v xml:space="preserve"> * La variable Pueblos Originarios Hombres no puede ser Mayor al Total Hombres.</v>
      </c>
      <c r="CE55" s="191" t="str">
        <f t="shared" si="87"/>
        <v xml:space="preserve"> * La variable Pueblos Originarios Mujeres no puede ser Mayor al Total Mujeres.</v>
      </c>
      <c r="CF55" s="191" t="str">
        <f t="shared" si="88"/>
        <v xml:space="preserve"> * La variable Migrantes Hombres no puede ser Mayor al Total Hombres.</v>
      </c>
      <c r="CG55" s="191" t="str">
        <f t="shared" si="89"/>
        <v xml:space="preserve"> * La variable Migrantes Mujeres no puede ser Mayor al Total Mujeres.</v>
      </c>
      <c r="CH55" s="191" t="str">
        <f t="shared" si="80"/>
        <v xml:space="preserve"> * La variable Niños, Niñas, Adolescentes y Jóvenes SENAME no puede ser Mayor al Total ambos sexos.</v>
      </c>
      <c r="CI55" s="191" t="str">
        <f t="shared" si="81"/>
        <v xml:space="preserve"> * La variable Niños y niñas Mejor Niñez no puede ser Mayor al Total ambos sexos.</v>
      </c>
      <c r="CJ55" s="191" t="str">
        <f t="shared" si="90"/>
        <v xml:space="preserve">* La variable Plan Cuidado Integral Elaborado debe ser menor o igual al Total de Personas en control. </v>
      </c>
      <c r="CK55" s="191" t="str">
        <f t="shared" si="91"/>
        <v xml:space="preserve"> * La variable Trans Masculino no debe ser mayor al Total Mujeres.</v>
      </c>
      <c r="CL55" s="191" t="str">
        <f t="shared" si="92"/>
        <v xml:space="preserve"> * La variable Trans Femenino no debe ser mayor al Total Hombre.</v>
      </c>
      <c r="CO55" s="1047">
        <f t="shared" si="78"/>
        <v>1</v>
      </c>
      <c r="CP55" s="1047">
        <f t="shared" si="79"/>
        <v>1</v>
      </c>
      <c r="CQ55" s="1047">
        <f t="shared" si="64"/>
        <v>1</v>
      </c>
      <c r="CR55" s="1047">
        <f t="shared" si="65"/>
        <v>1</v>
      </c>
      <c r="CS55" s="1047">
        <f t="shared" si="66"/>
        <v>1</v>
      </c>
      <c r="CT55" s="1047">
        <f t="shared" si="67"/>
        <v>1</v>
      </c>
      <c r="CU55" s="1047">
        <f t="shared" si="68"/>
        <v>1</v>
      </c>
      <c r="CV55" s="1047">
        <f t="shared" si="69"/>
        <v>1</v>
      </c>
      <c r="CW55" s="1047">
        <f t="shared" si="70"/>
        <v>1</v>
      </c>
      <c r="CX55" s="1047">
        <f t="shared" si="34"/>
        <v>1</v>
      </c>
      <c r="CY55" s="1047">
        <f t="shared" si="35"/>
        <v>1</v>
      </c>
      <c r="DN55" s="108"/>
      <c r="DO55" s="108"/>
      <c r="DP55" s="108"/>
      <c r="DW55" s="606"/>
    </row>
    <row r="56" spans="1:127" ht="15" customHeight="1" x14ac:dyDescent="0.25">
      <c r="A56" s="1585" t="s">
        <v>1366</v>
      </c>
      <c r="B56" s="2152"/>
      <c r="C56" s="1337" t="s">
        <v>673</v>
      </c>
      <c r="D56" s="1143" t="s">
        <v>1616</v>
      </c>
      <c r="E56" s="391" t="s">
        <v>1617</v>
      </c>
      <c r="F56" s="532" t="s">
        <v>1618</v>
      </c>
      <c r="G56" s="403" t="s">
        <v>1619</v>
      </c>
      <c r="H56" s="404" t="s">
        <v>1620</v>
      </c>
      <c r="I56" s="403" t="s">
        <v>1621</v>
      </c>
      <c r="J56" s="404" t="s">
        <v>1622</v>
      </c>
      <c r="K56" s="403" t="s">
        <v>1623</v>
      </c>
      <c r="L56" s="404" t="s">
        <v>1624</v>
      </c>
      <c r="M56" s="403" t="s">
        <v>1625</v>
      </c>
      <c r="N56" s="404" t="s">
        <v>1626</v>
      </c>
      <c r="O56" s="403" t="s">
        <v>1627</v>
      </c>
      <c r="P56" s="404" t="s">
        <v>1628</v>
      </c>
      <c r="Q56" s="403" t="s">
        <v>1629</v>
      </c>
      <c r="R56" s="404" t="s">
        <v>1630</v>
      </c>
      <c r="S56" s="403" t="s">
        <v>1631</v>
      </c>
      <c r="T56" s="404" t="s">
        <v>1632</v>
      </c>
      <c r="U56" s="403" t="s">
        <v>1633</v>
      </c>
      <c r="V56" s="404" t="s">
        <v>1634</v>
      </c>
      <c r="W56" s="403" t="s">
        <v>1635</v>
      </c>
      <c r="X56" s="404" t="s">
        <v>1636</v>
      </c>
      <c r="Y56" s="403" t="s">
        <v>1637</v>
      </c>
      <c r="Z56" s="404" t="s">
        <v>1638</v>
      </c>
      <c r="AA56" s="403" t="s">
        <v>1639</v>
      </c>
      <c r="AB56" s="404" t="s">
        <v>1640</v>
      </c>
      <c r="AC56" s="403" t="s">
        <v>1641</v>
      </c>
      <c r="AD56" s="404" t="s">
        <v>1642</v>
      </c>
      <c r="AE56" s="403" t="s">
        <v>1643</v>
      </c>
      <c r="AF56" s="404" t="s">
        <v>1644</v>
      </c>
      <c r="AG56" s="403" t="s">
        <v>1645</v>
      </c>
      <c r="AH56" s="404" t="s">
        <v>1646</v>
      </c>
      <c r="AI56" s="403" t="s">
        <v>1647</v>
      </c>
      <c r="AJ56" s="404" t="s">
        <v>1648</v>
      </c>
      <c r="AK56" s="403" t="s">
        <v>1649</v>
      </c>
      <c r="AL56" s="404" t="s">
        <v>1650</v>
      </c>
      <c r="AM56" s="403" t="s">
        <v>1651</v>
      </c>
      <c r="AN56" s="431" t="s">
        <v>1652</v>
      </c>
      <c r="AO56" s="662" t="s">
        <v>1653</v>
      </c>
      <c r="AP56" s="652" t="s">
        <v>1654</v>
      </c>
      <c r="AQ56" s="464" t="s">
        <v>1655</v>
      </c>
      <c r="AR56" s="404" t="s">
        <v>1656</v>
      </c>
      <c r="AS56" s="464" t="s">
        <v>1657</v>
      </c>
      <c r="AT56" s="404" t="s">
        <v>1658</v>
      </c>
      <c r="AU56" s="442" t="s">
        <v>1659</v>
      </c>
      <c r="AV56" s="442" t="s">
        <v>1660</v>
      </c>
      <c r="AW56" s="442" t="s">
        <v>1661</v>
      </c>
      <c r="AX56" s="442" t="s">
        <v>1662</v>
      </c>
      <c r="AY56" s="442" t="s">
        <v>1663</v>
      </c>
      <c r="AZ56" s="1056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6" s="191" t="str">
        <f t="shared" si="71"/>
        <v xml:space="preserve"> * La variable Gestante no puede ser Mayor al Total Mujeres.</v>
      </c>
      <c r="CC56" s="191" t="str">
        <f t="shared" si="72"/>
        <v xml:space="preserve"> * La variable Madre de hijo menor de 5 años no puede ser Mayor al Total Mujeres.</v>
      </c>
      <c r="CD56" s="191" t="str">
        <f t="shared" ref="CD56:CD58" si="93">IF(AND(E56&gt;0,OR(AQ56=""))," * No olvide digitar la variable Pueblos Originarios Hombres. Digite Cero si no tiene.",IF(AQ56&gt;E56," * La variable Pueblos Originarios Hombres no puede ser Mayor al Total Hombres.",""))</f>
        <v xml:space="preserve"> * La variable Pueblos Originarios Hombres no puede ser Mayor al Total Hombres.</v>
      </c>
      <c r="CE56" s="191" t="str">
        <f t="shared" ref="CE56:CE58" si="94">IF(AND(F56&gt;0,OR(AR56=""))," * No olvide digitar la variable Pueblos Originarios Mujeres. Digite Cero si no tiene.",IF(AR56&gt;F56," * La variable Pueblos Originarios Mujeres no puede ser Mayor al Total Mujeres.",""))</f>
        <v xml:space="preserve"> * La variable Pueblos Originarios Mujeres no puede ser Mayor al Total Mujeres.</v>
      </c>
      <c r="CF56" s="191" t="str">
        <f t="shared" ref="CF56:CF58" si="95">IF(AND($E56&gt;0,OR(AS56=""))," * No olvide digitar la variable Migrantes Hombres. Digite Cero si no tiene.",IF(AS56&gt;$E56," * La variable Migrantes Hombres no puede ser Mayor al Total Hombres.",""))</f>
        <v xml:space="preserve"> * La variable Migrantes Hombres no puede ser Mayor al Total Hombres.</v>
      </c>
      <c r="CG56" s="191" t="str">
        <f t="shared" ref="CG56:CG58" si="96">IF(AND($F56&gt;0,OR(AT56=""))," * No olvide digitar la variable Migrantes Mujeres. Digite Cero si no tiene.",IF(AT56&gt;$F56," * La variable Migrantes Mujeres no puede ser Mayor al Total Mujeres.",""))</f>
        <v xml:space="preserve"> * La variable Migrantes Mujeres no puede ser Mayor al Total Mujeres.</v>
      </c>
      <c r="CH56" s="191" t="str">
        <f t="shared" si="80"/>
        <v xml:space="preserve"> * La variable Niños, Niñas, Adolescentes y Jóvenes SENAME no puede ser Mayor al Total ambos sexos.</v>
      </c>
      <c r="CI56" s="191" t="str">
        <f t="shared" si="81"/>
        <v xml:space="preserve"> * La variable Niños y niñas Mejor Niñez no puede ser Mayor al Total ambos sexos.</v>
      </c>
      <c r="CJ56" s="191" t="str">
        <f t="shared" si="90"/>
        <v xml:space="preserve">* La variable Plan Cuidado Integral Elaborado debe ser menor o igual al Total de Personas en control. </v>
      </c>
      <c r="CK56" s="191" t="str">
        <f t="shared" si="91"/>
        <v xml:space="preserve"> * La variable Trans Masculino no debe ser mayor al Total Mujeres.</v>
      </c>
      <c r="CL56" s="191" t="str">
        <f t="shared" si="92"/>
        <v xml:space="preserve"> * La variable Trans Femenino no debe ser mayor al Total Hombre.</v>
      </c>
      <c r="CO56" s="1047">
        <f t="shared" si="78"/>
        <v>1</v>
      </c>
      <c r="CP56" s="1047">
        <f t="shared" si="79"/>
        <v>1</v>
      </c>
      <c r="CQ56" s="1047">
        <f t="shared" si="64"/>
        <v>1</v>
      </c>
      <c r="CR56" s="1047">
        <f t="shared" si="65"/>
        <v>1</v>
      </c>
      <c r="CS56" s="1047">
        <f t="shared" si="66"/>
        <v>1</v>
      </c>
      <c r="CT56" s="1047">
        <f t="shared" si="67"/>
        <v>1</v>
      </c>
      <c r="CU56" s="1047">
        <f t="shared" si="68"/>
        <v>1</v>
      </c>
      <c r="CV56" s="1047">
        <f t="shared" si="69"/>
        <v>1</v>
      </c>
      <c r="CW56" s="1047">
        <f t="shared" si="70"/>
        <v>1</v>
      </c>
      <c r="CX56" s="1047">
        <f t="shared" si="34"/>
        <v>1</v>
      </c>
      <c r="CY56" s="1047">
        <f t="shared" si="35"/>
        <v>1</v>
      </c>
      <c r="DN56" s="108"/>
      <c r="DO56" s="108"/>
      <c r="DP56" s="108"/>
      <c r="DW56" s="606"/>
    </row>
    <row r="57" spans="1:127" ht="15" customHeight="1" x14ac:dyDescent="0.25">
      <c r="A57" s="1585" t="s">
        <v>1367</v>
      </c>
      <c r="B57" s="1339" t="s">
        <v>674</v>
      </c>
      <c r="C57" s="1340"/>
      <c r="D57" s="1376" t="s">
        <v>1616</v>
      </c>
      <c r="E57" s="389" t="s">
        <v>1617</v>
      </c>
      <c r="F57" s="582" t="s">
        <v>1618</v>
      </c>
      <c r="G57" s="450" t="s">
        <v>1619</v>
      </c>
      <c r="H57" s="451" t="s">
        <v>1620</v>
      </c>
      <c r="I57" s="450" t="s">
        <v>1621</v>
      </c>
      <c r="J57" s="451" t="s">
        <v>1622</v>
      </c>
      <c r="K57" s="450" t="s">
        <v>1623</v>
      </c>
      <c r="L57" s="451" t="s">
        <v>1624</v>
      </c>
      <c r="M57" s="450" t="s">
        <v>1625</v>
      </c>
      <c r="N57" s="451" t="s">
        <v>1626</v>
      </c>
      <c r="O57" s="450" t="s">
        <v>1627</v>
      </c>
      <c r="P57" s="451" t="s">
        <v>1628</v>
      </c>
      <c r="Q57" s="450" t="s">
        <v>1629</v>
      </c>
      <c r="R57" s="451" t="s">
        <v>1630</v>
      </c>
      <c r="S57" s="450" t="s">
        <v>1631</v>
      </c>
      <c r="T57" s="451" t="s">
        <v>1632</v>
      </c>
      <c r="U57" s="450" t="s">
        <v>1633</v>
      </c>
      <c r="V57" s="451" t="s">
        <v>1634</v>
      </c>
      <c r="W57" s="450" t="s">
        <v>1635</v>
      </c>
      <c r="X57" s="451" t="s">
        <v>1636</v>
      </c>
      <c r="Y57" s="450" t="s">
        <v>1637</v>
      </c>
      <c r="Z57" s="451" t="s">
        <v>1638</v>
      </c>
      <c r="AA57" s="450" t="s">
        <v>1639</v>
      </c>
      <c r="AB57" s="451" t="s">
        <v>1640</v>
      </c>
      <c r="AC57" s="450" t="s">
        <v>1641</v>
      </c>
      <c r="AD57" s="451" t="s">
        <v>1642</v>
      </c>
      <c r="AE57" s="450" t="s">
        <v>1643</v>
      </c>
      <c r="AF57" s="451" t="s">
        <v>1644</v>
      </c>
      <c r="AG57" s="450" t="s">
        <v>1645</v>
      </c>
      <c r="AH57" s="451" t="s">
        <v>1646</v>
      </c>
      <c r="AI57" s="450" t="s">
        <v>1647</v>
      </c>
      <c r="AJ57" s="451" t="s">
        <v>1648</v>
      </c>
      <c r="AK57" s="450" t="s">
        <v>1649</v>
      </c>
      <c r="AL57" s="451" t="s">
        <v>1650</v>
      </c>
      <c r="AM57" s="450" t="s">
        <v>1651</v>
      </c>
      <c r="AN57" s="452" t="s">
        <v>1652</v>
      </c>
      <c r="AO57" s="548" t="s">
        <v>1653</v>
      </c>
      <c r="AP57" s="655" t="s">
        <v>1654</v>
      </c>
      <c r="AQ57" s="666" t="s">
        <v>1655</v>
      </c>
      <c r="AR57" s="451" t="s">
        <v>1656</v>
      </c>
      <c r="AS57" s="666" t="s">
        <v>1657</v>
      </c>
      <c r="AT57" s="451" t="s">
        <v>1658</v>
      </c>
      <c r="AU57" s="668" t="s">
        <v>1659</v>
      </c>
      <c r="AV57" s="668" t="s">
        <v>1660</v>
      </c>
      <c r="AW57" s="668" t="s">
        <v>1661</v>
      </c>
      <c r="AX57" s="668" t="s">
        <v>1662</v>
      </c>
      <c r="AY57" s="668" t="s">
        <v>1663</v>
      </c>
      <c r="AZ57" s="1056" t="str">
        <f>CB57&amp;CC57&amp;CD57&amp;CE57&amp;CF57&amp;CG57&amp;CH57&amp;CI57&amp;CJ57&amp;CK57&amp;CL57</f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7" s="191" t="str">
        <f t="shared" si="71"/>
        <v xml:space="preserve"> * La variable Gestante no puede ser Mayor al Total Mujeres.</v>
      </c>
      <c r="CC57" s="191" t="str">
        <f t="shared" si="72"/>
        <v xml:space="preserve"> * La variable Madre de hijo menor de 5 años no puede ser Mayor al Total Mujeres.</v>
      </c>
      <c r="CD57" s="191" t="str">
        <f t="shared" si="93"/>
        <v xml:space="preserve"> * La variable Pueblos Originarios Hombres no puede ser Mayor al Total Hombres.</v>
      </c>
      <c r="CE57" s="191" t="str">
        <f t="shared" si="94"/>
        <v xml:space="preserve"> * La variable Pueblos Originarios Mujeres no puede ser Mayor al Total Mujeres.</v>
      </c>
      <c r="CF57" s="191" t="str">
        <f t="shared" si="95"/>
        <v xml:space="preserve"> * La variable Migrantes Hombres no puede ser Mayor al Total Hombres.</v>
      </c>
      <c r="CG57" s="191" t="str">
        <f t="shared" si="96"/>
        <v xml:space="preserve"> * La variable Migrantes Mujeres no puede ser Mayor al Total Mujeres.</v>
      </c>
      <c r="CH57" s="191" t="str">
        <f t="shared" si="80"/>
        <v xml:space="preserve"> * La variable Niños, Niñas, Adolescentes y Jóvenes SENAME no puede ser Mayor al Total ambos sexos.</v>
      </c>
      <c r="CI57" s="191" t="str">
        <f t="shared" si="81"/>
        <v xml:space="preserve"> * La variable Niños y niñas Mejor Niñez no puede ser Mayor al Total ambos sexos.</v>
      </c>
      <c r="CJ57" s="191" t="str">
        <f t="shared" si="90"/>
        <v xml:space="preserve">* La variable Plan Cuidado Integral Elaborado debe ser menor o igual al Total de Personas en control. </v>
      </c>
      <c r="CK57" s="191" t="str">
        <f t="shared" si="91"/>
        <v xml:space="preserve"> * La variable Trans Masculino no debe ser mayor al Total Mujeres.</v>
      </c>
      <c r="CL57" s="191" t="str">
        <f t="shared" si="92"/>
        <v xml:space="preserve"> * La variable Trans Femenino no debe ser mayor al Total Hombre.</v>
      </c>
      <c r="CO57" s="1047">
        <f t="shared" si="78"/>
        <v>1</v>
      </c>
      <c r="CP57" s="1047">
        <f t="shared" si="79"/>
        <v>1</v>
      </c>
      <c r="CQ57" s="1047">
        <f t="shared" si="64"/>
        <v>1</v>
      </c>
      <c r="CR57" s="1047">
        <f t="shared" si="65"/>
        <v>1</v>
      </c>
      <c r="CS57" s="1047">
        <f t="shared" si="66"/>
        <v>1</v>
      </c>
      <c r="CT57" s="1047">
        <f t="shared" si="67"/>
        <v>1</v>
      </c>
      <c r="CU57" s="1047">
        <f t="shared" si="68"/>
        <v>1</v>
      </c>
      <c r="CV57" s="1047">
        <f t="shared" si="69"/>
        <v>1</v>
      </c>
      <c r="CW57" s="1047">
        <f t="shared" si="70"/>
        <v>1</v>
      </c>
      <c r="CX57" s="1047">
        <f t="shared" si="34"/>
        <v>1</v>
      </c>
      <c r="CY57" s="1047">
        <f t="shared" si="35"/>
        <v>1</v>
      </c>
      <c r="DN57" s="108"/>
      <c r="DO57" s="108"/>
      <c r="DP57" s="108"/>
      <c r="DW57" s="606"/>
    </row>
    <row r="58" spans="1:127" ht="15" customHeight="1" x14ac:dyDescent="0.25">
      <c r="A58" s="1585" t="s">
        <v>1368</v>
      </c>
      <c r="B58" s="2154" t="s">
        <v>675</v>
      </c>
      <c r="C58" s="2155"/>
      <c r="D58" s="1143" t="s">
        <v>1616</v>
      </c>
      <c r="E58" s="391" t="s">
        <v>1617</v>
      </c>
      <c r="F58" s="386" t="s">
        <v>1618</v>
      </c>
      <c r="G58" s="403" t="s">
        <v>1619</v>
      </c>
      <c r="H58" s="404" t="s">
        <v>1620</v>
      </c>
      <c r="I58" s="403" t="s">
        <v>1621</v>
      </c>
      <c r="J58" s="404" t="s">
        <v>1622</v>
      </c>
      <c r="K58" s="403" t="s">
        <v>1623</v>
      </c>
      <c r="L58" s="404" t="s">
        <v>1624</v>
      </c>
      <c r="M58" s="403" t="s">
        <v>1625</v>
      </c>
      <c r="N58" s="404" t="s">
        <v>1626</v>
      </c>
      <c r="O58" s="403" t="s">
        <v>1627</v>
      </c>
      <c r="P58" s="404" t="s">
        <v>1628</v>
      </c>
      <c r="Q58" s="403" t="s">
        <v>1629</v>
      </c>
      <c r="R58" s="404" t="s">
        <v>1630</v>
      </c>
      <c r="S58" s="403" t="s">
        <v>1631</v>
      </c>
      <c r="T58" s="404" t="s">
        <v>1632</v>
      </c>
      <c r="U58" s="403" t="s">
        <v>1633</v>
      </c>
      <c r="V58" s="404" t="s">
        <v>1634</v>
      </c>
      <c r="W58" s="403" t="s">
        <v>1635</v>
      </c>
      <c r="X58" s="404" t="s">
        <v>1636</v>
      </c>
      <c r="Y58" s="403" t="s">
        <v>1637</v>
      </c>
      <c r="Z58" s="404" t="s">
        <v>1638</v>
      </c>
      <c r="AA58" s="403" t="s">
        <v>1639</v>
      </c>
      <c r="AB58" s="404" t="s">
        <v>1640</v>
      </c>
      <c r="AC58" s="403" t="s">
        <v>1641</v>
      </c>
      <c r="AD58" s="404" t="s">
        <v>1642</v>
      </c>
      <c r="AE58" s="403" t="s">
        <v>1643</v>
      </c>
      <c r="AF58" s="404" t="s">
        <v>1644</v>
      </c>
      <c r="AG58" s="403" t="s">
        <v>1645</v>
      </c>
      <c r="AH58" s="404" t="s">
        <v>1646</v>
      </c>
      <c r="AI58" s="403" t="s">
        <v>1647</v>
      </c>
      <c r="AJ58" s="404" t="s">
        <v>1648</v>
      </c>
      <c r="AK58" s="403" t="s">
        <v>1649</v>
      </c>
      <c r="AL58" s="404" t="s">
        <v>1650</v>
      </c>
      <c r="AM58" s="403" t="s">
        <v>1651</v>
      </c>
      <c r="AN58" s="431" t="s">
        <v>1652</v>
      </c>
      <c r="AO58" s="662" t="s">
        <v>1653</v>
      </c>
      <c r="AP58" s="652" t="s">
        <v>1654</v>
      </c>
      <c r="AQ58" s="464" t="s">
        <v>1655</v>
      </c>
      <c r="AR58" s="404" t="s">
        <v>1656</v>
      </c>
      <c r="AS58" s="464" t="s">
        <v>1657</v>
      </c>
      <c r="AT58" s="404" t="s">
        <v>1658</v>
      </c>
      <c r="AU58" s="442" t="s">
        <v>1659</v>
      </c>
      <c r="AV58" s="442" t="s">
        <v>1660</v>
      </c>
      <c r="AW58" s="442" t="s">
        <v>1661</v>
      </c>
      <c r="AX58" s="442" t="s">
        <v>1662</v>
      </c>
      <c r="AY58" s="442" t="s">
        <v>1663</v>
      </c>
      <c r="AZ58" s="1056" t="str">
        <f>CB58&amp;CC58&amp;CD58&amp;CE58&amp;CF58&amp;CG58&amp;CH58&amp;CI58&amp;CJ58&amp;CK58&amp;CL58</f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8" s="191" t="str">
        <f t="shared" si="71"/>
        <v xml:space="preserve"> * La variable Gestante no puede ser Mayor al Total Mujeres.</v>
      </c>
      <c r="CC58" s="191" t="str">
        <f t="shared" si="72"/>
        <v xml:space="preserve"> * La variable Madre de hijo menor de 5 años no puede ser Mayor al Total Mujeres.</v>
      </c>
      <c r="CD58" s="191" t="str">
        <f t="shared" si="93"/>
        <v xml:space="preserve"> * La variable Pueblos Originarios Hombres no puede ser Mayor al Total Hombres.</v>
      </c>
      <c r="CE58" s="191" t="str">
        <f t="shared" si="94"/>
        <v xml:space="preserve"> * La variable Pueblos Originarios Mujeres no puede ser Mayor al Total Mujeres.</v>
      </c>
      <c r="CF58" s="191" t="str">
        <f t="shared" si="95"/>
        <v xml:space="preserve"> * La variable Migrantes Hombres no puede ser Mayor al Total Hombres.</v>
      </c>
      <c r="CG58" s="191" t="str">
        <f t="shared" si="96"/>
        <v xml:space="preserve"> * La variable Migrantes Mujeres no puede ser Mayor al Total Mujeres.</v>
      </c>
      <c r="CH58" s="191" t="str">
        <f t="shared" si="80"/>
        <v xml:space="preserve"> * La variable Niños, Niñas, Adolescentes y Jóvenes SENAME no puede ser Mayor al Total ambos sexos.</v>
      </c>
      <c r="CI58" s="191" t="str">
        <f t="shared" si="81"/>
        <v xml:space="preserve"> * La variable Niños y niñas Mejor Niñez no puede ser Mayor al Total ambos sexos.</v>
      </c>
      <c r="CJ58" s="191" t="str">
        <f t="shared" si="90"/>
        <v xml:space="preserve">* La variable Plan Cuidado Integral Elaborado debe ser menor o igual al Total de Personas en control. </v>
      </c>
      <c r="CK58" s="191" t="str">
        <f t="shared" si="91"/>
        <v xml:space="preserve"> * La variable Trans Masculino no debe ser mayor al Total Mujeres.</v>
      </c>
      <c r="CL58" s="191" t="str">
        <f t="shared" si="92"/>
        <v xml:space="preserve"> * La variable Trans Femenino no debe ser mayor al Total Hombre.</v>
      </c>
      <c r="CO58" s="1047">
        <f t="shared" si="78"/>
        <v>1</v>
      </c>
      <c r="CP58" s="1047">
        <f t="shared" si="79"/>
        <v>1</v>
      </c>
      <c r="CQ58" s="1047">
        <f t="shared" si="64"/>
        <v>1</v>
      </c>
      <c r="CR58" s="1047">
        <f t="shared" si="65"/>
        <v>1</v>
      </c>
      <c r="CS58" s="1047">
        <f t="shared" si="66"/>
        <v>1</v>
      </c>
      <c r="CT58" s="1047">
        <f t="shared" si="67"/>
        <v>1</v>
      </c>
      <c r="CU58" s="1047">
        <f t="shared" si="68"/>
        <v>1</v>
      </c>
      <c r="CV58" s="1047">
        <f t="shared" si="69"/>
        <v>1</v>
      </c>
      <c r="CW58" s="1047">
        <f t="shared" si="70"/>
        <v>1</v>
      </c>
      <c r="CX58" s="1047">
        <f t="shared" si="34"/>
        <v>1</v>
      </c>
      <c r="CY58" s="1047">
        <f t="shared" si="35"/>
        <v>1</v>
      </c>
      <c r="DN58" s="108"/>
      <c r="DO58" s="108"/>
      <c r="DP58" s="108"/>
      <c r="DW58" s="606"/>
    </row>
    <row r="59" spans="1:127" s="172" customFormat="1" ht="15" customHeight="1" x14ac:dyDescent="0.25">
      <c r="B59" s="1071" t="s">
        <v>676</v>
      </c>
      <c r="C59" s="1071"/>
      <c r="D59" s="230"/>
      <c r="E59" s="230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227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CB59" s="108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L59" s="108"/>
      <c r="DM59" s="108"/>
      <c r="DN59" s="108"/>
      <c r="DO59" s="108"/>
      <c r="DP59" s="108"/>
      <c r="DQ59" s="108"/>
      <c r="DR59" s="108"/>
      <c r="DS59" s="108"/>
      <c r="DT59" s="606"/>
      <c r="DU59" s="108"/>
      <c r="DW59" s="108"/>
    </row>
    <row r="60" spans="1:127" s="172" customFormat="1" ht="15" customHeight="1" x14ac:dyDescent="0.25">
      <c r="B60" s="2153" t="s">
        <v>677</v>
      </c>
      <c r="C60" s="2153" t="s">
        <v>678</v>
      </c>
      <c r="D60" s="1998" t="s">
        <v>612</v>
      </c>
      <c r="E60" s="1998"/>
      <c r="F60" s="1998"/>
      <c r="G60" s="2187" t="s">
        <v>376</v>
      </c>
      <c r="H60" s="1998"/>
      <c r="I60" s="1998"/>
      <c r="J60" s="1998"/>
      <c r="K60" s="1998"/>
      <c r="L60" s="1998"/>
      <c r="M60" s="1998"/>
      <c r="N60" s="1998"/>
      <c r="O60" s="1998"/>
      <c r="P60" s="1998"/>
      <c r="Q60" s="1998"/>
      <c r="R60" s="1998"/>
      <c r="S60" s="1998"/>
      <c r="T60" s="1998"/>
      <c r="U60" s="1998"/>
      <c r="V60" s="1998"/>
      <c r="W60" s="1998"/>
      <c r="X60" s="1998"/>
      <c r="Y60" s="1998"/>
      <c r="Z60" s="1998"/>
      <c r="AA60" s="1998"/>
      <c r="AB60" s="1998"/>
      <c r="AC60" s="1998"/>
      <c r="AD60" s="1998"/>
      <c r="AE60" s="1998"/>
      <c r="AF60" s="1998"/>
      <c r="AG60" s="1998"/>
      <c r="AH60" s="1998"/>
      <c r="AI60" s="1998"/>
      <c r="AJ60" s="1998"/>
      <c r="AK60" s="1998"/>
      <c r="AL60" s="1998"/>
      <c r="AM60" s="1998"/>
      <c r="AN60" s="199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CB60" s="108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L60" s="108"/>
      <c r="DM60" s="108"/>
      <c r="DN60" s="108"/>
      <c r="DO60" s="108"/>
      <c r="DP60" s="108"/>
      <c r="DQ60" s="108"/>
      <c r="DR60" s="108"/>
      <c r="DS60" s="108"/>
      <c r="DT60" s="606"/>
      <c r="DU60" s="108"/>
      <c r="DW60" s="108"/>
    </row>
    <row r="61" spans="1:127" s="172" customFormat="1" ht="15" customHeight="1" x14ac:dyDescent="0.25">
      <c r="B61" s="2153"/>
      <c r="C61" s="2153"/>
      <c r="D61" s="1998"/>
      <c r="E61" s="1998"/>
      <c r="F61" s="1998"/>
      <c r="G61" s="1998" t="s">
        <v>404</v>
      </c>
      <c r="H61" s="1998"/>
      <c r="I61" s="1998" t="s">
        <v>405</v>
      </c>
      <c r="J61" s="1998"/>
      <c r="K61" s="1854" t="s">
        <v>317</v>
      </c>
      <c r="L61" s="1854"/>
      <c r="M61" s="1854" t="s">
        <v>57</v>
      </c>
      <c r="N61" s="1854"/>
      <c r="O61" s="1854" t="s">
        <v>58</v>
      </c>
      <c r="P61" s="1854"/>
      <c r="Q61" s="1854" t="s">
        <v>59</v>
      </c>
      <c r="R61" s="1854"/>
      <c r="S61" s="1854" t="s">
        <v>60</v>
      </c>
      <c r="T61" s="1854"/>
      <c r="U61" s="1854" t="s">
        <v>61</v>
      </c>
      <c r="V61" s="1854"/>
      <c r="W61" s="1854" t="s">
        <v>62</v>
      </c>
      <c r="X61" s="1854"/>
      <c r="Y61" s="1854" t="s">
        <v>63</v>
      </c>
      <c r="Z61" s="1854"/>
      <c r="AA61" s="1854" t="s">
        <v>64</v>
      </c>
      <c r="AB61" s="1854"/>
      <c r="AC61" s="1854" t="s">
        <v>65</v>
      </c>
      <c r="AD61" s="1854"/>
      <c r="AE61" s="1854" t="s">
        <v>66</v>
      </c>
      <c r="AF61" s="1854"/>
      <c r="AG61" s="2190" t="s">
        <v>67</v>
      </c>
      <c r="AH61" s="2190"/>
      <c r="AI61" s="2190" t="s">
        <v>406</v>
      </c>
      <c r="AJ61" s="2190"/>
      <c r="AK61" s="2190" t="s">
        <v>407</v>
      </c>
      <c r="AL61" s="2190"/>
      <c r="AM61" s="2079" t="s">
        <v>408</v>
      </c>
      <c r="AN61" s="2079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CB61" s="108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L61" s="108"/>
      <c r="DM61" s="108"/>
      <c r="DN61" s="108"/>
      <c r="DO61" s="108"/>
      <c r="DP61" s="108"/>
      <c r="DQ61" s="108"/>
      <c r="DR61" s="108"/>
      <c r="DS61" s="108"/>
      <c r="DT61" s="606"/>
      <c r="DU61" s="108"/>
      <c r="DW61" s="108"/>
    </row>
    <row r="62" spans="1:127" s="172" customFormat="1" ht="15" customHeight="1" x14ac:dyDescent="0.25">
      <c r="B62" s="2153"/>
      <c r="C62" s="2153"/>
      <c r="D62" s="1493" t="s">
        <v>226</v>
      </c>
      <c r="E62" s="1404" t="s">
        <v>86</v>
      </c>
      <c r="F62" s="993" t="s">
        <v>227</v>
      </c>
      <c r="G62" s="1259" t="s">
        <v>86</v>
      </c>
      <c r="H62" s="993" t="s">
        <v>227</v>
      </c>
      <c r="I62" s="1259" t="s">
        <v>86</v>
      </c>
      <c r="J62" s="993" t="s">
        <v>227</v>
      </c>
      <c r="K62" s="1259" t="s">
        <v>86</v>
      </c>
      <c r="L62" s="993" t="s">
        <v>227</v>
      </c>
      <c r="M62" s="1259" t="s">
        <v>86</v>
      </c>
      <c r="N62" s="993" t="s">
        <v>227</v>
      </c>
      <c r="O62" s="1259" t="s">
        <v>86</v>
      </c>
      <c r="P62" s="993" t="s">
        <v>227</v>
      </c>
      <c r="Q62" s="1259" t="s">
        <v>86</v>
      </c>
      <c r="R62" s="993" t="s">
        <v>227</v>
      </c>
      <c r="S62" s="1259" t="s">
        <v>86</v>
      </c>
      <c r="T62" s="993" t="s">
        <v>227</v>
      </c>
      <c r="U62" s="1259" t="s">
        <v>86</v>
      </c>
      <c r="V62" s="993" t="s">
        <v>227</v>
      </c>
      <c r="W62" s="1259" t="s">
        <v>86</v>
      </c>
      <c r="X62" s="993" t="s">
        <v>227</v>
      </c>
      <c r="Y62" s="1259" t="s">
        <v>86</v>
      </c>
      <c r="Z62" s="993" t="s">
        <v>227</v>
      </c>
      <c r="AA62" s="1259" t="s">
        <v>86</v>
      </c>
      <c r="AB62" s="993" t="s">
        <v>227</v>
      </c>
      <c r="AC62" s="1259" t="s">
        <v>86</v>
      </c>
      <c r="AD62" s="993" t="s">
        <v>227</v>
      </c>
      <c r="AE62" s="1259" t="s">
        <v>86</v>
      </c>
      <c r="AF62" s="993" t="s">
        <v>227</v>
      </c>
      <c r="AG62" s="1259" t="s">
        <v>86</v>
      </c>
      <c r="AH62" s="993" t="s">
        <v>227</v>
      </c>
      <c r="AI62" s="1259" t="s">
        <v>86</v>
      </c>
      <c r="AJ62" s="993" t="s">
        <v>227</v>
      </c>
      <c r="AK62" s="1259" t="s">
        <v>86</v>
      </c>
      <c r="AL62" s="993" t="s">
        <v>227</v>
      </c>
      <c r="AM62" s="1259" t="s">
        <v>86</v>
      </c>
      <c r="AN62" s="993" t="s">
        <v>227</v>
      </c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CB62" s="108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L62" s="108"/>
      <c r="DM62" s="108"/>
      <c r="DN62" s="108"/>
      <c r="DO62" s="108"/>
      <c r="DP62" s="108"/>
      <c r="DQ62" s="108"/>
      <c r="DR62" s="108"/>
      <c r="DS62" s="108"/>
      <c r="DT62" s="606"/>
      <c r="DU62" s="108"/>
      <c r="DW62" s="108"/>
    </row>
    <row r="63" spans="1:127" ht="15" customHeight="1" x14ac:dyDescent="0.25">
      <c r="A63" s="1585" t="s">
        <v>1369</v>
      </c>
      <c r="B63" s="1074" t="s">
        <v>679</v>
      </c>
      <c r="C63" s="1074" t="s">
        <v>628</v>
      </c>
      <c r="D63" s="1150" t="s">
        <v>1616</v>
      </c>
      <c r="E63" s="1148" t="s">
        <v>1617</v>
      </c>
      <c r="F63" s="1075" t="s">
        <v>1618</v>
      </c>
      <c r="G63" s="1076" t="s">
        <v>1619</v>
      </c>
      <c r="H63" s="1077" t="s">
        <v>1620</v>
      </c>
      <c r="I63" s="1076" t="s">
        <v>1621</v>
      </c>
      <c r="J63" s="1077" t="s">
        <v>1622</v>
      </c>
      <c r="K63" s="1076" t="s">
        <v>1623</v>
      </c>
      <c r="L63" s="1077" t="s">
        <v>1624</v>
      </c>
      <c r="M63" s="1076" t="s">
        <v>1625</v>
      </c>
      <c r="N63" s="1077" t="s">
        <v>1626</v>
      </c>
      <c r="O63" s="1076" t="s">
        <v>1627</v>
      </c>
      <c r="P63" s="1077" t="s">
        <v>1628</v>
      </c>
      <c r="Q63" s="1076" t="s">
        <v>1629</v>
      </c>
      <c r="R63" s="1077" t="s">
        <v>1630</v>
      </c>
      <c r="S63" s="1076" t="s">
        <v>1631</v>
      </c>
      <c r="T63" s="1077" t="s">
        <v>1632</v>
      </c>
      <c r="U63" s="1076" t="s">
        <v>1633</v>
      </c>
      <c r="V63" s="1077" t="s">
        <v>1634</v>
      </c>
      <c r="W63" s="1076" t="s">
        <v>1635</v>
      </c>
      <c r="X63" s="1077" t="s">
        <v>1636</v>
      </c>
      <c r="Y63" s="1076" t="s">
        <v>1637</v>
      </c>
      <c r="Z63" s="1077" t="s">
        <v>1638</v>
      </c>
      <c r="AA63" s="1076" t="s">
        <v>1639</v>
      </c>
      <c r="AB63" s="1077" t="s">
        <v>1640</v>
      </c>
      <c r="AC63" s="1076" t="s">
        <v>1641</v>
      </c>
      <c r="AD63" s="1077" t="s">
        <v>1642</v>
      </c>
      <c r="AE63" s="1076" t="s">
        <v>1643</v>
      </c>
      <c r="AF63" s="1077" t="s">
        <v>1644</v>
      </c>
      <c r="AG63" s="1076" t="s">
        <v>1645</v>
      </c>
      <c r="AH63" s="1077" t="s">
        <v>1646</v>
      </c>
      <c r="AI63" s="1076" t="s">
        <v>1647</v>
      </c>
      <c r="AJ63" s="1077" t="s">
        <v>1648</v>
      </c>
      <c r="AK63" s="1076" t="s">
        <v>1649</v>
      </c>
      <c r="AL63" s="1077" t="s">
        <v>1650</v>
      </c>
      <c r="AM63" s="1076" t="s">
        <v>1651</v>
      </c>
      <c r="AN63" s="1078" t="s">
        <v>1652</v>
      </c>
      <c r="AO63" s="220"/>
      <c r="CB63" s="108"/>
      <c r="CU63" s="108"/>
      <c r="CV63" s="108"/>
      <c r="CW63" s="108"/>
      <c r="DN63" s="108"/>
      <c r="DO63" s="108"/>
      <c r="DP63" s="108"/>
      <c r="DQ63" s="606"/>
      <c r="DR63" s="606"/>
      <c r="DS63" s="606"/>
      <c r="DT63" s="606"/>
    </row>
    <row r="64" spans="1:127" s="95" customFormat="1" ht="15" customHeight="1" x14ac:dyDescent="0.25">
      <c r="A64" s="1585" t="s">
        <v>1370</v>
      </c>
      <c r="B64" s="1079" t="s">
        <v>680</v>
      </c>
      <c r="C64" s="1079" t="s">
        <v>628</v>
      </c>
      <c r="D64" s="1151" t="s">
        <v>1616</v>
      </c>
      <c r="E64" s="1149" t="s">
        <v>1617</v>
      </c>
      <c r="F64" s="1080" t="s">
        <v>1618</v>
      </c>
      <c r="G64" s="1081" t="s">
        <v>1619</v>
      </c>
      <c r="H64" s="1082" t="s">
        <v>1620</v>
      </c>
      <c r="I64" s="1081" t="s">
        <v>1621</v>
      </c>
      <c r="J64" s="1082" t="s">
        <v>1622</v>
      </c>
      <c r="K64" s="1081" t="s">
        <v>1623</v>
      </c>
      <c r="L64" s="1082" t="s">
        <v>1624</v>
      </c>
      <c r="M64" s="1081" t="s">
        <v>1625</v>
      </c>
      <c r="N64" s="1082" t="s">
        <v>1626</v>
      </c>
      <c r="O64" s="1081" t="s">
        <v>1627</v>
      </c>
      <c r="P64" s="1082" t="s">
        <v>1628</v>
      </c>
      <c r="Q64" s="1081" t="s">
        <v>1629</v>
      </c>
      <c r="R64" s="1082" t="s">
        <v>1630</v>
      </c>
      <c r="S64" s="1081" t="s">
        <v>1631</v>
      </c>
      <c r="T64" s="1082" t="s">
        <v>1632</v>
      </c>
      <c r="U64" s="1081" t="s">
        <v>1633</v>
      </c>
      <c r="V64" s="1082" t="s">
        <v>1634</v>
      </c>
      <c r="W64" s="1081" t="s">
        <v>1635</v>
      </c>
      <c r="X64" s="1082" t="s">
        <v>1636</v>
      </c>
      <c r="Y64" s="1081" t="s">
        <v>1637</v>
      </c>
      <c r="Z64" s="1082" t="s">
        <v>1638</v>
      </c>
      <c r="AA64" s="1081" t="s">
        <v>1639</v>
      </c>
      <c r="AB64" s="1082" t="s">
        <v>1640</v>
      </c>
      <c r="AC64" s="1081" t="s">
        <v>1641</v>
      </c>
      <c r="AD64" s="1082" t="s">
        <v>1642</v>
      </c>
      <c r="AE64" s="1081" t="s">
        <v>1643</v>
      </c>
      <c r="AF64" s="1082" t="s">
        <v>1644</v>
      </c>
      <c r="AG64" s="1081" t="s">
        <v>1645</v>
      </c>
      <c r="AH64" s="1082" t="s">
        <v>1646</v>
      </c>
      <c r="AI64" s="1081" t="s">
        <v>1647</v>
      </c>
      <c r="AJ64" s="1082" t="s">
        <v>1648</v>
      </c>
      <c r="AK64" s="1081" t="s">
        <v>1649</v>
      </c>
      <c r="AL64" s="1082" t="s">
        <v>1650</v>
      </c>
      <c r="AM64" s="1081" t="s">
        <v>1651</v>
      </c>
      <c r="AN64" s="1083" t="s">
        <v>1652</v>
      </c>
      <c r="AO64" s="220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CW64" s="108"/>
      <c r="CX64" s="108"/>
      <c r="CY64" s="108"/>
      <c r="DT64" s="606"/>
    </row>
    <row r="65" spans="1:125" s="95" customFormat="1" ht="17.100000000000001" customHeight="1" x14ac:dyDescent="0.25">
      <c r="B65" s="1070" t="s">
        <v>681</v>
      </c>
      <c r="C65" s="797"/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198"/>
      <c r="AO65" s="798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08"/>
      <c r="BA65" s="108"/>
      <c r="BB65" s="108"/>
      <c r="BC65" s="108"/>
      <c r="CB65" s="108"/>
      <c r="CC65" s="108"/>
      <c r="CD65" s="108"/>
      <c r="CE65" s="108"/>
      <c r="CF65" s="108"/>
      <c r="CG65" s="108"/>
      <c r="CH65" s="108"/>
      <c r="CI65" s="108"/>
      <c r="CJ65" s="108"/>
      <c r="CK65" s="108"/>
      <c r="CL65" s="108"/>
      <c r="CM65" s="108"/>
      <c r="CN65" s="108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L65" s="108"/>
      <c r="DM65" s="108"/>
      <c r="DN65" s="108"/>
      <c r="DO65" s="108"/>
      <c r="DP65" s="108"/>
      <c r="DT65" s="606"/>
    </row>
    <row r="66" spans="1:125" s="95" customFormat="1" ht="15" customHeight="1" x14ac:dyDescent="0.25">
      <c r="A66" s="1609"/>
      <c r="B66" s="2132" t="s">
        <v>445</v>
      </c>
      <c r="C66" s="2133"/>
      <c r="D66" s="2157" t="s">
        <v>49</v>
      </c>
      <c r="E66" s="2158"/>
      <c r="F66" s="2159"/>
      <c r="G66" s="2128" t="s">
        <v>376</v>
      </c>
      <c r="H66" s="1945"/>
      <c r="I66" s="1945"/>
      <c r="J66" s="1945"/>
      <c r="K66" s="1945"/>
      <c r="L66" s="1945"/>
      <c r="M66" s="1945"/>
      <c r="N66" s="1945"/>
      <c r="O66" s="1945"/>
      <c r="P66" s="2129"/>
      <c r="Q66" s="2191" t="s">
        <v>576</v>
      </c>
      <c r="R66" s="2192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198"/>
      <c r="AO66" s="798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08"/>
      <c r="BA66" s="108"/>
      <c r="BB66" s="108"/>
      <c r="BC66" s="108"/>
      <c r="CB66" s="108"/>
      <c r="CC66" s="108"/>
      <c r="CD66" s="108"/>
      <c r="CE66" s="108"/>
      <c r="CF66" s="108"/>
      <c r="CG66" s="108"/>
      <c r="CH66" s="108"/>
      <c r="CI66" s="108"/>
      <c r="CJ66" s="108"/>
      <c r="CK66" s="184"/>
      <c r="CL66" s="184"/>
      <c r="CM66" s="108"/>
      <c r="CN66" s="108"/>
      <c r="CO66" s="22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38"/>
      <c r="DL66" s="108"/>
      <c r="DM66" s="108"/>
      <c r="DN66" s="108"/>
      <c r="DO66" s="108"/>
      <c r="DP66" s="108"/>
      <c r="DT66" s="606"/>
    </row>
    <row r="67" spans="1:125" s="95" customFormat="1" ht="15" customHeight="1" x14ac:dyDescent="0.25">
      <c r="A67" s="1609"/>
      <c r="B67" s="2134"/>
      <c r="C67" s="2135"/>
      <c r="D67" s="2160"/>
      <c r="E67" s="2161"/>
      <c r="F67" s="2162"/>
      <c r="G67" s="1998" t="s">
        <v>404</v>
      </c>
      <c r="H67" s="1998"/>
      <c r="I67" s="1998" t="s">
        <v>405</v>
      </c>
      <c r="J67" s="1998"/>
      <c r="K67" s="1854" t="s">
        <v>317</v>
      </c>
      <c r="L67" s="1854"/>
      <c r="M67" s="1854" t="s">
        <v>57</v>
      </c>
      <c r="N67" s="1854"/>
      <c r="O67" s="1854" t="s">
        <v>58</v>
      </c>
      <c r="P67" s="1854"/>
      <c r="Q67" s="2193"/>
      <c r="R67" s="2194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198"/>
      <c r="AO67" s="798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08"/>
      <c r="BA67" s="108"/>
      <c r="BB67" s="108"/>
      <c r="BC67" s="108"/>
      <c r="CB67" s="108"/>
      <c r="CC67" s="108"/>
      <c r="CD67" s="38"/>
      <c r="CE67" s="38"/>
      <c r="CF67" s="184"/>
      <c r="CG67" s="184"/>
      <c r="CH67" s="108"/>
      <c r="CI67" s="108"/>
      <c r="CJ67" s="108"/>
      <c r="CK67" s="108"/>
      <c r="CL67" s="108"/>
      <c r="CM67" s="108"/>
      <c r="CN67" s="108"/>
      <c r="CO67" s="38"/>
      <c r="CP67" s="108"/>
      <c r="CQ67" s="108"/>
      <c r="CR67" s="108"/>
      <c r="CS67" s="108"/>
      <c r="CT67" s="184"/>
      <c r="CU67" s="184"/>
      <c r="CV67" s="108"/>
      <c r="CW67" s="108"/>
      <c r="CX67" s="108"/>
      <c r="CY67" s="108"/>
      <c r="CZ67" s="38"/>
      <c r="DL67" s="108"/>
      <c r="DM67" s="108"/>
      <c r="DN67" s="108"/>
      <c r="DO67" s="108"/>
      <c r="DP67" s="184"/>
      <c r="DT67" s="606"/>
    </row>
    <row r="68" spans="1:125" s="36" customFormat="1" ht="15" customHeight="1" x14ac:dyDescent="0.25">
      <c r="A68" s="1610"/>
      <c r="B68" s="2136"/>
      <c r="C68" s="2137"/>
      <c r="D68" s="1493" t="s">
        <v>489</v>
      </c>
      <c r="E68" s="1404" t="s">
        <v>86</v>
      </c>
      <c r="F68" s="993" t="s">
        <v>227</v>
      </c>
      <c r="G68" s="1259" t="s">
        <v>86</v>
      </c>
      <c r="H68" s="993" t="s">
        <v>227</v>
      </c>
      <c r="I68" s="1259" t="s">
        <v>86</v>
      </c>
      <c r="J68" s="993" t="s">
        <v>227</v>
      </c>
      <c r="K68" s="1259" t="s">
        <v>86</v>
      </c>
      <c r="L68" s="993" t="s">
        <v>227</v>
      </c>
      <c r="M68" s="1259" t="s">
        <v>86</v>
      </c>
      <c r="N68" s="993" t="s">
        <v>227</v>
      </c>
      <c r="O68" s="1259" t="s">
        <v>86</v>
      </c>
      <c r="P68" s="593" t="s">
        <v>227</v>
      </c>
      <c r="Q68" s="1508" t="s">
        <v>86</v>
      </c>
      <c r="R68" s="1281" t="s">
        <v>227</v>
      </c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198"/>
      <c r="AO68" s="798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10"/>
      <c r="BA68" s="110"/>
      <c r="BB68" s="110"/>
      <c r="BC68" s="110"/>
      <c r="CB68" s="108"/>
      <c r="CC68" s="108"/>
      <c r="CD68" s="108"/>
      <c r="CE68" s="108"/>
      <c r="CF68" s="38"/>
      <c r="CG68" s="38"/>
      <c r="CH68" s="108"/>
      <c r="CI68" s="108"/>
      <c r="CJ68" s="108"/>
      <c r="CK68" s="108"/>
      <c r="CL68" s="108"/>
      <c r="CM68" s="108"/>
      <c r="CN68" s="108"/>
      <c r="CO68" s="108"/>
      <c r="CP68" s="108"/>
      <c r="CQ68" s="108"/>
      <c r="CR68" s="108"/>
      <c r="CS68" s="108"/>
      <c r="CT68" s="38"/>
      <c r="CU68" s="38"/>
      <c r="CV68" s="108"/>
      <c r="CW68" s="108"/>
      <c r="CX68" s="108"/>
      <c r="CY68" s="108"/>
      <c r="CZ68" s="108"/>
      <c r="DL68" s="108"/>
      <c r="DM68" s="108"/>
      <c r="DN68" s="108"/>
      <c r="DO68" s="108"/>
      <c r="DP68" s="38"/>
      <c r="DT68" s="606"/>
    </row>
    <row r="69" spans="1:125" s="95" customFormat="1" ht="15" customHeight="1" x14ac:dyDescent="0.25">
      <c r="A69" s="1585" t="s">
        <v>1371</v>
      </c>
      <c r="B69" s="2163" t="s">
        <v>682</v>
      </c>
      <c r="C69" s="2164"/>
      <c r="D69" s="1509" t="s">
        <v>1616</v>
      </c>
      <c r="E69" s="1510" t="s">
        <v>1617</v>
      </c>
      <c r="F69" s="1417" t="s">
        <v>1618</v>
      </c>
      <c r="G69" s="1282" t="s">
        <v>1619</v>
      </c>
      <c r="H69" s="1511" t="s">
        <v>1620</v>
      </c>
      <c r="I69" s="1282" t="s">
        <v>1621</v>
      </c>
      <c r="J69" s="1511" t="s">
        <v>1622</v>
      </c>
      <c r="K69" s="1282" t="s">
        <v>1623</v>
      </c>
      <c r="L69" s="1511" t="s">
        <v>1624</v>
      </c>
      <c r="M69" s="1282" t="s">
        <v>1625</v>
      </c>
      <c r="N69" s="1511" t="s">
        <v>1626</v>
      </c>
      <c r="O69" s="1282" t="s">
        <v>1627</v>
      </c>
      <c r="P69" s="594" t="s">
        <v>1628</v>
      </c>
      <c r="Q69" s="1511" t="s">
        <v>1629</v>
      </c>
      <c r="R69" s="1219" t="s">
        <v>1630</v>
      </c>
      <c r="S69" s="1056" t="str">
        <f>CB69&amp;CC69</f>
        <v xml:space="preserve"> * La variable Población Migrantes Hombres no debe ser mayor al Total Hombres. * La variable Población Migrantes Mujeres no debe ser mayor al Total Mujeres.</v>
      </c>
      <c r="T69" s="108"/>
      <c r="U69" s="108"/>
      <c r="V69" s="606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  <c r="BA69" s="110"/>
      <c r="BB69" s="110"/>
      <c r="BC69" s="110"/>
      <c r="CB69" s="191" t="str">
        <f>IF(AND(E69&gt;0,OR(Q69=""))," * No olvide digitar la variable Población Migrantes Hombres (Digite Cero si no tiene).",IF(Q69&gt;E69," * La variable Población Migrantes Hombres no debe ser mayor al Total Hombres.",""))</f>
        <v xml:space="preserve"> * La variable Población Migrantes Hombres no debe ser mayor al Total Hombres.</v>
      </c>
      <c r="CC69" s="191" t="str">
        <f>IF(AND(F69&gt;0,OR(R69=""))," * No olvide digitar la variable Población Migrantes Mujeres (Digite Cero si no tiene).",IF(R69&gt;F69," * La variable Población Migrantes Mujeres no debe ser mayor al Total Mujeres.",""))</f>
        <v xml:space="preserve"> * La variable Población Migrantes Mujeres no debe ser mayor al Total Mujeres.</v>
      </c>
      <c r="CD69" s="108"/>
      <c r="CE69" s="108"/>
      <c r="CH69" s="108"/>
      <c r="CI69" s="108"/>
      <c r="CJ69" s="108"/>
      <c r="CK69" s="108"/>
      <c r="CL69" s="108"/>
      <c r="CM69" s="108"/>
      <c r="CN69" s="108"/>
      <c r="CO69" s="1047">
        <f>IF(AND($E69&gt;0,OR(Q69="")),1,IF(Q69&gt;$E69,1,0))</f>
        <v>1</v>
      </c>
      <c r="CP69" s="1047">
        <f>IF(AND($F69&gt;0,OR(R69="")),1,IF(R69&gt;$F69,1,0))</f>
        <v>1</v>
      </c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L69" s="108"/>
      <c r="DM69" s="108"/>
      <c r="DS69" s="606"/>
    </row>
    <row r="70" spans="1:125" s="95" customFormat="1" ht="17.100000000000001" customHeight="1" x14ac:dyDescent="0.25">
      <c r="B70" s="1343" t="s">
        <v>683</v>
      </c>
      <c r="C70" s="1102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88"/>
      <c r="S70" s="1056"/>
      <c r="T70" s="108"/>
      <c r="U70" s="108"/>
      <c r="V70" s="606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  <c r="BA70" s="110"/>
      <c r="BB70" s="110"/>
      <c r="BC70" s="110"/>
      <c r="CB70" s="108"/>
      <c r="CC70" s="108"/>
      <c r="CD70" s="108"/>
      <c r="CE70" s="108"/>
      <c r="CH70" s="108"/>
      <c r="CI70" s="108"/>
      <c r="CJ70" s="108"/>
      <c r="CK70" s="108"/>
      <c r="CL70" s="108"/>
      <c r="CM70" s="108"/>
      <c r="CN70" s="108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L70" s="108"/>
      <c r="DM70" s="108"/>
      <c r="DS70" s="606"/>
    </row>
    <row r="71" spans="1:125" s="95" customFormat="1" ht="17.100000000000001" customHeight="1" x14ac:dyDescent="0.25">
      <c r="B71" s="2165" t="s">
        <v>684</v>
      </c>
      <c r="C71" s="2166"/>
      <c r="D71" s="2166"/>
      <c r="E71" s="2166"/>
      <c r="F71" s="2166"/>
      <c r="G71" s="2166"/>
      <c r="H71" s="2166"/>
      <c r="I71" s="2166"/>
      <c r="J71" s="2166"/>
      <c r="K71" s="2166"/>
      <c r="L71" s="2166"/>
      <c r="M71" s="2166"/>
      <c r="N71" s="2166"/>
      <c r="O71" s="2166"/>
      <c r="P71" s="2166"/>
      <c r="Q71" s="108"/>
      <c r="R71" s="108"/>
      <c r="Y71" s="34"/>
      <c r="Z71" s="108"/>
      <c r="AA71" s="108"/>
      <c r="AB71" s="108"/>
      <c r="AC71" s="34"/>
      <c r="AD71" s="113"/>
      <c r="AZ71" s="110"/>
      <c r="BA71" s="110"/>
      <c r="BB71" s="110"/>
      <c r="BC71" s="110"/>
      <c r="CB71" s="108"/>
      <c r="CC71" s="108"/>
      <c r="CD71" s="108"/>
      <c r="CE71" s="108"/>
      <c r="CF71" s="108"/>
      <c r="CG71" s="108"/>
      <c r="CH71" s="108"/>
      <c r="CI71" s="108"/>
      <c r="CJ71" s="108"/>
      <c r="CK71" s="108"/>
      <c r="CL71" s="108"/>
      <c r="CM71" s="108"/>
      <c r="CN71" s="108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L71" s="108"/>
      <c r="DM71" s="108"/>
      <c r="DN71" s="108"/>
      <c r="DO71" s="108"/>
      <c r="DS71" s="606"/>
    </row>
    <row r="72" spans="1:125" s="95" customFormat="1" ht="15" customHeight="1" x14ac:dyDescent="0.25">
      <c r="B72" s="1998" t="s">
        <v>445</v>
      </c>
      <c r="C72" s="1998"/>
      <c r="D72" s="1998" t="s">
        <v>612</v>
      </c>
      <c r="E72" s="1998"/>
      <c r="F72" s="1998"/>
      <c r="G72" s="2187" t="s">
        <v>376</v>
      </c>
      <c r="H72" s="1998"/>
      <c r="I72" s="1998"/>
      <c r="J72" s="1998"/>
      <c r="K72" s="1998"/>
      <c r="L72" s="1998"/>
      <c r="M72" s="1998"/>
      <c r="N72" s="1998"/>
      <c r="O72" s="1998"/>
      <c r="P72" s="1998"/>
      <c r="Q72" s="1998"/>
      <c r="R72" s="1998"/>
      <c r="S72" s="1998"/>
      <c r="T72" s="1998"/>
      <c r="U72" s="1998"/>
      <c r="V72" s="1998"/>
      <c r="W72" s="1998"/>
      <c r="X72" s="1998"/>
      <c r="Y72" s="1998"/>
      <c r="Z72" s="1998"/>
      <c r="AA72" s="1998"/>
      <c r="AB72" s="1998"/>
      <c r="AC72" s="1998"/>
      <c r="AD72" s="1998"/>
      <c r="AE72" s="1998"/>
      <c r="AF72" s="1998"/>
      <c r="AG72" s="1998"/>
      <c r="AH72" s="1998"/>
      <c r="AI72" s="1998"/>
      <c r="AJ72" s="1998"/>
      <c r="AK72" s="1998"/>
      <c r="AL72" s="1998"/>
      <c r="AM72" s="1998"/>
      <c r="AN72" s="1929"/>
      <c r="AO72" s="2204" t="s">
        <v>613</v>
      </c>
      <c r="AP72" s="2197" t="s">
        <v>614</v>
      </c>
      <c r="AQ72" s="2197" t="s">
        <v>51</v>
      </c>
      <c r="AR72" s="2197"/>
      <c r="AS72" s="2202" t="s">
        <v>52</v>
      </c>
      <c r="AT72" s="2192"/>
      <c r="AU72" s="2197" t="s">
        <v>615</v>
      </c>
      <c r="AV72" s="2197" t="s">
        <v>378</v>
      </c>
      <c r="AW72" s="2192" t="s">
        <v>616</v>
      </c>
      <c r="AX72" s="2195" t="s">
        <v>617</v>
      </c>
      <c r="AY72" s="2192"/>
      <c r="AZ72" s="110"/>
      <c r="BA72" s="110"/>
      <c r="BB72" s="110"/>
      <c r="BC72" s="110"/>
      <c r="CB72" s="108"/>
      <c r="CC72" s="108"/>
      <c r="CD72" s="108"/>
      <c r="CE72" s="108"/>
      <c r="CF72" s="108"/>
      <c r="CG72" s="108"/>
      <c r="CH72" s="108"/>
      <c r="CI72" s="108"/>
      <c r="CJ72" s="108"/>
      <c r="CK72" s="108"/>
      <c r="CL72" s="108"/>
      <c r="CM72" s="108"/>
      <c r="CN72" s="108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L72" s="108"/>
      <c r="DM72" s="108"/>
      <c r="DN72" s="108"/>
      <c r="DO72" s="108"/>
      <c r="DS72" s="606"/>
    </row>
    <row r="73" spans="1:125" s="95" customFormat="1" ht="15" customHeight="1" x14ac:dyDescent="0.15">
      <c r="B73" s="1998"/>
      <c r="C73" s="1998"/>
      <c r="D73" s="1998"/>
      <c r="E73" s="1998"/>
      <c r="F73" s="1998"/>
      <c r="G73" s="1930" t="s">
        <v>404</v>
      </c>
      <c r="H73" s="1929"/>
      <c r="I73" s="1998" t="s">
        <v>405</v>
      </c>
      <c r="J73" s="1929"/>
      <c r="K73" s="1937" t="s">
        <v>317</v>
      </c>
      <c r="L73" s="1853"/>
      <c r="M73" s="1937" t="s">
        <v>57</v>
      </c>
      <c r="N73" s="1853"/>
      <c r="O73" s="1937" t="s">
        <v>58</v>
      </c>
      <c r="P73" s="1853"/>
      <c r="Q73" s="1937" t="s">
        <v>59</v>
      </c>
      <c r="R73" s="1853"/>
      <c r="S73" s="1937" t="s">
        <v>60</v>
      </c>
      <c r="T73" s="1853"/>
      <c r="U73" s="1937" t="s">
        <v>61</v>
      </c>
      <c r="V73" s="1853"/>
      <c r="W73" s="1937" t="s">
        <v>62</v>
      </c>
      <c r="X73" s="1853"/>
      <c r="Y73" s="1937" t="s">
        <v>63</v>
      </c>
      <c r="Z73" s="1853"/>
      <c r="AA73" s="1937" t="s">
        <v>64</v>
      </c>
      <c r="AB73" s="1853"/>
      <c r="AC73" s="1937" t="s">
        <v>65</v>
      </c>
      <c r="AD73" s="1853"/>
      <c r="AE73" s="1937" t="s">
        <v>66</v>
      </c>
      <c r="AF73" s="1853"/>
      <c r="AG73" s="1932" t="s">
        <v>67</v>
      </c>
      <c r="AH73" s="1933"/>
      <c r="AI73" s="1932" t="s">
        <v>406</v>
      </c>
      <c r="AJ73" s="1933"/>
      <c r="AK73" s="1932" t="s">
        <v>407</v>
      </c>
      <c r="AL73" s="1933"/>
      <c r="AM73" s="2188" t="s">
        <v>408</v>
      </c>
      <c r="AN73" s="2189"/>
      <c r="AO73" s="2205"/>
      <c r="AP73" s="2198"/>
      <c r="AQ73" s="2199"/>
      <c r="AR73" s="2199"/>
      <c r="AS73" s="2203"/>
      <c r="AT73" s="2194"/>
      <c r="AU73" s="2198"/>
      <c r="AV73" s="2198"/>
      <c r="AW73" s="2201"/>
      <c r="AX73" s="2196"/>
      <c r="AY73" s="2194"/>
      <c r="AZ73" s="110"/>
      <c r="BA73" s="110"/>
      <c r="BB73" s="110"/>
      <c r="BC73" s="110"/>
      <c r="CB73" s="184"/>
      <c r="CC73" s="184"/>
      <c r="CD73" s="184"/>
      <c r="CE73" s="184"/>
      <c r="CF73" s="184"/>
      <c r="CG73" s="184"/>
      <c r="CH73" s="184"/>
      <c r="CI73" s="184"/>
      <c r="CJ73" s="1065"/>
      <c r="CK73" s="184"/>
      <c r="CL73" s="184"/>
      <c r="CM73" s="108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84"/>
      <c r="CZ73" s="108"/>
      <c r="DL73" s="184"/>
      <c r="DM73" s="184"/>
      <c r="DN73" s="184"/>
      <c r="DO73" s="184"/>
      <c r="DP73" s="184"/>
      <c r="DQ73" s="184"/>
      <c r="DR73" s="184"/>
      <c r="DS73" s="184"/>
      <c r="DT73" s="184"/>
      <c r="DU73" s="2053"/>
    </row>
    <row r="74" spans="1:125" s="95" customFormat="1" ht="15" customHeight="1" x14ac:dyDescent="0.15">
      <c r="B74" s="1998"/>
      <c r="C74" s="1998"/>
      <c r="D74" s="1283" t="s">
        <v>226</v>
      </c>
      <c r="E74" s="1244" t="s">
        <v>86</v>
      </c>
      <c r="F74" s="1284" t="s">
        <v>227</v>
      </c>
      <c r="G74" s="1246" t="s">
        <v>86</v>
      </c>
      <c r="H74" s="1284" t="s">
        <v>227</v>
      </c>
      <c r="I74" s="1246" t="s">
        <v>86</v>
      </c>
      <c r="J74" s="1284" t="s">
        <v>227</v>
      </c>
      <c r="K74" s="1246" t="s">
        <v>86</v>
      </c>
      <c r="L74" s="1284" t="s">
        <v>227</v>
      </c>
      <c r="M74" s="1246" t="s">
        <v>86</v>
      </c>
      <c r="N74" s="1284" t="s">
        <v>227</v>
      </c>
      <c r="O74" s="1246" t="s">
        <v>86</v>
      </c>
      <c r="P74" s="1284" t="s">
        <v>227</v>
      </c>
      <c r="Q74" s="1246" t="s">
        <v>86</v>
      </c>
      <c r="R74" s="1284" t="s">
        <v>227</v>
      </c>
      <c r="S74" s="1246" t="s">
        <v>86</v>
      </c>
      <c r="T74" s="1284" t="s">
        <v>227</v>
      </c>
      <c r="U74" s="1246" t="s">
        <v>86</v>
      </c>
      <c r="V74" s="1284" t="s">
        <v>227</v>
      </c>
      <c r="W74" s="1246" t="s">
        <v>86</v>
      </c>
      <c r="X74" s="1284" t="s">
        <v>227</v>
      </c>
      <c r="Y74" s="1246" t="s">
        <v>86</v>
      </c>
      <c r="Z74" s="1284" t="s">
        <v>227</v>
      </c>
      <c r="AA74" s="1246" t="s">
        <v>86</v>
      </c>
      <c r="AB74" s="1284" t="s">
        <v>227</v>
      </c>
      <c r="AC74" s="1246" t="s">
        <v>86</v>
      </c>
      <c r="AD74" s="1284" t="s">
        <v>227</v>
      </c>
      <c r="AE74" s="1246" t="s">
        <v>86</v>
      </c>
      <c r="AF74" s="1284" t="s">
        <v>227</v>
      </c>
      <c r="AG74" s="1285" t="s">
        <v>410</v>
      </c>
      <c r="AH74" s="1286" t="s">
        <v>227</v>
      </c>
      <c r="AI74" s="1285" t="s">
        <v>410</v>
      </c>
      <c r="AJ74" s="1286" t="s">
        <v>227</v>
      </c>
      <c r="AK74" s="1285" t="s">
        <v>410</v>
      </c>
      <c r="AL74" s="1286" t="s">
        <v>227</v>
      </c>
      <c r="AM74" s="1287" t="s">
        <v>86</v>
      </c>
      <c r="AN74" s="1288" t="s">
        <v>227</v>
      </c>
      <c r="AO74" s="2205"/>
      <c r="AP74" s="2198"/>
      <c r="AQ74" s="1289" t="s">
        <v>86</v>
      </c>
      <c r="AR74" s="1281" t="s">
        <v>227</v>
      </c>
      <c r="AS74" s="1508" t="s">
        <v>86</v>
      </c>
      <c r="AT74" s="1281" t="s">
        <v>227</v>
      </c>
      <c r="AU74" s="2199"/>
      <c r="AV74" s="2199"/>
      <c r="AW74" s="2194"/>
      <c r="AX74" s="768" t="s">
        <v>625</v>
      </c>
      <c r="AY74" s="768" t="s">
        <v>626</v>
      </c>
      <c r="AZ74" s="110"/>
      <c r="BA74" s="108"/>
      <c r="BB74" s="110"/>
      <c r="BC74" s="110"/>
      <c r="CB74" s="184"/>
      <c r="CC74" s="184"/>
      <c r="CD74" s="38"/>
      <c r="CE74" s="38"/>
      <c r="CF74" s="38"/>
      <c r="CG74" s="38"/>
      <c r="CH74" s="184"/>
      <c r="CI74" s="184"/>
      <c r="CJ74" s="1065"/>
      <c r="CK74" s="38"/>
      <c r="CL74" s="38"/>
      <c r="CM74" s="108"/>
      <c r="CN74" s="38"/>
      <c r="CO74" s="184"/>
      <c r="CP74" s="184"/>
      <c r="CQ74" s="38"/>
      <c r="CR74" s="38"/>
      <c r="CS74" s="38"/>
      <c r="CT74" s="38"/>
      <c r="CU74" s="184"/>
      <c r="CV74" s="184"/>
      <c r="CW74" s="184"/>
      <c r="CX74" s="38"/>
      <c r="CY74" s="38"/>
      <c r="CZ74" s="108"/>
      <c r="DL74" s="38"/>
      <c r="DM74" s="38"/>
      <c r="DN74" s="38"/>
      <c r="DO74" s="38"/>
      <c r="DP74" s="38"/>
      <c r="DQ74" s="38"/>
      <c r="DR74" s="38"/>
      <c r="DS74" s="184"/>
      <c r="DT74" s="184"/>
      <c r="DU74" s="2053"/>
    </row>
    <row r="75" spans="1:125" s="95" customFormat="1" ht="15" customHeight="1" x14ac:dyDescent="0.25">
      <c r="A75" s="1585" t="s">
        <v>1372</v>
      </c>
      <c r="B75" s="2130" t="s">
        <v>685</v>
      </c>
      <c r="C75" s="2131"/>
      <c r="D75" s="1487" t="s">
        <v>1616</v>
      </c>
      <c r="E75" s="1488" t="s">
        <v>1617</v>
      </c>
      <c r="F75" s="460" t="s">
        <v>1618</v>
      </c>
      <c r="G75" s="1279" t="s">
        <v>1619</v>
      </c>
      <c r="H75" s="529" t="s">
        <v>1620</v>
      </c>
      <c r="I75" s="1279" t="s">
        <v>1621</v>
      </c>
      <c r="J75" s="1038" t="s">
        <v>1622</v>
      </c>
      <c r="K75" s="1279" t="s">
        <v>1623</v>
      </c>
      <c r="L75" s="529" t="s">
        <v>1624</v>
      </c>
      <c r="M75" s="1279" t="s">
        <v>1625</v>
      </c>
      <c r="N75" s="1038" t="s">
        <v>1626</v>
      </c>
      <c r="O75" s="1279" t="s">
        <v>1627</v>
      </c>
      <c r="P75" s="529" t="s">
        <v>1628</v>
      </c>
      <c r="Q75" s="1279" t="s">
        <v>1629</v>
      </c>
      <c r="R75" s="1038" t="s">
        <v>1630</v>
      </c>
      <c r="S75" s="1279" t="s">
        <v>1631</v>
      </c>
      <c r="T75" s="529" t="s">
        <v>1632</v>
      </c>
      <c r="U75" s="1279" t="s">
        <v>1633</v>
      </c>
      <c r="V75" s="1038" t="s">
        <v>1634</v>
      </c>
      <c r="W75" s="1279" t="s">
        <v>1635</v>
      </c>
      <c r="X75" s="529" t="s">
        <v>1636</v>
      </c>
      <c r="Y75" s="1279" t="s">
        <v>1637</v>
      </c>
      <c r="Z75" s="1038" t="s">
        <v>1638</v>
      </c>
      <c r="AA75" s="1279" t="s">
        <v>1639</v>
      </c>
      <c r="AB75" s="529" t="s">
        <v>1640</v>
      </c>
      <c r="AC75" s="1279" t="s">
        <v>1641</v>
      </c>
      <c r="AD75" s="1038" t="s">
        <v>1642</v>
      </c>
      <c r="AE75" s="1279" t="s">
        <v>1643</v>
      </c>
      <c r="AF75" s="529" t="s">
        <v>1644</v>
      </c>
      <c r="AG75" s="1279" t="s">
        <v>1645</v>
      </c>
      <c r="AH75" s="1038" t="s">
        <v>1646</v>
      </c>
      <c r="AI75" s="1279" t="s">
        <v>1647</v>
      </c>
      <c r="AJ75" s="529" t="s">
        <v>1648</v>
      </c>
      <c r="AK75" s="1279" t="s">
        <v>1649</v>
      </c>
      <c r="AL75" s="1038" t="s">
        <v>1650</v>
      </c>
      <c r="AM75" s="1279" t="s">
        <v>1651</v>
      </c>
      <c r="AN75" s="529" t="s">
        <v>1652</v>
      </c>
      <c r="AO75" s="667" t="s">
        <v>1653</v>
      </c>
      <c r="AP75" s="1505" t="s">
        <v>1654</v>
      </c>
      <c r="AQ75" s="1512" t="s">
        <v>1655</v>
      </c>
      <c r="AR75" s="1038" t="s">
        <v>1656</v>
      </c>
      <c r="AS75" s="1504" t="s">
        <v>1657</v>
      </c>
      <c r="AT75" s="1038" t="s">
        <v>1658</v>
      </c>
      <c r="AU75" s="1038" t="s">
        <v>1659</v>
      </c>
      <c r="AV75" s="1038" t="s">
        <v>1660</v>
      </c>
      <c r="AW75" s="1038" t="s">
        <v>1661</v>
      </c>
      <c r="AX75" s="1038" t="s">
        <v>1662</v>
      </c>
      <c r="AY75" s="1038" t="s">
        <v>1663</v>
      </c>
      <c r="AZ75" s="1056" t="str">
        <f>$CB75&amp;CC75&amp;CD75&amp;CE75&amp;CF75&amp;CG75&amp;CH75&amp;CI75&amp;CJ75&amp;CK75&amp;CL75</f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75" s="110"/>
      <c r="BB75" s="110"/>
      <c r="BC75" s="110"/>
      <c r="CB75" s="191" t="str">
        <f>IF(AND(F75&gt;0,OR(AO75=""))," * No olvide digitar la variable Gestantes. Digite Cero si no tiene.",IF(AO75&gt;F75," * La variable Gestantes no puede ser Mayor al Total Mujeres.",""))</f>
        <v xml:space="preserve"> * La variable Gestantes no puede ser Mayor al Total Mujeres.</v>
      </c>
      <c r="CC75" s="191" t="str">
        <f>IF(AND(F75&gt;0,OR(AP75=""))," * No olvide digitar la variable Madre de hijo menor de 5 años. Digite Cero si no tiene.",IF(AP75&gt;F75," * La variable Madre de hijo menor de 5 años no puede ser Mayor al Total Mujeres.",""))</f>
        <v xml:space="preserve"> * La variable Madre de hijo menor de 5 años no puede ser Mayor al Total Mujeres.</v>
      </c>
      <c r="CD75" s="191" t="str">
        <f>IF(AND(E75&gt;0,OR(AQ75=""))," * No olvide digitar la variable Pueblos Originarios Hombres. Digite Cero si no tiene.",IF(AQ75&gt;E75," * La variable Pueblos Originarios Hombres no puede ser Mayor al Total Hombres.",""))</f>
        <v xml:space="preserve"> * La variable Pueblos Originarios Hombres no puede ser Mayor al Total Hombres.</v>
      </c>
      <c r="CE75" s="191" t="str">
        <f>IF(AND(F75&gt;0,OR(AR75=""))," * No olvide digitar la variable Pueblos Originarios Mujeres. Digite Cero si no tiene.",IF(AR75&gt;F75," * La variable Pueblos Originarios Mujeres no puede ser Mayor al Total Mujeres.",""))</f>
        <v xml:space="preserve"> * La variable Pueblos Originarios Mujeres no puede ser Mayor al Total Mujeres.</v>
      </c>
      <c r="CF75" s="191" t="str">
        <f>IF(AND($E75&gt;0,OR(AS75=""))," * No olvide digitar la variable Migrantes Hombres. Digite Cero si no tiene.",IF(AS75&gt;$E75," * La variable Migrantes Hombres no puede ser Mayor al Total Hombres.",""))</f>
        <v xml:space="preserve"> * La variable Migrantes Hombres no puede ser Mayor al Total Hombres.</v>
      </c>
      <c r="CG75" s="191" t="str">
        <f>IF(AND($F75&gt;0,OR(AT75=""))," * No olvide digitar la variable Migrantes Mujeres. Digite Cero si no tiene.",IF(AT75&gt;$F75," * La variable Migrantes Mujeres no puede ser Mayor al Total Mujeres.",""))</f>
        <v xml:space="preserve"> * La variable Migrantes Mujeres no puede ser Mayor al Total Mujeres.</v>
      </c>
      <c r="CH75" s="191" t="str">
        <f>IF(AND($D75&gt;0,OR(AU75=""))," * No olvide digitar la variable Niños, Niñas, Adolescentes y Jóvenes SENAME. Digite Cero si no tiene.",IF(AU75&gt;$D75," * La variable Niños, Niñas, Adolescentes y Jóvenes SENAME no puede ser Mayor al Total ambos sexos.",""))</f>
        <v xml:space="preserve"> * La variable Niños, Niñas, Adolescentes y Jóvenes SENAME no puede ser Mayor al Total ambos sexos.</v>
      </c>
      <c r="CI75" s="191" t="str">
        <f>IF(AND($D75&gt;0,OR(AV75=""))," * No olvide digitar la variable Niños y niñas Mejor Niñez. Digite Cero si no tiene.",IF(AV75&gt;$D75," * La variable Niños y niñas Mejor Niñez no puede ser Mayor al Total ambos sexos.",""))</f>
        <v xml:space="preserve"> * La variable Niños y niñas Mejor Niñez no puede ser Mayor al Total ambos sexos.</v>
      </c>
      <c r="CJ75" s="191" t="str">
        <f>IF(AND(D75&gt;0,OR(AW75=""))," * No olvide digitar la variable Plan Cuidado Integral Elaborado. Digite Cero si no tiene.",IF($AW75&gt;$D75,"* La variable Plan Cuidado Integral Elaborado debe ser menor o igual al Total de Personas en control. ",""))</f>
        <v xml:space="preserve">* La variable Plan Cuidado Integral Elaborado debe ser menor o igual al Total de Personas en control. </v>
      </c>
      <c r="CK75" s="191" t="str">
        <f>IF(AND(F75&gt;0,OR(AX75=""))," * No olvide digitar la variable Trans Masculino. (Digite Cero si no tiene).",IF(AX75&gt;F75," * La variable Trans Masculino no debe ser mayor al Total Mujeres.",""))</f>
        <v xml:space="preserve"> * La variable Trans Masculino no debe ser mayor al Total Mujeres.</v>
      </c>
      <c r="CL75" s="191" t="str">
        <f>IF(AND(E75&gt;0,OR(AY75=""))," * No olvide digitar la variable Trans Femenino. (Digite Cero si no tiene).",IF(AY75&gt;E75," * La variable Trans Femenino no debe ser mayor al Total Hombre.",""))</f>
        <v xml:space="preserve"> * La variable Trans Femenino no debe ser mayor al Total Hombre.</v>
      </c>
      <c r="CM75" s="108"/>
      <c r="CN75" s="108"/>
      <c r="CO75" s="1047">
        <f>IF(AND($F75&gt;0,OR(AO75="")),1,IF(AO75&gt;$F75,1,0))</f>
        <v>1</v>
      </c>
      <c r="CP75" s="1047">
        <f>IF(AND($F75&gt;0,OR(AP75="")),1,IF(AP75&gt;$F75,1,0))</f>
        <v>1</v>
      </c>
      <c r="CQ75" s="1047">
        <f>IF(AND($E75&gt;0,OR(AQ75="")),1,IF(AQ75&gt;$E75,1,0))</f>
        <v>1</v>
      </c>
      <c r="CR75" s="1047">
        <f>IF(AND($F75&gt;0,OR(AR75="")),1,IF(AR75&gt;$F75,1,0))</f>
        <v>1</v>
      </c>
      <c r="CS75" s="1047">
        <f>IF(AND($E75&gt;0,OR(AS75="")),1,IF(AS75&gt;$E75,1,0))</f>
        <v>1</v>
      </c>
      <c r="CT75" s="1047">
        <f>IF(AND($F75&gt;0,OR(AT75="")),1,IF(AT75&gt;$F75,1,0))</f>
        <v>1</v>
      </c>
      <c r="CU75" s="1047">
        <f>IF(AND($D75&gt;0,OR(AU75="")),1,IF(AU75&gt;$D75,1,0))</f>
        <v>1</v>
      </c>
      <c r="CV75" s="1047">
        <f>IF(AND($D75&gt;0,OR(AV75="")),1,IF(AV75&gt;$D75,1,0))</f>
        <v>1</v>
      </c>
      <c r="CW75" s="1047">
        <f>IF(AND($D75&gt;0,OR(AW75="")),1,IF(AW75&gt;$D75,1,0))</f>
        <v>1</v>
      </c>
      <c r="CX75" s="1047">
        <f>IF(AND(F75&gt;0,OR(AX75="")),1,IF(AX75&gt;$F75,1,0))</f>
        <v>1</v>
      </c>
      <c r="CY75" s="1047">
        <f>IF(AND(E75&gt;0,OR(AY75="")),1,IF(AY75&gt;$E75,1,0))</f>
        <v>1</v>
      </c>
      <c r="CZ75" s="108"/>
      <c r="DL75" s="108"/>
      <c r="DM75" s="108"/>
      <c r="DN75" s="108"/>
      <c r="DO75" s="108"/>
      <c r="DP75" s="108"/>
      <c r="DQ75" s="108"/>
      <c r="DR75" s="108"/>
      <c r="DS75" s="108"/>
      <c r="DT75" s="108"/>
      <c r="DU75" s="108"/>
    </row>
    <row r="76" spans="1:125" s="95" customFormat="1" ht="15" customHeight="1" x14ac:dyDescent="0.25">
      <c r="A76" s="1611"/>
      <c r="B76" s="2130" t="s">
        <v>629</v>
      </c>
      <c r="C76" s="2131"/>
      <c r="D76" s="860"/>
      <c r="E76" s="884"/>
      <c r="F76" s="1153"/>
      <c r="G76" s="433"/>
      <c r="H76" s="434"/>
      <c r="I76" s="433"/>
      <c r="J76" s="434"/>
      <c r="K76" s="433"/>
      <c r="L76" s="434"/>
      <c r="M76" s="433"/>
      <c r="N76" s="434"/>
      <c r="O76" s="433"/>
      <c r="P76" s="434"/>
      <c r="Q76" s="433"/>
      <c r="R76" s="434"/>
      <c r="S76" s="433"/>
      <c r="T76" s="434"/>
      <c r="U76" s="433"/>
      <c r="V76" s="434"/>
      <c r="W76" s="433"/>
      <c r="X76" s="434"/>
      <c r="Y76" s="433"/>
      <c r="Z76" s="434"/>
      <c r="AA76" s="433"/>
      <c r="AB76" s="434"/>
      <c r="AC76" s="433"/>
      <c r="AD76" s="434"/>
      <c r="AE76" s="433"/>
      <c r="AF76" s="434"/>
      <c r="AG76" s="433"/>
      <c r="AH76" s="434"/>
      <c r="AI76" s="433"/>
      <c r="AJ76" s="434"/>
      <c r="AK76" s="433"/>
      <c r="AL76" s="434"/>
      <c r="AM76" s="433"/>
      <c r="AN76" s="1153"/>
      <c r="AO76" s="1573"/>
      <c r="AP76" s="860"/>
      <c r="AQ76" s="433"/>
      <c r="AR76" s="435"/>
      <c r="AS76" s="884"/>
      <c r="AT76" s="434"/>
      <c r="AU76" s="434"/>
      <c r="AV76" s="434"/>
      <c r="AW76" s="434"/>
      <c r="AX76" s="434"/>
      <c r="AY76" s="434"/>
      <c r="AZ76" s="1056"/>
      <c r="BA76" s="110"/>
      <c r="BB76" s="110"/>
      <c r="BC76" s="110"/>
      <c r="CB76" s="1086"/>
      <c r="CC76" s="1086"/>
      <c r="CD76" s="1086"/>
      <c r="CE76" s="1086"/>
      <c r="CF76" s="1086"/>
      <c r="CG76" s="1086"/>
      <c r="CH76" s="1086"/>
      <c r="CI76" s="1086"/>
      <c r="CJ76" s="1087"/>
      <c r="CK76" s="1086"/>
      <c r="CL76" s="1086"/>
      <c r="CM76" s="108"/>
      <c r="CN76" s="108"/>
      <c r="CO76" s="1086"/>
      <c r="CP76" s="1086"/>
      <c r="CQ76" s="1086"/>
      <c r="CR76" s="1086"/>
      <c r="CS76" s="1086"/>
      <c r="CT76" s="1086"/>
      <c r="CU76" s="1086"/>
      <c r="CV76" s="1086"/>
      <c r="CW76" s="1086"/>
      <c r="CX76" s="1086"/>
      <c r="CY76" s="1086"/>
      <c r="CZ76" s="108"/>
      <c r="DL76" s="108"/>
      <c r="DM76" s="108"/>
      <c r="DN76" s="108"/>
      <c r="DO76" s="108"/>
      <c r="DP76" s="108"/>
      <c r="DQ76" s="108"/>
      <c r="DR76" s="108"/>
    </row>
    <row r="77" spans="1:125" s="95" customFormat="1" ht="15" customHeight="1" x14ac:dyDescent="0.25">
      <c r="A77" s="1593" t="s">
        <v>1373</v>
      </c>
      <c r="B77" s="2125" t="s">
        <v>686</v>
      </c>
      <c r="C77" s="111" t="s">
        <v>631</v>
      </c>
      <c r="D77" s="1145" t="s">
        <v>1616</v>
      </c>
      <c r="E77" s="392" t="s">
        <v>1617</v>
      </c>
      <c r="F77" s="539" t="s">
        <v>1618</v>
      </c>
      <c r="G77" s="394" t="s">
        <v>1619</v>
      </c>
      <c r="H77" s="395" t="s">
        <v>1620</v>
      </c>
      <c r="I77" s="394" t="s">
        <v>1621</v>
      </c>
      <c r="J77" s="395" t="s">
        <v>1622</v>
      </c>
      <c r="K77" s="394" t="s">
        <v>1623</v>
      </c>
      <c r="L77" s="395" t="s">
        <v>1624</v>
      </c>
      <c r="M77" s="394" t="s">
        <v>1625</v>
      </c>
      <c r="N77" s="395" t="s">
        <v>1626</v>
      </c>
      <c r="O77" s="394" t="s">
        <v>1627</v>
      </c>
      <c r="P77" s="395" t="s">
        <v>1628</v>
      </c>
      <c r="Q77" s="394" t="s">
        <v>1629</v>
      </c>
      <c r="R77" s="395" t="s">
        <v>1630</v>
      </c>
      <c r="S77" s="394" t="s">
        <v>1631</v>
      </c>
      <c r="T77" s="395" t="s">
        <v>1632</v>
      </c>
      <c r="U77" s="394" t="s">
        <v>1633</v>
      </c>
      <c r="V77" s="395" t="s">
        <v>1634</v>
      </c>
      <c r="W77" s="394" t="s">
        <v>1635</v>
      </c>
      <c r="X77" s="395" t="s">
        <v>1636</v>
      </c>
      <c r="Y77" s="394" t="s">
        <v>1637</v>
      </c>
      <c r="Z77" s="395" t="s">
        <v>1638</v>
      </c>
      <c r="AA77" s="394" t="s">
        <v>1639</v>
      </c>
      <c r="AB77" s="395" t="s">
        <v>1640</v>
      </c>
      <c r="AC77" s="394" t="s">
        <v>1641</v>
      </c>
      <c r="AD77" s="395" t="s">
        <v>1642</v>
      </c>
      <c r="AE77" s="394" t="s">
        <v>1643</v>
      </c>
      <c r="AF77" s="395" t="s">
        <v>1644</v>
      </c>
      <c r="AG77" s="394" t="s">
        <v>1645</v>
      </c>
      <c r="AH77" s="395" t="s">
        <v>1646</v>
      </c>
      <c r="AI77" s="394" t="s">
        <v>1647</v>
      </c>
      <c r="AJ77" s="395" t="s">
        <v>1648</v>
      </c>
      <c r="AK77" s="394" t="s">
        <v>1649</v>
      </c>
      <c r="AL77" s="395" t="s">
        <v>1650</v>
      </c>
      <c r="AM77" s="394" t="s">
        <v>1651</v>
      </c>
      <c r="AN77" s="543" t="s">
        <v>1652</v>
      </c>
      <c r="AO77" s="648" t="s">
        <v>1653</v>
      </c>
      <c r="AP77" s="649" t="s">
        <v>1654</v>
      </c>
      <c r="AQ77" s="394" t="s">
        <v>1655</v>
      </c>
      <c r="AR77" s="461" t="s">
        <v>1656</v>
      </c>
      <c r="AS77" s="462" t="s">
        <v>1657</v>
      </c>
      <c r="AT77" s="395" t="s">
        <v>1658</v>
      </c>
      <c r="AU77" s="395" t="s">
        <v>1659</v>
      </c>
      <c r="AV77" s="395" t="s">
        <v>1660</v>
      </c>
      <c r="AW77" s="395" t="s">
        <v>1661</v>
      </c>
      <c r="AX77" s="395" t="s">
        <v>1662</v>
      </c>
      <c r="AY77" s="395" t="s">
        <v>1663</v>
      </c>
      <c r="AZ77" s="1056" t="str">
        <f t="shared" ref="AZ77:AZ120" si="97">$CB77&amp;CC77&amp;CD77&amp;CE77&amp;CF77&amp;CG77&amp;CH77&amp;CI77&amp;CJ77&amp;CK77&amp;CL77</f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77" s="110"/>
      <c r="BB77" s="110"/>
      <c r="BC77" s="110"/>
      <c r="CB77" s="191" t="str">
        <f t="shared" ref="CB77:CB89" si="98">IF(AND(F77&gt;0,OR(AO77=""))," * No olvide digitar la variable Gestantes. Digite Cero si no tiene.",IF(AO77&gt;F77," * La variable Gestantes no puede ser Mayor al Total Mujeres.",""))</f>
        <v xml:space="preserve"> * La variable Gestantes no puede ser Mayor al Total Mujeres.</v>
      </c>
      <c r="CC77" s="191" t="str">
        <f t="shared" ref="CC77:CC96" si="99">IF(AND(F77&gt;0,OR(AP77=""))," * No olvide digitar la variable Madre de hijo menor de 5 años. Digite Cero si no tiene.",IF(AP77&gt;F77," * La variable Madre de hijo menor de 5 años no puede ser Mayor al Total Mujeres.",""))</f>
        <v xml:space="preserve"> * La variable Madre de hijo menor de 5 años no puede ser Mayor al Total Mujeres.</v>
      </c>
      <c r="CD77" s="191" t="str">
        <f t="shared" ref="CD77:CD89" si="100">IF(AND(E77&gt;0,OR(AQ77=""))," * No olvide digitar la variable Pueblos Originarios Hombres. Digite Cero si no tiene.",IF(AQ77&gt;E77," * La variable Pueblos Originarios Hombres no puede ser Mayor al Total Hombres.",""))</f>
        <v xml:space="preserve"> * La variable Pueblos Originarios Hombres no puede ser Mayor al Total Hombres.</v>
      </c>
      <c r="CE77" s="191" t="str">
        <f t="shared" ref="CE77:CE88" si="101">IF(AND(F77&gt;0,OR(AR77=""))," * No olvide digitar la variable Pueblos Originarios Mujeres. Digite Cero si no tiene.",IF(AR77&gt;F77," * La variable Pueblos Originarios Mujeres no puede ser Mayor al Total Mujeres.",""))</f>
        <v xml:space="preserve"> * La variable Pueblos Originarios Mujeres no puede ser Mayor al Total Mujeres.</v>
      </c>
      <c r="CF77" s="191" t="str">
        <f t="shared" ref="CF77:CF89" si="102">IF(AND($E77&gt;0,OR(AS77=""))," * No olvide digitar la variable Migrantes Hombres. Digite Cero si no tiene.",IF(AS77&gt;$E77," * La variable Migrantes Hombres no puede ser Mayor al Total Hombres.",""))</f>
        <v xml:space="preserve"> * La variable Migrantes Hombres no puede ser Mayor al Total Hombres.</v>
      </c>
      <c r="CG77" s="191" t="str">
        <f t="shared" ref="CG77:CG89" si="103">IF(AND($F77&gt;0,OR(AT77=""))," * No olvide digitar la variable Migrantes Mujeres. Digite Cero si no tiene.",IF(AT77&gt;$F77," * La variable Migrantes Mujeres no puede ser Mayor al Total Mujeres.",""))</f>
        <v xml:space="preserve"> * La variable Migrantes Mujeres no puede ser Mayor al Total Mujeres.</v>
      </c>
      <c r="CH77" s="191" t="str">
        <f>IF(AND($D77&gt;0,OR(AU77=""))," * No olvide digitar la variable Niños, Niñas, Adolescentes y Jóvenes SENAME. Digite Cero si no tiene.",IF(AU77&gt;$D77," * La variable Niños, Niñas, Adolescentes y Jóvenes SENAME no puede ser Mayor al Total ambos sexos.",""))</f>
        <v xml:space="preserve"> * La variable Niños, Niñas, Adolescentes y Jóvenes SENAME no puede ser Mayor al Total ambos sexos.</v>
      </c>
      <c r="CI77" s="191" t="str">
        <f>IF(AND($D77&gt;0,OR(AV77=""))," * No olvide digitar la variable Niños y niñas Mejor Niñez. Digite Cero si no tiene.",IF(AV77&gt;$D77," * La variable Niños y niñas Mejor Niñez no puede ser Mayor al Total ambos sexos.",""))</f>
        <v xml:space="preserve"> * La variable Niños y niñas Mejor Niñez no puede ser Mayor al Total ambos sexos.</v>
      </c>
      <c r="CJ77" s="191" t="str">
        <f t="shared" ref="CJ77:CJ89" si="104">IF(AND(D77&gt;0,OR(AW77=""))," * No olvide digitar la variable Plan Cuidado Integral Elaborado. Digite Cero si no tiene.",IF($AW77&gt;$D77,"* La variable Plan Cuidado Integral Elaborado debe ser menor o igual al Total de Personas en control. ",""))</f>
        <v xml:space="preserve">* La variable Plan Cuidado Integral Elaborado debe ser menor o igual al Total de Personas en control. </v>
      </c>
      <c r="CK77" s="191" t="str">
        <f>IF(AND(F77&gt;0,OR(AX77=""))," * No olvide digitar la variable Trans Masculino. (Digite Cero si no tiene).",IF(AX77&gt;F77," * La variable Trans Masculino no debe ser mayor al Total Mujeres.",""))</f>
        <v xml:space="preserve"> * La variable Trans Masculino no debe ser mayor al Total Mujeres.</v>
      </c>
      <c r="CL77" s="191" t="str">
        <f t="shared" ref="CL77:CL89" si="105">IF(AND(E77&gt;0,OR(AY77=""))," * No olvide digitar la variable Trans Femenino. (Digite Cero si no tiene).",IF(AY77&gt;E77," * La variable Trans Femenino no debe ser mayor al Total Hombre.",""))</f>
        <v xml:space="preserve"> * La variable Trans Femenino no debe ser mayor al Total Hombre.</v>
      </c>
      <c r="CM77" s="108"/>
      <c r="CN77" s="108"/>
      <c r="CO77" s="1047">
        <f t="shared" ref="CO77:CO89" si="106">IF(AND($F77&gt;0,OR(AO77="")),1,IF(AO77&gt;$F77,1,0))</f>
        <v>1</v>
      </c>
      <c r="CP77" s="1047">
        <f t="shared" ref="CP77:CP96" si="107">IF(AND($F77&gt;0,OR(AP77="")),1,IF(AP77&gt;$F77,1,0))</f>
        <v>1</v>
      </c>
      <c r="CQ77" s="1047">
        <f t="shared" ref="CQ77:CQ89" si="108">IF(AND($E77&gt;0,OR(AQ77="")),1,IF(AQ77&gt;$E77,1,0))</f>
        <v>1</v>
      </c>
      <c r="CR77" s="1047">
        <f t="shared" ref="CR77:CR96" si="109">IF(AND($F77&gt;0,OR(AR77="")),1,IF(AR77&gt;$F77,1,0))</f>
        <v>1</v>
      </c>
      <c r="CS77" s="1047">
        <f t="shared" ref="CS77:CS89" si="110">IF(AND($E77&gt;0,OR(AS77="")),1,IF(AS77&gt;$E77,1,0))</f>
        <v>1</v>
      </c>
      <c r="CT77" s="1047">
        <f t="shared" ref="CT77:CT96" si="111">IF(AND($F77&gt;0,OR(AT77="")),1,IF(AT77&gt;$F77,1,0))</f>
        <v>1</v>
      </c>
      <c r="CU77" s="1047">
        <f t="shared" ref="CU77:CU96" si="112">IF(AND($D77&gt;0,OR(AU77="")),1,IF(AU77&gt;$D77,1,0))</f>
        <v>1</v>
      </c>
      <c r="CV77" s="1047">
        <f t="shared" ref="CV77:CV96" si="113">IF(AND($D77&gt;0,OR(AV77="")),1,IF(AV77&gt;$D77,1,0))</f>
        <v>1</v>
      </c>
      <c r="CW77" s="1047">
        <f t="shared" ref="CW77:CW96" si="114">IF(AND($D77&gt;0,OR(AW77="")),1,IF(AW77&gt;$D77,1,0))</f>
        <v>1</v>
      </c>
      <c r="CX77" s="1047">
        <f t="shared" ref="CX77:CX120" si="115">IF(AND(F77&gt;0,OR(AX77="")),1,IF(AX77&gt;$F77,1,0))</f>
        <v>1</v>
      </c>
      <c r="CY77" s="1047">
        <f t="shared" ref="CY77:CY89" si="116">IF(AND(E77&gt;0,OR(AY77="")),1,IF(AY77&gt;$E77,1,0))</f>
        <v>1</v>
      </c>
      <c r="CZ77" s="108"/>
      <c r="DL77" s="108"/>
      <c r="DM77" s="108"/>
      <c r="DN77" s="108"/>
      <c r="DO77" s="108"/>
      <c r="DP77" s="108"/>
      <c r="DQ77" s="108"/>
      <c r="DR77" s="108"/>
    </row>
    <row r="78" spans="1:125" s="95" customFormat="1" ht="15" customHeight="1" x14ac:dyDescent="0.25">
      <c r="A78" s="1593" t="s">
        <v>1374</v>
      </c>
      <c r="B78" s="2126"/>
      <c r="C78" s="112" t="s">
        <v>632</v>
      </c>
      <c r="D78" s="1142" t="s">
        <v>1616</v>
      </c>
      <c r="E78" s="387" t="s">
        <v>1617</v>
      </c>
      <c r="F78" s="531" t="s">
        <v>1618</v>
      </c>
      <c r="G78" s="417" t="s">
        <v>1619</v>
      </c>
      <c r="H78" s="418" t="s">
        <v>1620</v>
      </c>
      <c r="I78" s="417" t="s">
        <v>1621</v>
      </c>
      <c r="J78" s="418" t="s">
        <v>1622</v>
      </c>
      <c r="K78" s="417" t="s">
        <v>1623</v>
      </c>
      <c r="L78" s="418" t="s">
        <v>1624</v>
      </c>
      <c r="M78" s="417" t="s">
        <v>1625</v>
      </c>
      <c r="N78" s="418" t="s">
        <v>1626</v>
      </c>
      <c r="O78" s="417" t="s">
        <v>1627</v>
      </c>
      <c r="P78" s="418" t="s">
        <v>1628</v>
      </c>
      <c r="Q78" s="417" t="s">
        <v>1629</v>
      </c>
      <c r="R78" s="418" t="s">
        <v>1630</v>
      </c>
      <c r="S78" s="417" t="s">
        <v>1631</v>
      </c>
      <c r="T78" s="418" t="s">
        <v>1632</v>
      </c>
      <c r="U78" s="417" t="s">
        <v>1633</v>
      </c>
      <c r="V78" s="418" t="s">
        <v>1634</v>
      </c>
      <c r="W78" s="417" t="s">
        <v>1635</v>
      </c>
      <c r="X78" s="418" t="s">
        <v>1636</v>
      </c>
      <c r="Y78" s="417" t="s">
        <v>1637</v>
      </c>
      <c r="Z78" s="418" t="s">
        <v>1638</v>
      </c>
      <c r="AA78" s="417" t="s">
        <v>1639</v>
      </c>
      <c r="AB78" s="418" t="s">
        <v>1640</v>
      </c>
      <c r="AC78" s="417" t="s">
        <v>1641</v>
      </c>
      <c r="AD78" s="418" t="s">
        <v>1642</v>
      </c>
      <c r="AE78" s="417" t="s">
        <v>1643</v>
      </c>
      <c r="AF78" s="418" t="s">
        <v>1644</v>
      </c>
      <c r="AG78" s="417" t="s">
        <v>1645</v>
      </c>
      <c r="AH78" s="418" t="s">
        <v>1646</v>
      </c>
      <c r="AI78" s="417" t="s">
        <v>1647</v>
      </c>
      <c r="AJ78" s="418" t="s">
        <v>1648</v>
      </c>
      <c r="AK78" s="417" t="s">
        <v>1649</v>
      </c>
      <c r="AL78" s="418" t="s">
        <v>1650</v>
      </c>
      <c r="AM78" s="417" t="s">
        <v>1651</v>
      </c>
      <c r="AN78" s="469" t="s">
        <v>1652</v>
      </c>
      <c r="AO78" s="456" t="s">
        <v>1653</v>
      </c>
      <c r="AP78" s="655" t="s">
        <v>1654</v>
      </c>
      <c r="AQ78" s="417" t="s">
        <v>1655</v>
      </c>
      <c r="AR78" s="432" t="s">
        <v>1656</v>
      </c>
      <c r="AS78" s="468" t="s">
        <v>1657</v>
      </c>
      <c r="AT78" s="418" t="s">
        <v>1658</v>
      </c>
      <c r="AU78" s="418" t="s">
        <v>1659</v>
      </c>
      <c r="AV78" s="418" t="s">
        <v>1660</v>
      </c>
      <c r="AW78" s="418" t="s">
        <v>1661</v>
      </c>
      <c r="AX78" s="418" t="s">
        <v>1662</v>
      </c>
      <c r="AY78" s="418" t="s">
        <v>1663</v>
      </c>
      <c r="AZ78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78" s="110"/>
      <c r="BB78" s="110"/>
      <c r="BC78" s="110"/>
      <c r="CB78" s="191" t="str">
        <f t="shared" si="98"/>
        <v xml:space="preserve"> * La variable Gestantes no puede ser Mayor al Total Mujeres.</v>
      </c>
      <c r="CC78" s="191" t="str">
        <f t="shared" si="99"/>
        <v xml:space="preserve"> * La variable Madre de hijo menor de 5 años no puede ser Mayor al Total Mujeres.</v>
      </c>
      <c r="CD78" s="191" t="str">
        <f t="shared" si="100"/>
        <v xml:space="preserve"> * La variable Pueblos Originarios Hombres no puede ser Mayor al Total Hombres.</v>
      </c>
      <c r="CE78" s="191" t="str">
        <f t="shared" si="101"/>
        <v xml:space="preserve"> * La variable Pueblos Originarios Mujeres no puede ser Mayor al Total Mujeres.</v>
      </c>
      <c r="CF78" s="191" t="str">
        <f t="shared" si="102"/>
        <v xml:space="preserve"> * La variable Migrantes Hombres no puede ser Mayor al Total Hombres.</v>
      </c>
      <c r="CG78" s="191" t="str">
        <f t="shared" si="103"/>
        <v xml:space="preserve"> * La variable Migrantes Mujeres no puede ser Mayor al Total Mujeres.</v>
      </c>
      <c r="CH78" s="191" t="str">
        <f t="shared" ref="CH78:CH105" si="117">IF(AND($D78&gt;0,OR(AU78=""))," * No olvide digitar la variable Niños, Niñas, Adolescentes y Jóvenes SENAME. Digite Cero si no tiene.",IF(AU78&gt;$D78," * La variable Niños, Niñas, Adolescentes y Jóvenes SENAME no puede ser Mayor al Total ambos sexos.",""))</f>
        <v xml:space="preserve"> * La variable Niños, Niñas, Adolescentes y Jóvenes SENAME no puede ser Mayor al Total ambos sexos.</v>
      </c>
      <c r="CI78" s="191" t="str">
        <f t="shared" ref="CI78:CI105" si="118">IF(AND($D78&gt;0,OR(AV78=""))," * No olvide digitar la variable Niños y niñas Mejor Niñez. Digite Cero si no tiene.",IF(AV78&gt;$D78," * La variable Niños y niñas Mejor Niñez no puede ser Mayor al Total ambos sexos.",""))</f>
        <v xml:space="preserve"> * La variable Niños y niñas Mejor Niñez no puede ser Mayor al Total ambos sexos.</v>
      </c>
      <c r="CJ78" s="191" t="str">
        <f t="shared" si="104"/>
        <v xml:space="preserve">* La variable Plan Cuidado Integral Elaborado debe ser menor o igual al Total de Personas en control. </v>
      </c>
      <c r="CK78" s="191" t="str">
        <f t="shared" ref="CK78:CK120" si="119">IF(AND(F78&gt;0,OR(AX78=""))," * No olvide digitar la variable Trans Masculino. (Digite Cero si no tiene).",IF(AX78&gt;F78," * La variable Trans Masculino no debe ser mayor al Total Mujeres.",""))</f>
        <v xml:space="preserve"> * La variable Trans Masculino no debe ser mayor al Total Mujeres.</v>
      </c>
      <c r="CL78" s="191" t="str">
        <f t="shared" si="105"/>
        <v xml:space="preserve"> * La variable Trans Femenino no debe ser mayor al Total Hombre.</v>
      </c>
      <c r="CM78" s="108"/>
      <c r="CN78" s="108"/>
      <c r="CO78" s="1047">
        <f t="shared" si="106"/>
        <v>1</v>
      </c>
      <c r="CP78" s="1047">
        <f t="shared" si="107"/>
        <v>1</v>
      </c>
      <c r="CQ78" s="1047">
        <f t="shared" si="108"/>
        <v>1</v>
      </c>
      <c r="CR78" s="1047">
        <f t="shared" si="109"/>
        <v>1</v>
      </c>
      <c r="CS78" s="1047">
        <f t="shared" si="110"/>
        <v>1</v>
      </c>
      <c r="CT78" s="1047">
        <f t="shared" si="111"/>
        <v>1</v>
      </c>
      <c r="CU78" s="1047">
        <f t="shared" si="112"/>
        <v>1</v>
      </c>
      <c r="CV78" s="1047">
        <f t="shared" si="113"/>
        <v>1</v>
      </c>
      <c r="CW78" s="1047">
        <f t="shared" si="114"/>
        <v>1</v>
      </c>
      <c r="CX78" s="1047">
        <f t="shared" si="115"/>
        <v>1</v>
      </c>
      <c r="CY78" s="1047">
        <f t="shared" si="116"/>
        <v>1</v>
      </c>
      <c r="CZ78" s="108"/>
      <c r="DL78" s="108"/>
      <c r="DM78" s="108"/>
      <c r="DN78" s="108"/>
      <c r="DO78" s="108"/>
      <c r="DP78" s="108"/>
      <c r="DQ78" s="108"/>
      <c r="DR78" s="108"/>
    </row>
    <row r="79" spans="1:125" s="95" customFormat="1" ht="15" customHeight="1" x14ac:dyDescent="0.25">
      <c r="A79" s="1593" t="s">
        <v>1375</v>
      </c>
      <c r="B79" s="2125" t="s">
        <v>633</v>
      </c>
      <c r="C79" s="111" t="s">
        <v>631</v>
      </c>
      <c r="D79" s="1145" t="s">
        <v>1616</v>
      </c>
      <c r="E79" s="392" t="s">
        <v>1617</v>
      </c>
      <c r="F79" s="539" t="s">
        <v>1618</v>
      </c>
      <c r="G79" s="394" t="s">
        <v>1619</v>
      </c>
      <c r="H79" s="395" t="s">
        <v>1620</v>
      </c>
      <c r="I79" s="394" t="s">
        <v>1621</v>
      </c>
      <c r="J79" s="395" t="s">
        <v>1622</v>
      </c>
      <c r="K79" s="394" t="s">
        <v>1623</v>
      </c>
      <c r="L79" s="395" t="s">
        <v>1624</v>
      </c>
      <c r="M79" s="394" t="s">
        <v>1625</v>
      </c>
      <c r="N79" s="395" t="s">
        <v>1626</v>
      </c>
      <c r="O79" s="394" t="s">
        <v>1627</v>
      </c>
      <c r="P79" s="395" t="s">
        <v>1628</v>
      </c>
      <c r="Q79" s="394" t="s">
        <v>1629</v>
      </c>
      <c r="R79" s="395" t="s">
        <v>1630</v>
      </c>
      <c r="S79" s="394" t="s">
        <v>1631</v>
      </c>
      <c r="T79" s="395" t="s">
        <v>1632</v>
      </c>
      <c r="U79" s="394" t="s">
        <v>1633</v>
      </c>
      <c r="V79" s="395" t="s">
        <v>1634</v>
      </c>
      <c r="W79" s="394" t="s">
        <v>1635</v>
      </c>
      <c r="X79" s="395" t="s">
        <v>1636</v>
      </c>
      <c r="Y79" s="394" t="s">
        <v>1637</v>
      </c>
      <c r="Z79" s="395" t="s">
        <v>1638</v>
      </c>
      <c r="AA79" s="394" t="s">
        <v>1639</v>
      </c>
      <c r="AB79" s="395" t="s">
        <v>1640</v>
      </c>
      <c r="AC79" s="394" t="s">
        <v>1641</v>
      </c>
      <c r="AD79" s="395" t="s">
        <v>1642</v>
      </c>
      <c r="AE79" s="394" t="s">
        <v>1643</v>
      </c>
      <c r="AF79" s="395" t="s">
        <v>1644</v>
      </c>
      <c r="AG79" s="394" t="s">
        <v>1645</v>
      </c>
      <c r="AH79" s="395" t="s">
        <v>1646</v>
      </c>
      <c r="AI79" s="394" t="s">
        <v>1647</v>
      </c>
      <c r="AJ79" s="395" t="s">
        <v>1648</v>
      </c>
      <c r="AK79" s="394" t="s">
        <v>1649</v>
      </c>
      <c r="AL79" s="395" t="s">
        <v>1650</v>
      </c>
      <c r="AM79" s="394" t="s">
        <v>1651</v>
      </c>
      <c r="AN79" s="543" t="s">
        <v>1652</v>
      </c>
      <c r="AO79" s="648" t="s">
        <v>1653</v>
      </c>
      <c r="AP79" s="649" t="s">
        <v>1654</v>
      </c>
      <c r="AQ79" s="394" t="s">
        <v>1655</v>
      </c>
      <c r="AR79" s="461" t="s">
        <v>1656</v>
      </c>
      <c r="AS79" s="462" t="s">
        <v>1657</v>
      </c>
      <c r="AT79" s="395" t="s">
        <v>1658</v>
      </c>
      <c r="AU79" s="395" t="s">
        <v>1659</v>
      </c>
      <c r="AV79" s="395" t="s">
        <v>1660</v>
      </c>
      <c r="AW79" s="395" t="s">
        <v>1661</v>
      </c>
      <c r="AX79" s="395" t="s">
        <v>1662</v>
      </c>
      <c r="AY79" s="395" t="s">
        <v>1663</v>
      </c>
      <c r="AZ79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79" s="110"/>
      <c r="BB79" s="110"/>
      <c r="BC79" s="110"/>
      <c r="CB79" s="191" t="str">
        <f t="shared" si="98"/>
        <v xml:space="preserve"> * La variable Gestantes no puede ser Mayor al Total Mujeres.</v>
      </c>
      <c r="CC79" s="191" t="str">
        <f t="shared" si="99"/>
        <v xml:space="preserve"> * La variable Madre de hijo menor de 5 años no puede ser Mayor al Total Mujeres.</v>
      </c>
      <c r="CD79" s="191" t="str">
        <f t="shared" si="100"/>
        <v xml:space="preserve"> * La variable Pueblos Originarios Hombres no puede ser Mayor al Total Hombres.</v>
      </c>
      <c r="CE79" s="191" t="str">
        <f t="shared" si="101"/>
        <v xml:space="preserve"> * La variable Pueblos Originarios Mujeres no puede ser Mayor al Total Mujeres.</v>
      </c>
      <c r="CF79" s="191" t="str">
        <f t="shared" si="102"/>
        <v xml:space="preserve"> * La variable Migrantes Hombres no puede ser Mayor al Total Hombres.</v>
      </c>
      <c r="CG79" s="191" t="str">
        <f t="shared" si="103"/>
        <v xml:space="preserve"> * La variable Migrantes Mujeres no puede ser Mayor al Total Mujeres.</v>
      </c>
      <c r="CH79" s="191" t="str">
        <f t="shared" si="117"/>
        <v xml:space="preserve"> * La variable Niños, Niñas, Adolescentes y Jóvenes SENAME no puede ser Mayor al Total ambos sexos.</v>
      </c>
      <c r="CI79" s="191" t="str">
        <f t="shared" si="118"/>
        <v xml:space="preserve"> * La variable Niños y niñas Mejor Niñez no puede ser Mayor al Total ambos sexos.</v>
      </c>
      <c r="CJ79" s="191" t="str">
        <f t="shared" si="104"/>
        <v xml:space="preserve">* La variable Plan Cuidado Integral Elaborado debe ser menor o igual al Total de Personas en control. </v>
      </c>
      <c r="CK79" s="191" t="str">
        <f t="shared" si="119"/>
        <v xml:space="preserve"> * La variable Trans Masculino no debe ser mayor al Total Mujeres.</v>
      </c>
      <c r="CL79" s="191" t="str">
        <f t="shared" si="105"/>
        <v xml:space="preserve"> * La variable Trans Femenino no debe ser mayor al Total Hombre.</v>
      </c>
      <c r="CM79" s="108"/>
      <c r="CN79" s="108"/>
      <c r="CO79" s="1047">
        <f t="shared" si="106"/>
        <v>1</v>
      </c>
      <c r="CP79" s="1047">
        <f t="shared" si="107"/>
        <v>1</v>
      </c>
      <c r="CQ79" s="1047">
        <f t="shared" si="108"/>
        <v>1</v>
      </c>
      <c r="CR79" s="1047">
        <f t="shared" si="109"/>
        <v>1</v>
      </c>
      <c r="CS79" s="1047">
        <f t="shared" si="110"/>
        <v>1</v>
      </c>
      <c r="CT79" s="1047">
        <f t="shared" si="111"/>
        <v>1</v>
      </c>
      <c r="CU79" s="1047">
        <f t="shared" si="112"/>
        <v>1</v>
      </c>
      <c r="CV79" s="1047">
        <f t="shared" si="113"/>
        <v>1</v>
      </c>
      <c r="CW79" s="1047">
        <f t="shared" si="114"/>
        <v>1</v>
      </c>
      <c r="CX79" s="1047">
        <f t="shared" si="115"/>
        <v>1</v>
      </c>
      <c r="CY79" s="1047">
        <f t="shared" si="116"/>
        <v>1</v>
      </c>
      <c r="CZ79" s="108"/>
      <c r="DL79" s="108"/>
      <c r="DM79" s="108"/>
      <c r="DN79" s="108"/>
      <c r="DO79" s="108"/>
      <c r="DP79" s="108"/>
      <c r="DQ79" s="108"/>
      <c r="DR79" s="108"/>
    </row>
    <row r="80" spans="1:125" s="95" customFormat="1" ht="15" customHeight="1" x14ac:dyDescent="0.25">
      <c r="A80" s="1593" t="s">
        <v>1376</v>
      </c>
      <c r="B80" s="2126"/>
      <c r="C80" s="112" t="s">
        <v>632</v>
      </c>
      <c r="D80" s="1142" t="s">
        <v>1616</v>
      </c>
      <c r="E80" s="387" t="s">
        <v>1617</v>
      </c>
      <c r="F80" s="531" t="s">
        <v>1618</v>
      </c>
      <c r="G80" s="417" t="s">
        <v>1619</v>
      </c>
      <c r="H80" s="418" t="s">
        <v>1620</v>
      </c>
      <c r="I80" s="417" t="s">
        <v>1621</v>
      </c>
      <c r="J80" s="418" t="s">
        <v>1622</v>
      </c>
      <c r="K80" s="417" t="s">
        <v>1623</v>
      </c>
      <c r="L80" s="418" t="s">
        <v>1624</v>
      </c>
      <c r="M80" s="417" t="s">
        <v>1625</v>
      </c>
      <c r="N80" s="418" t="s">
        <v>1626</v>
      </c>
      <c r="O80" s="417" t="s">
        <v>1627</v>
      </c>
      <c r="P80" s="418" t="s">
        <v>1628</v>
      </c>
      <c r="Q80" s="417" t="s">
        <v>1629</v>
      </c>
      <c r="R80" s="418" t="s">
        <v>1630</v>
      </c>
      <c r="S80" s="417" t="s">
        <v>1631</v>
      </c>
      <c r="T80" s="418" t="s">
        <v>1632</v>
      </c>
      <c r="U80" s="417" t="s">
        <v>1633</v>
      </c>
      <c r="V80" s="418" t="s">
        <v>1634</v>
      </c>
      <c r="W80" s="417" t="s">
        <v>1635</v>
      </c>
      <c r="X80" s="418" t="s">
        <v>1636</v>
      </c>
      <c r="Y80" s="417" t="s">
        <v>1637</v>
      </c>
      <c r="Z80" s="418" t="s">
        <v>1638</v>
      </c>
      <c r="AA80" s="417" t="s">
        <v>1639</v>
      </c>
      <c r="AB80" s="418" t="s">
        <v>1640</v>
      </c>
      <c r="AC80" s="417" t="s">
        <v>1641</v>
      </c>
      <c r="AD80" s="418" t="s">
        <v>1642</v>
      </c>
      <c r="AE80" s="417" t="s">
        <v>1643</v>
      </c>
      <c r="AF80" s="418" t="s">
        <v>1644</v>
      </c>
      <c r="AG80" s="417" t="s">
        <v>1645</v>
      </c>
      <c r="AH80" s="418" t="s">
        <v>1646</v>
      </c>
      <c r="AI80" s="417" t="s">
        <v>1647</v>
      </c>
      <c r="AJ80" s="418" t="s">
        <v>1648</v>
      </c>
      <c r="AK80" s="417" t="s">
        <v>1649</v>
      </c>
      <c r="AL80" s="418" t="s">
        <v>1650</v>
      </c>
      <c r="AM80" s="417" t="s">
        <v>1651</v>
      </c>
      <c r="AN80" s="469" t="s">
        <v>1652</v>
      </c>
      <c r="AO80" s="456" t="s">
        <v>1653</v>
      </c>
      <c r="AP80" s="655" t="s">
        <v>1654</v>
      </c>
      <c r="AQ80" s="417" t="s">
        <v>1655</v>
      </c>
      <c r="AR80" s="432" t="s">
        <v>1656</v>
      </c>
      <c r="AS80" s="468" t="s">
        <v>1657</v>
      </c>
      <c r="AT80" s="418" t="s">
        <v>1658</v>
      </c>
      <c r="AU80" s="418" t="s">
        <v>1659</v>
      </c>
      <c r="AV80" s="418" t="s">
        <v>1660</v>
      </c>
      <c r="AW80" s="418" t="s">
        <v>1661</v>
      </c>
      <c r="AX80" s="418" t="s">
        <v>1662</v>
      </c>
      <c r="AY80" s="418" t="s">
        <v>1663</v>
      </c>
      <c r="AZ80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0" s="110"/>
      <c r="BB80" s="110"/>
      <c r="BC80" s="110"/>
      <c r="CB80" s="191" t="str">
        <f t="shared" si="98"/>
        <v xml:space="preserve"> * La variable Gestantes no puede ser Mayor al Total Mujeres.</v>
      </c>
      <c r="CC80" s="191" t="str">
        <f t="shared" si="99"/>
        <v xml:space="preserve"> * La variable Madre de hijo menor de 5 años no puede ser Mayor al Total Mujeres.</v>
      </c>
      <c r="CD80" s="191" t="str">
        <f t="shared" si="100"/>
        <v xml:space="preserve"> * La variable Pueblos Originarios Hombres no puede ser Mayor al Total Hombres.</v>
      </c>
      <c r="CE80" s="191" t="str">
        <f t="shared" si="101"/>
        <v xml:space="preserve"> * La variable Pueblos Originarios Mujeres no puede ser Mayor al Total Mujeres.</v>
      </c>
      <c r="CF80" s="191" t="str">
        <f t="shared" si="102"/>
        <v xml:space="preserve"> * La variable Migrantes Hombres no puede ser Mayor al Total Hombres.</v>
      </c>
      <c r="CG80" s="191" t="str">
        <f t="shared" si="103"/>
        <v xml:space="preserve"> * La variable Migrantes Mujeres no puede ser Mayor al Total Mujeres.</v>
      </c>
      <c r="CH80" s="191" t="str">
        <f t="shared" si="117"/>
        <v xml:space="preserve"> * La variable Niños, Niñas, Adolescentes y Jóvenes SENAME no puede ser Mayor al Total ambos sexos.</v>
      </c>
      <c r="CI80" s="191" t="str">
        <f t="shared" si="118"/>
        <v xml:space="preserve"> * La variable Niños y niñas Mejor Niñez no puede ser Mayor al Total ambos sexos.</v>
      </c>
      <c r="CJ80" s="191" t="str">
        <f t="shared" si="104"/>
        <v xml:space="preserve">* La variable Plan Cuidado Integral Elaborado debe ser menor o igual al Total de Personas en control. </v>
      </c>
      <c r="CK80" s="191" t="str">
        <f t="shared" si="119"/>
        <v xml:space="preserve"> * La variable Trans Masculino no debe ser mayor al Total Mujeres.</v>
      </c>
      <c r="CL80" s="191" t="str">
        <f t="shared" si="105"/>
        <v xml:space="preserve"> * La variable Trans Femenino no debe ser mayor al Total Hombre.</v>
      </c>
      <c r="CM80" s="108"/>
      <c r="CN80" s="108"/>
      <c r="CO80" s="1047">
        <f t="shared" si="106"/>
        <v>1</v>
      </c>
      <c r="CP80" s="1047">
        <f t="shared" si="107"/>
        <v>1</v>
      </c>
      <c r="CQ80" s="1047">
        <f t="shared" si="108"/>
        <v>1</v>
      </c>
      <c r="CR80" s="1047">
        <f t="shared" si="109"/>
        <v>1</v>
      </c>
      <c r="CS80" s="1047">
        <f t="shared" si="110"/>
        <v>1</v>
      </c>
      <c r="CT80" s="1047">
        <f t="shared" si="111"/>
        <v>1</v>
      </c>
      <c r="CU80" s="1047">
        <f t="shared" si="112"/>
        <v>1</v>
      </c>
      <c r="CV80" s="1047">
        <f t="shared" si="113"/>
        <v>1</v>
      </c>
      <c r="CW80" s="1047">
        <f t="shared" si="114"/>
        <v>1</v>
      </c>
      <c r="CX80" s="1047">
        <f t="shared" si="115"/>
        <v>1</v>
      </c>
      <c r="CY80" s="1047">
        <f t="shared" si="116"/>
        <v>1</v>
      </c>
      <c r="CZ80" s="108"/>
      <c r="DL80" s="108"/>
      <c r="DM80" s="108"/>
      <c r="DN80" s="108"/>
      <c r="DO80" s="108"/>
      <c r="DP80" s="108"/>
      <c r="DQ80" s="108"/>
      <c r="DR80" s="108"/>
    </row>
    <row r="81" spans="1:125" s="95" customFormat="1" ht="15" customHeight="1" x14ac:dyDescent="0.25">
      <c r="A81" s="1593" t="s">
        <v>1377</v>
      </c>
      <c r="B81" s="2125" t="s">
        <v>687</v>
      </c>
      <c r="C81" s="111" t="s">
        <v>631</v>
      </c>
      <c r="D81" s="1145" t="s">
        <v>1616</v>
      </c>
      <c r="E81" s="392" t="s">
        <v>1617</v>
      </c>
      <c r="F81" s="539" t="s">
        <v>1618</v>
      </c>
      <c r="G81" s="394" t="s">
        <v>1619</v>
      </c>
      <c r="H81" s="395" t="s">
        <v>1620</v>
      </c>
      <c r="I81" s="394" t="s">
        <v>1621</v>
      </c>
      <c r="J81" s="395" t="s">
        <v>1622</v>
      </c>
      <c r="K81" s="394" t="s">
        <v>1623</v>
      </c>
      <c r="L81" s="395" t="s">
        <v>1624</v>
      </c>
      <c r="M81" s="394" t="s">
        <v>1625</v>
      </c>
      <c r="N81" s="395" t="s">
        <v>1626</v>
      </c>
      <c r="O81" s="394" t="s">
        <v>1627</v>
      </c>
      <c r="P81" s="395" t="s">
        <v>1628</v>
      </c>
      <c r="Q81" s="394" t="s">
        <v>1629</v>
      </c>
      <c r="R81" s="395" t="s">
        <v>1630</v>
      </c>
      <c r="S81" s="394" t="s">
        <v>1631</v>
      </c>
      <c r="T81" s="395" t="s">
        <v>1632</v>
      </c>
      <c r="U81" s="394" t="s">
        <v>1633</v>
      </c>
      <c r="V81" s="395" t="s">
        <v>1634</v>
      </c>
      <c r="W81" s="394" t="s">
        <v>1635</v>
      </c>
      <c r="X81" s="395" t="s">
        <v>1636</v>
      </c>
      <c r="Y81" s="394" t="s">
        <v>1637</v>
      </c>
      <c r="Z81" s="395" t="s">
        <v>1638</v>
      </c>
      <c r="AA81" s="394" t="s">
        <v>1639</v>
      </c>
      <c r="AB81" s="395" t="s">
        <v>1640</v>
      </c>
      <c r="AC81" s="394" t="s">
        <v>1641</v>
      </c>
      <c r="AD81" s="395" t="s">
        <v>1642</v>
      </c>
      <c r="AE81" s="394" t="s">
        <v>1643</v>
      </c>
      <c r="AF81" s="395" t="s">
        <v>1644</v>
      </c>
      <c r="AG81" s="394" t="s">
        <v>1645</v>
      </c>
      <c r="AH81" s="395" t="s">
        <v>1646</v>
      </c>
      <c r="AI81" s="394" t="s">
        <v>1647</v>
      </c>
      <c r="AJ81" s="395" t="s">
        <v>1648</v>
      </c>
      <c r="AK81" s="394" t="s">
        <v>1649</v>
      </c>
      <c r="AL81" s="395" t="s">
        <v>1650</v>
      </c>
      <c r="AM81" s="394" t="s">
        <v>1651</v>
      </c>
      <c r="AN81" s="543" t="s">
        <v>1652</v>
      </c>
      <c r="AO81" s="648" t="s">
        <v>1653</v>
      </c>
      <c r="AP81" s="649" t="s">
        <v>1654</v>
      </c>
      <c r="AQ81" s="394" t="s">
        <v>1655</v>
      </c>
      <c r="AR81" s="461" t="s">
        <v>1656</v>
      </c>
      <c r="AS81" s="462" t="s">
        <v>1657</v>
      </c>
      <c r="AT81" s="395" t="s">
        <v>1658</v>
      </c>
      <c r="AU81" s="395" t="s">
        <v>1659</v>
      </c>
      <c r="AV81" s="395" t="s">
        <v>1660</v>
      </c>
      <c r="AW81" s="395" t="s">
        <v>1661</v>
      </c>
      <c r="AX81" s="395" t="s">
        <v>1662</v>
      </c>
      <c r="AY81" s="395" t="s">
        <v>1663</v>
      </c>
      <c r="AZ81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1" s="110"/>
      <c r="BB81" s="110"/>
      <c r="BC81" s="110"/>
      <c r="CB81" s="191" t="str">
        <f t="shared" si="98"/>
        <v xml:space="preserve"> * La variable Gestantes no puede ser Mayor al Total Mujeres.</v>
      </c>
      <c r="CC81" s="191" t="str">
        <f t="shared" si="99"/>
        <v xml:space="preserve"> * La variable Madre de hijo menor de 5 años no puede ser Mayor al Total Mujeres.</v>
      </c>
      <c r="CD81" s="191" t="str">
        <f t="shared" si="100"/>
        <v xml:space="preserve"> * La variable Pueblos Originarios Hombres no puede ser Mayor al Total Hombres.</v>
      </c>
      <c r="CE81" s="191" t="str">
        <f t="shared" si="101"/>
        <v xml:space="preserve"> * La variable Pueblos Originarios Mujeres no puede ser Mayor al Total Mujeres.</v>
      </c>
      <c r="CF81" s="191" t="str">
        <f t="shared" si="102"/>
        <v xml:space="preserve"> * La variable Migrantes Hombres no puede ser Mayor al Total Hombres.</v>
      </c>
      <c r="CG81" s="191" t="str">
        <f t="shared" si="103"/>
        <v xml:space="preserve"> * La variable Migrantes Mujeres no puede ser Mayor al Total Mujeres.</v>
      </c>
      <c r="CH81" s="191" t="str">
        <f t="shared" si="117"/>
        <v xml:space="preserve"> * La variable Niños, Niñas, Adolescentes y Jóvenes SENAME no puede ser Mayor al Total ambos sexos.</v>
      </c>
      <c r="CI81" s="191" t="str">
        <f t="shared" si="118"/>
        <v xml:space="preserve"> * La variable Niños y niñas Mejor Niñez no puede ser Mayor al Total ambos sexos.</v>
      </c>
      <c r="CJ81" s="191" t="str">
        <f t="shared" si="104"/>
        <v xml:space="preserve">* La variable Plan Cuidado Integral Elaborado debe ser menor o igual al Total de Personas en control. </v>
      </c>
      <c r="CK81" s="191" t="str">
        <f t="shared" si="119"/>
        <v xml:space="preserve"> * La variable Trans Masculino no debe ser mayor al Total Mujeres.</v>
      </c>
      <c r="CL81" s="191" t="str">
        <f t="shared" si="105"/>
        <v xml:space="preserve"> * La variable Trans Femenino no debe ser mayor al Total Hombre.</v>
      </c>
      <c r="CM81" s="108"/>
      <c r="CN81" s="108"/>
      <c r="CO81" s="1047">
        <f t="shared" si="106"/>
        <v>1</v>
      </c>
      <c r="CP81" s="1047">
        <f t="shared" si="107"/>
        <v>1</v>
      </c>
      <c r="CQ81" s="1047">
        <f t="shared" si="108"/>
        <v>1</v>
      </c>
      <c r="CR81" s="1047">
        <f t="shared" si="109"/>
        <v>1</v>
      </c>
      <c r="CS81" s="1047">
        <f t="shared" si="110"/>
        <v>1</v>
      </c>
      <c r="CT81" s="1047">
        <f t="shared" si="111"/>
        <v>1</v>
      </c>
      <c r="CU81" s="1047">
        <f t="shared" si="112"/>
        <v>1</v>
      </c>
      <c r="CV81" s="1047">
        <f t="shared" si="113"/>
        <v>1</v>
      </c>
      <c r="CW81" s="1047">
        <f t="shared" si="114"/>
        <v>1</v>
      </c>
      <c r="CX81" s="1047">
        <f t="shared" si="115"/>
        <v>1</v>
      </c>
      <c r="CY81" s="1047">
        <f t="shared" si="116"/>
        <v>1</v>
      </c>
      <c r="CZ81" s="108"/>
      <c r="DL81" s="108"/>
      <c r="DM81" s="108"/>
      <c r="DN81" s="108"/>
      <c r="DO81" s="108"/>
      <c r="DP81" s="108"/>
      <c r="DQ81" s="108"/>
      <c r="DR81" s="108"/>
      <c r="DS81" s="108"/>
      <c r="DT81" s="108"/>
      <c r="DU81" s="108"/>
    </row>
    <row r="82" spans="1:125" s="95" customFormat="1" ht="15" customHeight="1" x14ac:dyDescent="0.25">
      <c r="A82" s="1593" t="s">
        <v>1378</v>
      </c>
      <c r="B82" s="2126"/>
      <c r="C82" s="112" t="s">
        <v>632</v>
      </c>
      <c r="D82" s="1143" t="s">
        <v>1616</v>
      </c>
      <c r="E82" s="391" t="s">
        <v>1617</v>
      </c>
      <c r="F82" s="532" t="s">
        <v>1618</v>
      </c>
      <c r="G82" s="403" t="s">
        <v>1619</v>
      </c>
      <c r="H82" s="404" t="s">
        <v>1620</v>
      </c>
      <c r="I82" s="403" t="s">
        <v>1621</v>
      </c>
      <c r="J82" s="404" t="s">
        <v>1622</v>
      </c>
      <c r="K82" s="403" t="s">
        <v>1623</v>
      </c>
      <c r="L82" s="404" t="s">
        <v>1624</v>
      </c>
      <c r="M82" s="403" t="s">
        <v>1625</v>
      </c>
      <c r="N82" s="404" t="s">
        <v>1626</v>
      </c>
      <c r="O82" s="403" t="s">
        <v>1627</v>
      </c>
      <c r="P82" s="404" t="s">
        <v>1628</v>
      </c>
      <c r="Q82" s="403" t="s">
        <v>1629</v>
      </c>
      <c r="R82" s="404" t="s">
        <v>1630</v>
      </c>
      <c r="S82" s="403" t="s">
        <v>1631</v>
      </c>
      <c r="T82" s="404" t="s">
        <v>1632</v>
      </c>
      <c r="U82" s="403" t="s">
        <v>1633</v>
      </c>
      <c r="V82" s="404" t="s">
        <v>1634</v>
      </c>
      <c r="W82" s="403" t="s">
        <v>1635</v>
      </c>
      <c r="X82" s="404" t="s">
        <v>1636</v>
      </c>
      <c r="Y82" s="403" t="s">
        <v>1637</v>
      </c>
      <c r="Z82" s="404" t="s">
        <v>1638</v>
      </c>
      <c r="AA82" s="403" t="s">
        <v>1639</v>
      </c>
      <c r="AB82" s="404" t="s">
        <v>1640</v>
      </c>
      <c r="AC82" s="403" t="s">
        <v>1641</v>
      </c>
      <c r="AD82" s="404" t="s">
        <v>1642</v>
      </c>
      <c r="AE82" s="403" t="s">
        <v>1643</v>
      </c>
      <c r="AF82" s="404" t="s">
        <v>1644</v>
      </c>
      <c r="AG82" s="403" t="s">
        <v>1645</v>
      </c>
      <c r="AH82" s="404" t="s">
        <v>1646</v>
      </c>
      <c r="AI82" s="403" t="s">
        <v>1647</v>
      </c>
      <c r="AJ82" s="404" t="s">
        <v>1648</v>
      </c>
      <c r="AK82" s="403" t="s">
        <v>1649</v>
      </c>
      <c r="AL82" s="404" t="s">
        <v>1650</v>
      </c>
      <c r="AM82" s="403" t="s">
        <v>1651</v>
      </c>
      <c r="AN82" s="470" t="s">
        <v>1652</v>
      </c>
      <c r="AO82" s="651" t="s">
        <v>1653</v>
      </c>
      <c r="AP82" s="652" t="s">
        <v>1654</v>
      </c>
      <c r="AQ82" s="403" t="s">
        <v>1655</v>
      </c>
      <c r="AR82" s="442" t="s">
        <v>1656</v>
      </c>
      <c r="AS82" s="464" t="s">
        <v>1657</v>
      </c>
      <c r="AT82" s="404" t="s">
        <v>1658</v>
      </c>
      <c r="AU82" s="404" t="s">
        <v>1659</v>
      </c>
      <c r="AV82" s="404" t="s">
        <v>1660</v>
      </c>
      <c r="AW82" s="404" t="s">
        <v>1661</v>
      </c>
      <c r="AX82" s="404" t="s">
        <v>1662</v>
      </c>
      <c r="AY82" s="404" t="s">
        <v>1663</v>
      </c>
      <c r="AZ82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2" s="113"/>
      <c r="BB82" s="113"/>
      <c r="BC82" s="113"/>
      <c r="CB82" s="191" t="str">
        <f t="shared" si="98"/>
        <v xml:space="preserve"> * La variable Gestantes no puede ser Mayor al Total Mujeres.</v>
      </c>
      <c r="CC82" s="191" t="str">
        <f t="shared" si="99"/>
        <v xml:space="preserve"> * La variable Madre de hijo menor de 5 años no puede ser Mayor al Total Mujeres.</v>
      </c>
      <c r="CD82" s="191" t="str">
        <f t="shared" si="100"/>
        <v xml:space="preserve"> * La variable Pueblos Originarios Hombres no puede ser Mayor al Total Hombres.</v>
      </c>
      <c r="CE82" s="191" t="str">
        <f t="shared" si="101"/>
        <v xml:space="preserve"> * La variable Pueblos Originarios Mujeres no puede ser Mayor al Total Mujeres.</v>
      </c>
      <c r="CF82" s="191" t="str">
        <f t="shared" si="102"/>
        <v xml:space="preserve"> * La variable Migrantes Hombres no puede ser Mayor al Total Hombres.</v>
      </c>
      <c r="CG82" s="191" t="str">
        <f t="shared" si="103"/>
        <v xml:space="preserve"> * La variable Migrantes Mujeres no puede ser Mayor al Total Mujeres.</v>
      </c>
      <c r="CH82" s="191" t="str">
        <f t="shared" si="117"/>
        <v xml:space="preserve"> * La variable Niños, Niñas, Adolescentes y Jóvenes SENAME no puede ser Mayor al Total ambos sexos.</v>
      </c>
      <c r="CI82" s="191" t="str">
        <f t="shared" si="118"/>
        <v xml:space="preserve"> * La variable Niños y niñas Mejor Niñez no puede ser Mayor al Total ambos sexos.</v>
      </c>
      <c r="CJ82" s="191" t="str">
        <f t="shared" si="104"/>
        <v xml:space="preserve">* La variable Plan Cuidado Integral Elaborado debe ser menor o igual al Total de Personas en control. </v>
      </c>
      <c r="CK82" s="191" t="str">
        <f t="shared" si="119"/>
        <v xml:space="preserve"> * La variable Trans Masculino no debe ser mayor al Total Mujeres.</v>
      </c>
      <c r="CL82" s="191" t="str">
        <f t="shared" si="105"/>
        <v xml:space="preserve"> * La variable Trans Femenino no debe ser mayor al Total Hombre.</v>
      </c>
      <c r="CM82" s="108"/>
      <c r="CN82" s="108"/>
      <c r="CO82" s="1047">
        <f t="shared" si="106"/>
        <v>1</v>
      </c>
      <c r="CP82" s="1047">
        <f t="shared" si="107"/>
        <v>1</v>
      </c>
      <c r="CQ82" s="1047">
        <f t="shared" si="108"/>
        <v>1</v>
      </c>
      <c r="CR82" s="1047">
        <f t="shared" si="109"/>
        <v>1</v>
      </c>
      <c r="CS82" s="1047">
        <f t="shared" si="110"/>
        <v>1</v>
      </c>
      <c r="CT82" s="1047">
        <f t="shared" si="111"/>
        <v>1</v>
      </c>
      <c r="CU82" s="1047">
        <f t="shared" si="112"/>
        <v>1</v>
      </c>
      <c r="CV82" s="1047">
        <f t="shared" si="113"/>
        <v>1</v>
      </c>
      <c r="CW82" s="1047">
        <f t="shared" si="114"/>
        <v>1</v>
      </c>
      <c r="CX82" s="1047">
        <f t="shared" si="115"/>
        <v>1</v>
      </c>
      <c r="CY82" s="1047">
        <f t="shared" si="116"/>
        <v>1</v>
      </c>
      <c r="DL82" s="108"/>
      <c r="DM82" s="108"/>
      <c r="DN82" s="108"/>
      <c r="DO82" s="108"/>
      <c r="DP82" s="108"/>
      <c r="DQ82" s="108"/>
      <c r="DR82" s="108"/>
      <c r="DS82" s="108"/>
      <c r="DT82" s="108"/>
      <c r="DU82" s="108"/>
    </row>
    <row r="83" spans="1:125" s="95" customFormat="1" ht="15" customHeight="1" x14ac:dyDescent="0.25">
      <c r="A83" s="1585" t="s">
        <v>1379</v>
      </c>
      <c r="B83" s="1513" t="s">
        <v>636</v>
      </c>
      <c r="C83" s="1514"/>
      <c r="D83" s="1487" t="s">
        <v>1616</v>
      </c>
      <c r="E83" s="1488" t="s">
        <v>1617</v>
      </c>
      <c r="F83" s="460" t="s">
        <v>1618</v>
      </c>
      <c r="G83" s="413" t="s">
        <v>1619</v>
      </c>
      <c r="H83" s="414" t="s">
        <v>1620</v>
      </c>
      <c r="I83" s="413" t="s">
        <v>1621</v>
      </c>
      <c r="J83" s="414" t="s">
        <v>1622</v>
      </c>
      <c r="K83" s="413" t="s">
        <v>1623</v>
      </c>
      <c r="L83" s="414" t="s">
        <v>1624</v>
      </c>
      <c r="M83" s="413" t="s">
        <v>1625</v>
      </c>
      <c r="N83" s="414" t="s">
        <v>1626</v>
      </c>
      <c r="O83" s="413" t="s">
        <v>1627</v>
      </c>
      <c r="P83" s="414" t="s">
        <v>1628</v>
      </c>
      <c r="Q83" s="413" t="s">
        <v>1629</v>
      </c>
      <c r="R83" s="414" t="s">
        <v>1630</v>
      </c>
      <c r="S83" s="413" t="s">
        <v>1631</v>
      </c>
      <c r="T83" s="414" t="s">
        <v>1632</v>
      </c>
      <c r="U83" s="413" t="s">
        <v>1633</v>
      </c>
      <c r="V83" s="414" t="s">
        <v>1634</v>
      </c>
      <c r="W83" s="413" t="s">
        <v>1635</v>
      </c>
      <c r="X83" s="414" t="s">
        <v>1636</v>
      </c>
      <c r="Y83" s="413" t="s">
        <v>1637</v>
      </c>
      <c r="Z83" s="414" t="s">
        <v>1638</v>
      </c>
      <c r="AA83" s="413" t="s">
        <v>1639</v>
      </c>
      <c r="AB83" s="414" t="s">
        <v>1640</v>
      </c>
      <c r="AC83" s="413" t="s">
        <v>1641</v>
      </c>
      <c r="AD83" s="414" t="s">
        <v>1642</v>
      </c>
      <c r="AE83" s="413" t="s">
        <v>1643</v>
      </c>
      <c r="AF83" s="414" t="s">
        <v>1644</v>
      </c>
      <c r="AG83" s="413" t="s">
        <v>1645</v>
      </c>
      <c r="AH83" s="414" t="s">
        <v>1646</v>
      </c>
      <c r="AI83" s="413" t="s">
        <v>1647</v>
      </c>
      <c r="AJ83" s="414" t="s">
        <v>1648</v>
      </c>
      <c r="AK83" s="413" t="s">
        <v>1649</v>
      </c>
      <c r="AL83" s="414" t="s">
        <v>1650</v>
      </c>
      <c r="AM83" s="413" t="s">
        <v>1651</v>
      </c>
      <c r="AN83" s="1051" t="s">
        <v>1652</v>
      </c>
      <c r="AO83" s="1052" t="s">
        <v>1653</v>
      </c>
      <c r="AP83" s="665" t="s">
        <v>1654</v>
      </c>
      <c r="AQ83" s="413" t="s">
        <v>1655</v>
      </c>
      <c r="AR83" s="542" t="s">
        <v>1656</v>
      </c>
      <c r="AS83" s="463" t="s">
        <v>1657</v>
      </c>
      <c r="AT83" s="414" t="s">
        <v>1658</v>
      </c>
      <c r="AU83" s="414" t="s">
        <v>1659</v>
      </c>
      <c r="AV83" s="414" t="s">
        <v>1660</v>
      </c>
      <c r="AW83" s="414" t="s">
        <v>1661</v>
      </c>
      <c r="AX83" s="414" t="s">
        <v>1662</v>
      </c>
      <c r="AY83" s="414" t="s">
        <v>1663</v>
      </c>
      <c r="AZ83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3" s="113"/>
      <c r="BB83" s="113"/>
      <c r="BC83" s="113"/>
      <c r="CB83" s="191" t="str">
        <f t="shared" si="98"/>
        <v xml:space="preserve"> * La variable Gestantes no puede ser Mayor al Total Mujeres.</v>
      </c>
      <c r="CC83" s="191" t="str">
        <f t="shared" si="99"/>
        <v xml:space="preserve"> * La variable Madre de hijo menor de 5 años no puede ser Mayor al Total Mujeres.</v>
      </c>
      <c r="CD83" s="191" t="str">
        <f t="shared" si="100"/>
        <v xml:space="preserve"> * La variable Pueblos Originarios Hombres no puede ser Mayor al Total Hombres.</v>
      </c>
      <c r="CE83" s="191" t="str">
        <f t="shared" si="101"/>
        <v xml:space="preserve"> * La variable Pueblos Originarios Mujeres no puede ser Mayor al Total Mujeres.</v>
      </c>
      <c r="CF83" s="191" t="str">
        <f t="shared" si="102"/>
        <v xml:space="preserve"> * La variable Migrantes Hombres no puede ser Mayor al Total Hombres.</v>
      </c>
      <c r="CG83" s="191" t="str">
        <f t="shared" si="103"/>
        <v xml:space="preserve"> * La variable Migrantes Mujeres no puede ser Mayor al Total Mujeres.</v>
      </c>
      <c r="CH83" s="191" t="str">
        <f t="shared" si="117"/>
        <v xml:space="preserve"> * La variable Niños, Niñas, Adolescentes y Jóvenes SENAME no puede ser Mayor al Total ambos sexos.</v>
      </c>
      <c r="CI83" s="191" t="str">
        <f t="shared" si="118"/>
        <v xml:space="preserve"> * La variable Niños y niñas Mejor Niñez no puede ser Mayor al Total ambos sexos.</v>
      </c>
      <c r="CJ83" s="191" t="str">
        <f t="shared" si="104"/>
        <v xml:space="preserve">* La variable Plan Cuidado Integral Elaborado debe ser menor o igual al Total de Personas en control. </v>
      </c>
      <c r="CK83" s="191" t="str">
        <f t="shared" si="119"/>
        <v xml:space="preserve"> * La variable Trans Masculino no debe ser mayor al Total Mujeres.</v>
      </c>
      <c r="CL83" s="191" t="str">
        <f t="shared" si="105"/>
        <v xml:space="preserve"> * La variable Trans Femenino no debe ser mayor al Total Hombre.</v>
      </c>
      <c r="CM83" s="108"/>
      <c r="CN83" s="108"/>
      <c r="CO83" s="1047">
        <f t="shared" si="106"/>
        <v>1</v>
      </c>
      <c r="CP83" s="1047">
        <f t="shared" si="107"/>
        <v>1</v>
      </c>
      <c r="CQ83" s="1047">
        <f t="shared" si="108"/>
        <v>1</v>
      </c>
      <c r="CR83" s="1047">
        <f t="shared" si="109"/>
        <v>1</v>
      </c>
      <c r="CS83" s="1047">
        <f t="shared" si="110"/>
        <v>1</v>
      </c>
      <c r="CT83" s="1047">
        <f t="shared" si="111"/>
        <v>1</v>
      </c>
      <c r="CU83" s="1047">
        <f t="shared" si="112"/>
        <v>1</v>
      </c>
      <c r="CV83" s="1047">
        <f t="shared" si="113"/>
        <v>1</v>
      </c>
      <c r="CW83" s="1047">
        <f t="shared" si="114"/>
        <v>1</v>
      </c>
      <c r="CX83" s="1047">
        <f t="shared" si="115"/>
        <v>1</v>
      </c>
      <c r="CY83" s="1047">
        <f t="shared" si="116"/>
        <v>1</v>
      </c>
      <c r="DL83" s="108"/>
      <c r="DM83" s="108"/>
      <c r="DN83" s="108"/>
      <c r="DO83" s="108"/>
      <c r="DP83" s="108"/>
      <c r="DQ83" s="108"/>
      <c r="DR83" s="108"/>
      <c r="DS83" s="108"/>
      <c r="DT83" s="108"/>
      <c r="DU83" s="108"/>
    </row>
    <row r="84" spans="1:125" s="95" customFormat="1" ht="15" customHeight="1" x14ac:dyDescent="0.25">
      <c r="A84" s="1585" t="s">
        <v>1380</v>
      </c>
      <c r="B84" s="1970" t="s">
        <v>637</v>
      </c>
      <c r="C84" s="731" t="s">
        <v>638</v>
      </c>
      <c r="D84" s="1142" t="s">
        <v>1616</v>
      </c>
      <c r="E84" s="387" t="s">
        <v>1617</v>
      </c>
      <c r="F84" s="388" t="s">
        <v>1618</v>
      </c>
      <c r="G84" s="546" t="s">
        <v>1619</v>
      </c>
      <c r="H84" s="547" t="s">
        <v>1620</v>
      </c>
      <c r="I84" s="417" t="s">
        <v>1621</v>
      </c>
      <c r="J84" s="418" t="s">
        <v>1622</v>
      </c>
      <c r="K84" s="417" t="s">
        <v>1623</v>
      </c>
      <c r="L84" s="418" t="s">
        <v>1624</v>
      </c>
      <c r="M84" s="417" t="s">
        <v>1625</v>
      </c>
      <c r="N84" s="418" t="s">
        <v>1626</v>
      </c>
      <c r="O84" s="417" t="s">
        <v>1627</v>
      </c>
      <c r="P84" s="418" t="s">
        <v>1628</v>
      </c>
      <c r="Q84" s="417" t="s">
        <v>1629</v>
      </c>
      <c r="R84" s="418" t="s">
        <v>1630</v>
      </c>
      <c r="S84" s="417" t="s">
        <v>1631</v>
      </c>
      <c r="T84" s="418" t="s">
        <v>1632</v>
      </c>
      <c r="U84" s="417" t="s">
        <v>1633</v>
      </c>
      <c r="V84" s="418" t="s">
        <v>1634</v>
      </c>
      <c r="W84" s="417" t="s">
        <v>1635</v>
      </c>
      <c r="X84" s="418" t="s">
        <v>1636</v>
      </c>
      <c r="Y84" s="417" t="s">
        <v>1637</v>
      </c>
      <c r="Z84" s="418" t="s">
        <v>1638</v>
      </c>
      <c r="AA84" s="417" t="s">
        <v>1639</v>
      </c>
      <c r="AB84" s="418" t="s">
        <v>1640</v>
      </c>
      <c r="AC84" s="417" t="s">
        <v>1641</v>
      </c>
      <c r="AD84" s="418" t="s">
        <v>1642</v>
      </c>
      <c r="AE84" s="417" t="s">
        <v>1643</v>
      </c>
      <c r="AF84" s="418" t="s">
        <v>1644</v>
      </c>
      <c r="AG84" s="417" t="s">
        <v>1645</v>
      </c>
      <c r="AH84" s="418" t="s">
        <v>1646</v>
      </c>
      <c r="AI84" s="417" t="s">
        <v>1647</v>
      </c>
      <c r="AJ84" s="418" t="s">
        <v>1648</v>
      </c>
      <c r="AK84" s="417" t="s">
        <v>1649</v>
      </c>
      <c r="AL84" s="418" t="s">
        <v>1650</v>
      </c>
      <c r="AM84" s="417" t="s">
        <v>1651</v>
      </c>
      <c r="AN84" s="469" t="s">
        <v>1652</v>
      </c>
      <c r="AO84" s="456" t="s">
        <v>1653</v>
      </c>
      <c r="AP84" s="655" t="s">
        <v>1654</v>
      </c>
      <c r="AQ84" s="417" t="s">
        <v>1655</v>
      </c>
      <c r="AR84" s="432" t="s">
        <v>1656</v>
      </c>
      <c r="AS84" s="468" t="s">
        <v>1657</v>
      </c>
      <c r="AT84" s="418" t="s">
        <v>1658</v>
      </c>
      <c r="AU84" s="418" t="s">
        <v>1659</v>
      </c>
      <c r="AV84" s="418" t="s">
        <v>1660</v>
      </c>
      <c r="AW84" s="418" t="s">
        <v>1661</v>
      </c>
      <c r="AX84" s="418" t="s">
        <v>1662</v>
      </c>
      <c r="AY84" s="418" t="s">
        <v>1663</v>
      </c>
      <c r="AZ84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4" s="113"/>
      <c r="BB84" s="113"/>
      <c r="BC84" s="113"/>
      <c r="CB84" s="191" t="str">
        <f t="shared" si="98"/>
        <v xml:space="preserve"> * La variable Gestantes no puede ser Mayor al Total Mujeres.</v>
      </c>
      <c r="CC84" s="191" t="str">
        <f t="shared" si="99"/>
        <v xml:space="preserve"> * La variable Madre de hijo menor de 5 años no puede ser Mayor al Total Mujeres.</v>
      </c>
      <c r="CD84" s="191" t="str">
        <f t="shared" si="100"/>
        <v xml:space="preserve"> * La variable Pueblos Originarios Hombres no puede ser Mayor al Total Hombres.</v>
      </c>
      <c r="CE84" s="191" t="str">
        <f t="shared" si="101"/>
        <v xml:space="preserve"> * La variable Pueblos Originarios Mujeres no puede ser Mayor al Total Mujeres.</v>
      </c>
      <c r="CF84" s="191" t="str">
        <f t="shared" si="102"/>
        <v xml:space="preserve"> * La variable Migrantes Hombres no puede ser Mayor al Total Hombres.</v>
      </c>
      <c r="CG84" s="191" t="str">
        <f t="shared" si="103"/>
        <v xml:space="preserve"> * La variable Migrantes Mujeres no puede ser Mayor al Total Mujeres.</v>
      </c>
      <c r="CH84" s="191" t="str">
        <f t="shared" si="117"/>
        <v xml:space="preserve"> * La variable Niños, Niñas, Adolescentes y Jóvenes SENAME no puede ser Mayor al Total ambos sexos.</v>
      </c>
      <c r="CI84" s="191" t="str">
        <f t="shared" si="118"/>
        <v xml:space="preserve"> * La variable Niños y niñas Mejor Niñez no puede ser Mayor al Total ambos sexos.</v>
      </c>
      <c r="CJ84" s="191" t="str">
        <f t="shared" si="104"/>
        <v xml:space="preserve">* La variable Plan Cuidado Integral Elaborado debe ser menor o igual al Total de Personas en control. </v>
      </c>
      <c r="CK84" s="191" t="str">
        <f t="shared" si="119"/>
        <v xml:space="preserve"> * La variable Trans Masculino no debe ser mayor al Total Mujeres.</v>
      </c>
      <c r="CL84" s="191" t="str">
        <f t="shared" si="105"/>
        <v xml:space="preserve"> * La variable Trans Femenino no debe ser mayor al Total Hombre.</v>
      </c>
      <c r="CM84" s="108"/>
      <c r="CN84" s="108"/>
      <c r="CO84" s="1047">
        <f t="shared" si="106"/>
        <v>1</v>
      </c>
      <c r="CP84" s="1047">
        <f t="shared" si="107"/>
        <v>1</v>
      </c>
      <c r="CQ84" s="1047">
        <f t="shared" si="108"/>
        <v>1</v>
      </c>
      <c r="CR84" s="1047">
        <f t="shared" si="109"/>
        <v>1</v>
      </c>
      <c r="CS84" s="1047">
        <f t="shared" si="110"/>
        <v>1</v>
      </c>
      <c r="CT84" s="1047">
        <f t="shared" si="111"/>
        <v>1</v>
      </c>
      <c r="CU84" s="1047">
        <f t="shared" si="112"/>
        <v>1</v>
      </c>
      <c r="CV84" s="1047">
        <f t="shared" si="113"/>
        <v>1</v>
      </c>
      <c r="CW84" s="1047">
        <f t="shared" si="114"/>
        <v>1</v>
      </c>
      <c r="CX84" s="1047">
        <f t="shared" si="115"/>
        <v>1</v>
      </c>
      <c r="CY84" s="1047">
        <f t="shared" si="116"/>
        <v>1</v>
      </c>
      <c r="DL84" s="108"/>
      <c r="DM84" s="108"/>
      <c r="DN84" s="108"/>
      <c r="DO84" s="108"/>
      <c r="DP84" s="108"/>
      <c r="DQ84" s="108"/>
      <c r="DR84" s="108"/>
      <c r="DS84" s="108"/>
      <c r="DT84" s="108"/>
      <c r="DU84" s="108"/>
    </row>
    <row r="85" spans="1:125" s="95" customFormat="1" ht="15" customHeight="1" x14ac:dyDescent="0.25">
      <c r="A85" s="1585" t="s">
        <v>1381</v>
      </c>
      <c r="B85" s="1708"/>
      <c r="C85" s="769" t="s">
        <v>639</v>
      </c>
      <c r="D85" s="1376" t="s">
        <v>1616</v>
      </c>
      <c r="E85" s="389" t="s">
        <v>1617</v>
      </c>
      <c r="F85" s="582" t="s">
        <v>1618</v>
      </c>
      <c r="G85" s="572" t="s">
        <v>1619</v>
      </c>
      <c r="H85" s="573" t="s">
        <v>1620</v>
      </c>
      <c r="I85" s="450" t="s">
        <v>1621</v>
      </c>
      <c r="J85" s="451" t="s">
        <v>1622</v>
      </c>
      <c r="K85" s="450" t="s">
        <v>1623</v>
      </c>
      <c r="L85" s="451" t="s">
        <v>1624</v>
      </c>
      <c r="M85" s="450" t="s">
        <v>1625</v>
      </c>
      <c r="N85" s="451" t="s">
        <v>1626</v>
      </c>
      <c r="O85" s="450" t="s">
        <v>1627</v>
      </c>
      <c r="P85" s="451" t="s">
        <v>1628</v>
      </c>
      <c r="Q85" s="450" t="s">
        <v>1629</v>
      </c>
      <c r="R85" s="451" t="s">
        <v>1630</v>
      </c>
      <c r="S85" s="450" t="s">
        <v>1631</v>
      </c>
      <c r="T85" s="451" t="s">
        <v>1632</v>
      </c>
      <c r="U85" s="450" t="s">
        <v>1633</v>
      </c>
      <c r="V85" s="451" t="s">
        <v>1634</v>
      </c>
      <c r="W85" s="450" t="s">
        <v>1635</v>
      </c>
      <c r="X85" s="451" t="s">
        <v>1636</v>
      </c>
      <c r="Y85" s="450" t="s">
        <v>1637</v>
      </c>
      <c r="Z85" s="451" t="s">
        <v>1638</v>
      </c>
      <c r="AA85" s="450" t="s">
        <v>1639</v>
      </c>
      <c r="AB85" s="451" t="s">
        <v>1640</v>
      </c>
      <c r="AC85" s="450" t="s">
        <v>1641</v>
      </c>
      <c r="AD85" s="451" t="s">
        <v>1642</v>
      </c>
      <c r="AE85" s="450" t="s">
        <v>1643</v>
      </c>
      <c r="AF85" s="451" t="s">
        <v>1644</v>
      </c>
      <c r="AG85" s="450" t="s">
        <v>1645</v>
      </c>
      <c r="AH85" s="451" t="s">
        <v>1646</v>
      </c>
      <c r="AI85" s="450" t="s">
        <v>1647</v>
      </c>
      <c r="AJ85" s="451" t="s">
        <v>1648</v>
      </c>
      <c r="AK85" s="450" t="s">
        <v>1649</v>
      </c>
      <c r="AL85" s="451" t="s">
        <v>1650</v>
      </c>
      <c r="AM85" s="450" t="s">
        <v>1651</v>
      </c>
      <c r="AN85" s="581" t="s">
        <v>1652</v>
      </c>
      <c r="AO85" s="654" t="s">
        <v>1653</v>
      </c>
      <c r="AP85" s="1382" t="s">
        <v>1654</v>
      </c>
      <c r="AQ85" s="450" t="s">
        <v>1655</v>
      </c>
      <c r="AR85" s="668" t="s">
        <v>1656</v>
      </c>
      <c r="AS85" s="666" t="s">
        <v>1657</v>
      </c>
      <c r="AT85" s="451" t="s">
        <v>1658</v>
      </c>
      <c r="AU85" s="451" t="s">
        <v>1659</v>
      </c>
      <c r="AV85" s="451" t="s">
        <v>1660</v>
      </c>
      <c r="AW85" s="451" t="s">
        <v>1661</v>
      </c>
      <c r="AX85" s="451" t="s">
        <v>1662</v>
      </c>
      <c r="AY85" s="451" t="s">
        <v>1663</v>
      </c>
      <c r="AZ85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5" s="113"/>
      <c r="BB85" s="113"/>
      <c r="BC85" s="113"/>
      <c r="CB85" s="191" t="str">
        <f t="shared" si="98"/>
        <v xml:space="preserve"> * La variable Gestantes no puede ser Mayor al Total Mujeres.</v>
      </c>
      <c r="CC85" s="191" t="str">
        <f t="shared" si="99"/>
        <v xml:space="preserve"> * La variable Madre de hijo menor de 5 años no puede ser Mayor al Total Mujeres.</v>
      </c>
      <c r="CD85" s="191" t="str">
        <f t="shared" si="100"/>
        <v xml:space="preserve"> * La variable Pueblos Originarios Hombres no puede ser Mayor al Total Hombres.</v>
      </c>
      <c r="CE85" s="191" t="str">
        <f t="shared" si="101"/>
        <v xml:space="preserve"> * La variable Pueblos Originarios Mujeres no puede ser Mayor al Total Mujeres.</v>
      </c>
      <c r="CF85" s="191" t="str">
        <f t="shared" si="102"/>
        <v xml:space="preserve"> * La variable Migrantes Hombres no puede ser Mayor al Total Hombres.</v>
      </c>
      <c r="CG85" s="191" t="str">
        <f t="shared" si="103"/>
        <v xml:space="preserve"> * La variable Migrantes Mujeres no puede ser Mayor al Total Mujeres.</v>
      </c>
      <c r="CH85" s="191" t="str">
        <f t="shared" si="117"/>
        <v xml:space="preserve"> * La variable Niños, Niñas, Adolescentes y Jóvenes SENAME no puede ser Mayor al Total ambos sexos.</v>
      </c>
      <c r="CI85" s="191" t="str">
        <f t="shared" si="118"/>
        <v xml:space="preserve"> * La variable Niños y niñas Mejor Niñez no puede ser Mayor al Total ambos sexos.</v>
      </c>
      <c r="CJ85" s="191" t="str">
        <f t="shared" si="104"/>
        <v xml:space="preserve">* La variable Plan Cuidado Integral Elaborado debe ser menor o igual al Total de Personas en control. </v>
      </c>
      <c r="CK85" s="191" t="str">
        <f t="shared" si="119"/>
        <v xml:space="preserve"> * La variable Trans Masculino no debe ser mayor al Total Mujeres.</v>
      </c>
      <c r="CL85" s="191" t="str">
        <f t="shared" si="105"/>
        <v xml:space="preserve"> * La variable Trans Femenino no debe ser mayor al Total Hombre.</v>
      </c>
      <c r="CM85" s="108"/>
      <c r="CN85" s="108"/>
      <c r="CO85" s="1047">
        <f t="shared" si="106"/>
        <v>1</v>
      </c>
      <c r="CP85" s="1047">
        <f t="shared" si="107"/>
        <v>1</v>
      </c>
      <c r="CQ85" s="1047">
        <f t="shared" si="108"/>
        <v>1</v>
      </c>
      <c r="CR85" s="1047">
        <f t="shared" si="109"/>
        <v>1</v>
      </c>
      <c r="CS85" s="1047">
        <f t="shared" si="110"/>
        <v>1</v>
      </c>
      <c r="CT85" s="1047">
        <f t="shared" si="111"/>
        <v>1</v>
      </c>
      <c r="CU85" s="1047">
        <f t="shared" si="112"/>
        <v>1</v>
      </c>
      <c r="CV85" s="1047">
        <f t="shared" si="113"/>
        <v>1</v>
      </c>
      <c r="CW85" s="1047">
        <f t="shared" si="114"/>
        <v>1</v>
      </c>
      <c r="CX85" s="1047">
        <f t="shared" si="115"/>
        <v>1</v>
      </c>
      <c r="CY85" s="1047">
        <f t="shared" si="116"/>
        <v>1</v>
      </c>
      <c r="DL85" s="108"/>
      <c r="DM85" s="108"/>
      <c r="DN85" s="108"/>
      <c r="DO85" s="108"/>
      <c r="DP85" s="108"/>
      <c r="DQ85" s="108"/>
      <c r="DR85" s="108"/>
      <c r="DS85" s="108"/>
      <c r="DT85" s="108"/>
      <c r="DU85" s="108"/>
    </row>
    <row r="86" spans="1:125" s="95" customFormat="1" ht="15" customHeight="1" x14ac:dyDescent="0.25">
      <c r="A86" s="1585" t="s">
        <v>1382</v>
      </c>
      <c r="B86" s="2170" t="s">
        <v>640</v>
      </c>
      <c r="C86" s="2171"/>
      <c r="D86" s="1487" t="s">
        <v>1616</v>
      </c>
      <c r="E86" s="1488" t="s">
        <v>1617</v>
      </c>
      <c r="F86" s="460" t="s">
        <v>1618</v>
      </c>
      <c r="G86" s="1279" t="s">
        <v>1619</v>
      </c>
      <c r="H86" s="1038" t="s">
        <v>1620</v>
      </c>
      <c r="I86" s="1279" t="s">
        <v>1621</v>
      </c>
      <c r="J86" s="1038" t="s">
        <v>1622</v>
      </c>
      <c r="K86" s="1279" t="s">
        <v>1623</v>
      </c>
      <c r="L86" s="1038" t="s">
        <v>1624</v>
      </c>
      <c r="M86" s="1279" t="s">
        <v>1625</v>
      </c>
      <c r="N86" s="1038" t="s">
        <v>1626</v>
      </c>
      <c r="O86" s="1279" t="s">
        <v>1627</v>
      </c>
      <c r="P86" s="1038" t="s">
        <v>1628</v>
      </c>
      <c r="Q86" s="1279" t="s">
        <v>1629</v>
      </c>
      <c r="R86" s="1038" t="s">
        <v>1630</v>
      </c>
      <c r="S86" s="1279" t="s">
        <v>1631</v>
      </c>
      <c r="T86" s="1038" t="s">
        <v>1632</v>
      </c>
      <c r="U86" s="1279" t="s">
        <v>1633</v>
      </c>
      <c r="V86" s="1038" t="s">
        <v>1634</v>
      </c>
      <c r="W86" s="1279" t="s">
        <v>1635</v>
      </c>
      <c r="X86" s="1038" t="s">
        <v>1636</v>
      </c>
      <c r="Y86" s="1279" t="s">
        <v>1637</v>
      </c>
      <c r="Z86" s="1038" t="s">
        <v>1638</v>
      </c>
      <c r="AA86" s="1279" t="s">
        <v>1639</v>
      </c>
      <c r="AB86" s="1038" t="s">
        <v>1640</v>
      </c>
      <c r="AC86" s="1279" t="s">
        <v>1641</v>
      </c>
      <c r="AD86" s="1038" t="s">
        <v>1642</v>
      </c>
      <c r="AE86" s="1279" t="s">
        <v>1643</v>
      </c>
      <c r="AF86" s="1038" t="s">
        <v>1644</v>
      </c>
      <c r="AG86" s="1279" t="s">
        <v>1645</v>
      </c>
      <c r="AH86" s="1038" t="s">
        <v>1646</v>
      </c>
      <c r="AI86" s="1279" t="s">
        <v>1647</v>
      </c>
      <c r="AJ86" s="1038" t="s">
        <v>1648</v>
      </c>
      <c r="AK86" s="1279" t="s">
        <v>1649</v>
      </c>
      <c r="AL86" s="1038" t="s">
        <v>1650</v>
      </c>
      <c r="AM86" s="1279" t="s">
        <v>1651</v>
      </c>
      <c r="AN86" s="529" t="s">
        <v>1652</v>
      </c>
      <c r="AO86" s="667" t="s">
        <v>1653</v>
      </c>
      <c r="AP86" s="1505" t="s">
        <v>1654</v>
      </c>
      <c r="AQ86" s="1279" t="s">
        <v>1655</v>
      </c>
      <c r="AR86" s="1506" t="s">
        <v>1656</v>
      </c>
      <c r="AS86" s="1504" t="s">
        <v>1657</v>
      </c>
      <c r="AT86" s="1038" t="s">
        <v>1658</v>
      </c>
      <c r="AU86" s="1038" t="s">
        <v>1659</v>
      </c>
      <c r="AV86" s="1038" t="s">
        <v>1660</v>
      </c>
      <c r="AW86" s="1038" t="s">
        <v>1661</v>
      </c>
      <c r="AX86" s="1038" t="s">
        <v>1662</v>
      </c>
      <c r="AY86" s="1038" t="s">
        <v>1663</v>
      </c>
      <c r="AZ86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6" s="113"/>
      <c r="BB86" s="113"/>
      <c r="BC86" s="113"/>
      <c r="CB86" s="191" t="str">
        <f t="shared" si="98"/>
        <v xml:space="preserve"> * La variable Gestantes no puede ser Mayor al Total Mujeres.</v>
      </c>
      <c r="CC86" s="191" t="str">
        <f t="shared" si="99"/>
        <v xml:space="preserve"> * La variable Madre de hijo menor de 5 años no puede ser Mayor al Total Mujeres.</v>
      </c>
      <c r="CD86" s="191" t="str">
        <f t="shared" si="100"/>
        <v xml:space="preserve"> * La variable Pueblos Originarios Hombres no puede ser Mayor al Total Hombres.</v>
      </c>
      <c r="CE86" s="191" t="str">
        <f t="shared" si="101"/>
        <v xml:space="preserve"> * La variable Pueblos Originarios Mujeres no puede ser Mayor al Total Mujeres.</v>
      </c>
      <c r="CF86" s="191" t="str">
        <f t="shared" si="102"/>
        <v xml:space="preserve"> * La variable Migrantes Hombres no puede ser Mayor al Total Hombres.</v>
      </c>
      <c r="CG86" s="191" t="str">
        <f t="shared" si="103"/>
        <v xml:space="preserve"> * La variable Migrantes Mujeres no puede ser Mayor al Total Mujeres.</v>
      </c>
      <c r="CH86" s="191" t="str">
        <f t="shared" si="117"/>
        <v xml:space="preserve"> * La variable Niños, Niñas, Adolescentes y Jóvenes SENAME no puede ser Mayor al Total ambos sexos.</v>
      </c>
      <c r="CI86" s="191" t="str">
        <f t="shared" si="118"/>
        <v xml:space="preserve"> * La variable Niños y niñas Mejor Niñez no puede ser Mayor al Total ambos sexos.</v>
      </c>
      <c r="CJ86" s="191" t="str">
        <f t="shared" si="104"/>
        <v xml:space="preserve">* La variable Plan Cuidado Integral Elaborado debe ser menor o igual al Total de Personas en control. </v>
      </c>
      <c r="CK86" s="191" t="str">
        <f t="shared" si="119"/>
        <v xml:space="preserve"> * La variable Trans Masculino no debe ser mayor al Total Mujeres.</v>
      </c>
      <c r="CL86" s="191" t="str">
        <f t="shared" si="105"/>
        <v xml:space="preserve"> * La variable Trans Femenino no debe ser mayor al Total Hombre.</v>
      </c>
      <c r="CM86" s="108"/>
      <c r="CN86" s="108"/>
      <c r="CO86" s="1047">
        <f t="shared" si="106"/>
        <v>1</v>
      </c>
      <c r="CP86" s="1047">
        <f t="shared" si="107"/>
        <v>1</v>
      </c>
      <c r="CQ86" s="1047">
        <f t="shared" si="108"/>
        <v>1</v>
      </c>
      <c r="CR86" s="1047">
        <f t="shared" si="109"/>
        <v>1</v>
      </c>
      <c r="CS86" s="1047">
        <f t="shared" si="110"/>
        <v>1</v>
      </c>
      <c r="CT86" s="1047">
        <f t="shared" si="111"/>
        <v>1</v>
      </c>
      <c r="CU86" s="1047">
        <f t="shared" si="112"/>
        <v>1</v>
      </c>
      <c r="CV86" s="1047">
        <f t="shared" si="113"/>
        <v>1</v>
      </c>
      <c r="CW86" s="1047">
        <f t="shared" si="114"/>
        <v>1</v>
      </c>
      <c r="CX86" s="1047">
        <f t="shared" si="115"/>
        <v>1</v>
      </c>
      <c r="CY86" s="1047">
        <f t="shared" si="116"/>
        <v>1</v>
      </c>
      <c r="DL86" s="108"/>
      <c r="DM86" s="108"/>
      <c r="DN86" s="108"/>
      <c r="DO86" s="108"/>
      <c r="DP86" s="108"/>
      <c r="DQ86" s="108"/>
      <c r="DR86" s="108"/>
      <c r="DS86" s="108"/>
      <c r="DT86" s="108"/>
      <c r="DU86" s="108"/>
    </row>
    <row r="87" spans="1:125" s="95" customFormat="1" ht="15" customHeight="1" x14ac:dyDescent="0.25">
      <c r="A87" s="1585" t="s">
        <v>1383</v>
      </c>
      <c r="B87" s="2172" t="s">
        <v>688</v>
      </c>
      <c r="C87" s="111" t="s">
        <v>689</v>
      </c>
      <c r="D87" s="1142" t="s">
        <v>1616</v>
      </c>
      <c r="E87" s="387" t="s">
        <v>1617</v>
      </c>
      <c r="F87" s="531" t="s">
        <v>1618</v>
      </c>
      <c r="G87" s="417" t="s">
        <v>1619</v>
      </c>
      <c r="H87" s="418" t="s">
        <v>1620</v>
      </c>
      <c r="I87" s="417" t="s">
        <v>1621</v>
      </c>
      <c r="J87" s="418" t="s">
        <v>1622</v>
      </c>
      <c r="K87" s="417" t="s">
        <v>1623</v>
      </c>
      <c r="L87" s="418" t="s">
        <v>1624</v>
      </c>
      <c r="M87" s="417" t="s">
        <v>1625</v>
      </c>
      <c r="N87" s="418" t="s">
        <v>1626</v>
      </c>
      <c r="O87" s="417" t="s">
        <v>1627</v>
      </c>
      <c r="P87" s="418" t="s">
        <v>1628</v>
      </c>
      <c r="Q87" s="417" t="s">
        <v>1629</v>
      </c>
      <c r="R87" s="418" t="s">
        <v>1630</v>
      </c>
      <c r="S87" s="417" t="s">
        <v>1631</v>
      </c>
      <c r="T87" s="418" t="s">
        <v>1632</v>
      </c>
      <c r="U87" s="417" t="s">
        <v>1633</v>
      </c>
      <c r="V87" s="418" t="s">
        <v>1634</v>
      </c>
      <c r="W87" s="417" t="s">
        <v>1635</v>
      </c>
      <c r="X87" s="418" t="s">
        <v>1636</v>
      </c>
      <c r="Y87" s="417" t="s">
        <v>1637</v>
      </c>
      <c r="Z87" s="418" t="s">
        <v>1638</v>
      </c>
      <c r="AA87" s="417" t="s">
        <v>1639</v>
      </c>
      <c r="AB87" s="418" t="s">
        <v>1640</v>
      </c>
      <c r="AC87" s="417" t="s">
        <v>1641</v>
      </c>
      <c r="AD87" s="418" t="s">
        <v>1642</v>
      </c>
      <c r="AE87" s="417" t="s">
        <v>1643</v>
      </c>
      <c r="AF87" s="418" t="s">
        <v>1644</v>
      </c>
      <c r="AG87" s="417" t="s">
        <v>1645</v>
      </c>
      <c r="AH87" s="418" t="s">
        <v>1646</v>
      </c>
      <c r="AI87" s="417" t="s">
        <v>1647</v>
      </c>
      <c r="AJ87" s="418" t="s">
        <v>1648</v>
      </c>
      <c r="AK87" s="417" t="s">
        <v>1649</v>
      </c>
      <c r="AL87" s="418" t="s">
        <v>1650</v>
      </c>
      <c r="AM87" s="417" t="s">
        <v>1651</v>
      </c>
      <c r="AN87" s="469" t="s">
        <v>1652</v>
      </c>
      <c r="AO87" s="456" t="s">
        <v>1653</v>
      </c>
      <c r="AP87" s="655" t="s">
        <v>1654</v>
      </c>
      <c r="AQ87" s="417" t="s">
        <v>1655</v>
      </c>
      <c r="AR87" s="432" t="s">
        <v>1656</v>
      </c>
      <c r="AS87" s="468" t="s">
        <v>1657</v>
      </c>
      <c r="AT87" s="418" t="s">
        <v>1658</v>
      </c>
      <c r="AU87" s="418" t="s">
        <v>1659</v>
      </c>
      <c r="AV87" s="418" t="s">
        <v>1660</v>
      </c>
      <c r="AW87" s="418" t="s">
        <v>1661</v>
      </c>
      <c r="AX87" s="418" t="s">
        <v>1662</v>
      </c>
      <c r="AY87" s="418" t="s">
        <v>1663</v>
      </c>
      <c r="AZ87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7" s="113"/>
      <c r="BB87" s="113"/>
      <c r="BC87" s="113"/>
      <c r="CB87" s="191" t="str">
        <f t="shared" si="98"/>
        <v xml:space="preserve"> * La variable Gestantes no puede ser Mayor al Total Mujeres.</v>
      </c>
      <c r="CC87" s="191" t="str">
        <f t="shared" si="99"/>
        <v xml:space="preserve"> * La variable Madre de hijo menor de 5 años no puede ser Mayor al Total Mujeres.</v>
      </c>
      <c r="CD87" s="191" t="str">
        <f t="shared" si="100"/>
        <v xml:space="preserve"> * La variable Pueblos Originarios Hombres no puede ser Mayor al Total Hombres.</v>
      </c>
      <c r="CE87" s="191" t="str">
        <f t="shared" si="101"/>
        <v xml:space="preserve"> * La variable Pueblos Originarios Mujeres no puede ser Mayor al Total Mujeres.</v>
      </c>
      <c r="CF87" s="191" t="str">
        <f t="shared" si="102"/>
        <v xml:space="preserve"> * La variable Migrantes Hombres no puede ser Mayor al Total Hombres.</v>
      </c>
      <c r="CG87" s="191" t="str">
        <f t="shared" si="103"/>
        <v xml:space="preserve"> * La variable Migrantes Mujeres no puede ser Mayor al Total Mujeres.</v>
      </c>
      <c r="CH87" s="191" t="str">
        <f t="shared" si="117"/>
        <v xml:space="preserve"> * La variable Niños, Niñas, Adolescentes y Jóvenes SENAME no puede ser Mayor al Total ambos sexos.</v>
      </c>
      <c r="CI87" s="191" t="str">
        <f t="shared" si="118"/>
        <v xml:space="preserve"> * La variable Niños y niñas Mejor Niñez no puede ser Mayor al Total ambos sexos.</v>
      </c>
      <c r="CJ87" s="191" t="str">
        <f t="shared" si="104"/>
        <v xml:space="preserve">* La variable Plan Cuidado Integral Elaborado debe ser menor o igual al Total de Personas en control. </v>
      </c>
      <c r="CK87" s="191" t="str">
        <f t="shared" si="119"/>
        <v xml:space="preserve"> * La variable Trans Masculino no debe ser mayor al Total Mujeres.</v>
      </c>
      <c r="CL87" s="191" t="str">
        <f t="shared" si="105"/>
        <v xml:space="preserve"> * La variable Trans Femenino no debe ser mayor al Total Hombre.</v>
      </c>
      <c r="CM87" s="108"/>
      <c r="CN87" s="108"/>
      <c r="CO87" s="1047">
        <f t="shared" si="106"/>
        <v>1</v>
      </c>
      <c r="CP87" s="1047">
        <f t="shared" si="107"/>
        <v>1</v>
      </c>
      <c r="CQ87" s="1047">
        <f t="shared" si="108"/>
        <v>1</v>
      </c>
      <c r="CR87" s="1047">
        <f t="shared" si="109"/>
        <v>1</v>
      </c>
      <c r="CS87" s="1047">
        <f t="shared" si="110"/>
        <v>1</v>
      </c>
      <c r="CT87" s="1047">
        <f t="shared" si="111"/>
        <v>1</v>
      </c>
      <c r="CU87" s="1047">
        <f t="shared" si="112"/>
        <v>1</v>
      </c>
      <c r="CV87" s="1047">
        <f t="shared" si="113"/>
        <v>1</v>
      </c>
      <c r="CW87" s="1047">
        <f t="shared" si="114"/>
        <v>1</v>
      </c>
      <c r="CX87" s="1047">
        <f t="shared" si="115"/>
        <v>1</v>
      </c>
      <c r="CY87" s="1047">
        <f t="shared" si="116"/>
        <v>1</v>
      </c>
      <c r="DL87" s="108"/>
      <c r="DM87" s="108"/>
      <c r="DN87" s="108"/>
      <c r="DO87" s="108"/>
      <c r="DP87" s="108"/>
      <c r="DQ87" s="108"/>
      <c r="DR87" s="108"/>
      <c r="DS87" s="108"/>
      <c r="DT87" s="108"/>
      <c r="DU87" s="108"/>
    </row>
    <row r="88" spans="1:125" s="95" customFormat="1" ht="15" customHeight="1" x14ac:dyDescent="0.25">
      <c r="A88" s="1585" t="s">
        <v>1384</v>
      </c>
      <c r="B88" s="2172"/>
      <c r="C88" s="182" t="s">
        <v>690</v>
      </c>
      <c r="D88" s="1142" t="s">
        <v>1616</v>
      </c>
      <c r="E88" s="387" t="s">
        <v>1617</v>
      </c>
      <c r="F88" s="531" t="s">
        <v>1618</v>
      </c>
      <c r="G88" s="398" t="s">
        <v>1619</v>
      </c>
      <c r="H88" s="399" t="s">
        <v>1620</v>
      </c>
      <c r="I88" s="398" t="s">
        <v>1621</v>
      </c>
      <c r="J88" s="399" t="s">
        <v>1622</v>
      </c>
      <c r="K88" s="398" t="s">
        <v>1623</v>
      </c>
      <c r="L88" s="399" t="s">
        <v>1624</v>
      </c>
      <c r="M88" s="398" t="s">
        <v>1625</v>
      </c>
      <c r="N88" s="399" t="s">
        <v>1626</v>
      </c>
      <c r="O88" s="398" t="s">
        <v>1627</v>
      </c>
      <c r="P88" s="399" t="s">
        <v>1628</v>
      </c>
      <c r="Q88" s="398" t="s">
        <v>1629</v>
      </c>
      <c r="R88" s="399" t="s">
        <v>1630</v>
      </c>
      <c r="S88" s="398" t="s">
        <v>1631</v>
      </c>
      <c r="T88" s="399" t="s">
        <v>1632</v>
      </c>
      <c r="U88" s="398" t="s">
        <v>1633</v>
      </c>
      <c r="V88" s="399" t="s">
        <v>1634</v>
      </c>
      <c r="W88" s="398" t="s">
        <v>1635</v>
      </c>
      <c r="X88" s="399" t="s">
        <v>1636</v>
      </c>
      <c r="Y88" s="398" t="s">
        <v>1637</v>
      </c>
      <c r="Z88" s="399" t="s">
        <v>1638</v>
      </c>
      <c r="AA88" s="398" t="s">
        <v>1639</v>
      </c>
      <c r="AB88" s="399" t="s">
        <v>1640</v>
      </c>
      <c r="AC88" s="398" t="s">
        <v>1641</v>
      </c>
      <c r="AD88" s="399" t="s">
        <v>1642</v>
      </c>
      <c r="AE88" s="398" t="s">
        <v>1643</v>
      </c>
      <c r="AF88" s="399" t="s">
        <v>1644</v>
      </c>
      <c r="AG88" s="398" t="s">
        <v>1645</v>
      </c>
      <c r="AH88" s="399" t="s">
        <v>1646</v>
      </c>
      <c r="AI88" s="398" t="s">
        <v>1647</v>
      </c>
      <c r="AJ88" s="399" t="s">
        <v>1648</v>
      </c>
      <c r="AK88" s="398" t="s">
        <v>1649</v>
      </c>
      <c r="AL88" s="399" t="s">
        <v>1650</v>
      </c>
      <c r="AM88" s="398" t="s">
        <v>1651</v>
      </c>
      <c r="AN88" s="466" t="s">
        <v>1652</v>
      </c>
      <c r="AO88" s="457" t="s">
        <v>1653</v>
      </c>
      <c r="AP88" s="650" t="s">
        <v>1654</v>
      </c>
      <c r="AQ88" s="398" t="s">
        <v>1655</v>
      </c>
      <c r="AR88" s="533" t="s">
        <v>1656</v>
      </c>
      <c r="AS88" s="465" t="s">
        <v>1657</v>
      </c>
      <c r="AT88" s="399" t="s">
        <v>1658</v>
      </c>
      <c r="AU88" s="399" t="s">
        <v>1659</v>
      </c>
      <c r="AV88" s="399" t="s">
        <v>1660</v>
      </c>
      <c r="AW88" s="399" t="s">
        <v>1661</v>
      </c>
      <c r="AX88" s="399" t="s">
        <v>1662</v>
      </c>
      <c r="AY88" s="399" t="s">
        <v>1663</v>
      </c>
      <c r="AZ88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8" s="113"/>
      <c r="BB88" s="113"/>
      <c r="BC88" s="113"/>
      <c r="CB88" s="191" t="str">
        <f t="shared" si="98"/>
        <v xml:space="preserve"> * La variable Gestantes no puede ser Mayor al Total Mujeres.</v>
      </c>
      <c r="CC88" s="191" t="str">
        <f t="shared" si="99"/>
        <v xml:space="preserve"> * La variable Madre de hijo menor de 5 años no puede ser Mayor al Total Mujeres.</v>
      </c>
      <c r="CD88" s="191" t="str">
        <f t="shared" si="100"/>
        <v xml:space="preserve"> * La variable Pueblos Originarios Hombres no puede ser Mayor al Total Hombres.</v>
      </c>
      <c r="CE88" s="191" t="str">
        <f t="shared" si="101"/>
        <v xml:space="preserve"> * La variable Pueblos Originarios Mujeres no puede ser Mayor al Total Mujeres.</v>
      </c>
      <c r="CF88" s="191" t="str">
        <f t="shared" si="102"/>
        <v xml:space="preserve"> * La variable Migrantes Hombres no puede ser Mayor al Total Hombres.</v>
      </c>
      <c r="CG88" s="191" t="str">
        <f t="shared" si="103"/>
        <v xml:space="preserve"> * La variable Migrantes Mujeres no puede ser Mayor al Total Mujeres.</v>
      </c>
      <c r="CH88" s="191" t="str">
        <f t="shared" si="117"/>
        <v xml:space="preserve"> * La variable Niños, Niñas, Adolescentes y Jóvenes SENAME no puede ser Mayor al Total ambos sexos.</v>
      </c>
      <c r="CI88" s="191" t="str">
        <f t="shared" si="118"/>
        <v xml:space="preserve"> * La variable Niños y niñas Mejor Niñez no puede ser Mayor al Total ambos sexos.</v>
      </c>
      <c r="CJ88" s="191" t="str">
        <f t="shared" si="104"/>
        <v xml:space="preserve">* La variable Plan Cuidado Integral Elaborado debe ser menor o igual al Total de Personas en control. </v>
      </c>
      <c r="CK88" s="191" t="str">
        <f t="shared" si="119"/>
        <v xml:space="preserve"> * La variable Trans Masculino no debe ser mayor al Total Mujeres.</v>
      </c>
      <c r="CL88" s="191" t="str">
        <f t="shared" si="105"/>
        <v xml:space="preserve"> * La variable Trans Femenino no debe ser mayor al Total Hombre.</v>
      </c>
      <c r="CM88" s="108"/>
      <c r="CN88" s="108"/>
      <c r="CO88" s="1047">
        <f t="shared" si="106"/>
        <v>1</v>
      </c>
      <c r="CP88" s="1047">
        <f t="shared" si="107"/>
        <v>1</v>
      </c>
      <c r="CQ88" s="1047">
        <f t="shared" si="108"/>
        <v>1</v>
      </c>
      <c r="CR88" s="1047">
        <f t="shared" si="109"/>
        <v>1</v>
      </c>
      <c r="CS88" s="1047">
        <f t="shared" si="110"/>
        <v>1</v>
      </c>
      <c r="CT88" s="1047">
        <f t="shared" si="111"/>
        <v>1</v>
      </c>
      <c r="CU88" s="1047">
        <f t="shared" si="112"/>
        <v>1</v>
      </c>
      <c r="CV88" s="1047">
        <f t="shared" si="113"/>
        <v>1</v>
      </c>
      <c r="CW88" s="1047">
        <f t="shared" si="114"/>
        <v>1</v>
      </c>
      <c r="CX88" s="1047">
        <f t="shared" si="115"/>
        <v>1</v>
      </c>
      <c r="CY88" s="1047">
        <f t="shared" si="116"/>
        <v>1</v>
      </c>
      <c r="DL88" s="108"/>
      <c r="DM88" s="108"/>
      <c r="DN88" s="108"/>
      <c r="DO88" s="108"/>
      <c r="DP88" s="108"/>
      <c r="DQ88" s="108"/>
      <c r="DR88" s="108"/>
      <c r="DS88" s="108"/>
      <c r="DT88" s="108"/>
      <c r="DU88" s="108"/>
    </row>
    <row r="89" spans="1:125" s="95" customFormat="1" ht="15" customHeight="1" x14ac:dyDescent="0.25">
      <c r="A89" s="1585" t="s">
        <v>1385</v>
      </c>
      <c r="B89" s="2172"/>
      <c r="C89" s="182" t="s">
        <v>691</v>
      </c>
      <c r="D89" s="1142" t="s">
        <v>1616</v>
      </c>
      <c r="E89" s="387" t="s">
        <v>1617</v>
      </c>
      <c r="F89" s="531" t="s">
        <v>1618</v>
      </c>
      <c r="G89" s="398" t="s">
        <v>1619</v>
      </c>
      <c r="H89" s="399" t="s">
        <v>1620</v>
      </c>
      <c r="I89" s="398" t="s">
        <v>1621</v>
      </c>
      <c r="J89" s="399" t="s">
        <v>1622</v>
      </c>
      <c r="K89" s="398" t="s">
        <v>1623</v>
      </c>
      <c r="L89" s="399" t="s">
        <v>1624</v>
      </c>
      <c r="M89" s="398" t="s">
        <v>1625</v>
      </c>
      <c r="N89" s="399" t="s">
        <v>1626</v>
      </c>
      <c r="O89" s="398" t="s">
        <v>1627</v>
      </c>
      <c r="P89" s="399" t="s">
        <v>1628</v>
      </c>
      <c r="Q89" s="398" t="s">
        <v>1629</v>
      </c>
      <c r="R89" s="399" t="s">
        <v>1630</v>
      </c>
      <c r="S89" s="398" t="s">
        <v>1631</v>
      </c>
      <c r="T89" s="399" t="s">
        <v>1632</v>
      </c>
      <c r="U89" s="398" t="s">
        <v>1633</v>
      </c>
      <c r="V89" s="399" t="s">
        <v>1634</v>
      </c>
      <c r="W89" s="398" t="s">
        <v>1635</v>
      </c>
      <c r="X89" s="399" t="s">
        <v>1636</v>
      </c>
      <c r="Y89" s="398" t="s">
        <v>1637</v>
      </c>
      <c r="Z89" s="399" t="s">
        <v>1638</v>
      </c>
      <c r="AA89" s="398" t="s">
        <v>1639</v>
      </c>
      <c r="AB89" s="399" t="s">
        <v>1640</v>
      </c>
      <c r="AC89" s="398" t="s">
        <v>1641</v>
      </c>
      <c r="AD89" s="399" t="s">
        <v>1642</v>
      </c>
      <c r="AE89" s="398" t="s">
        <v>1643</v>
      </c>
      <c r="AF89" s="399" t="s">
        <v>1644</v>
      </c>
      <c r="AG89" s="398" t="s">
        <v>1645</v>
      </c>
      <c r="AH89" s="399" t="s">
        <v>1646</v>
      </c>
      <c r="AI89" s="398" t="s">
        <v>1647</v>
      </c>
      <c r="AJ89" s="399" t="s">
        <v>1648</v>
      </c>
      <c r="AK89" s="398" t="s">
        <v>1649</v>
      </c>
      <c r="AL89" s="399" t="s">
        <v>1650</v>
      </c>
      <c r="AM89" s="398" t="s">
        <v>1651</v>
      </c>
      <c r="AN89" s="466" t="s">
        <v>1652</v>
      </c>
      <c r="AO89" s="457" t="s">
        <v>1653</v>
      </c>
      <c r="AP89" s="650" t="s">
        <v>1654</v>
      </c>
      <c r="AQ89" s="398" t="s">
        <v>1655</v>
      </c>
      <c r="AR89" s="533" t="s">
        <v>1656</v>
      </c>
      <c r="AS89" s="465" t="s">
        <v>1657</v>
      </c>
      <c r="AT89" s="399" t="s">
        <v>1658</v>
      </c>
      <c r="AU89" s="399" t="s">
        <v>1659</v>
      </c>
      <c r="AV89" s="399" t="s">
        <v>1660</v>
      </c>
      <c r="AW89" s="399" t="s">
        <v>1661</v>
      </c>
      <c r="AX89" s="399" t="s">
        <v>1662</v>
      </c>
      <c r="AY89" s="399" t="s">
        <v>1663</v>
      </c>
      <c r="AZ89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9" s="113"/>
      <c r="BB89" s="113"/>
      <c r="BC89" s="113"/>
      <c r="CB89" s="191" t="str">
        <f t="shared" si="98"/>
        <v xml:space="preserve"> * La variable Gestantes no puede ser Mayor al Total Mujeres.</v>
      </c>
      <c r="CC89" s="191" t="str">
        <f t="shared" si="99"/>
        <v xml:space="preserve"> * La variable Madre de hijo menor de 5 años no puede ser Mayor al Total Mujeres.</v>
      </c>
      <c r="CD89" s="191" t="str">
        <f t="shared" si="100"/>
        <v xml:space="preserve"> * La variable Pueblos Originarios Hombres no puede ser Mayor al Total Hombres.</v>
      </c>
      <c r="CE89" s="191" t="str">
        <f>IF(AND(F89&gt;0,OR(AR89=""))," * No olvide digitar la variable Pueblos Originarios Mujeres. Digite Cero si no tiene.",IF(AR89&gt;F89," * La variable Pueblos Originarios Mujeres no puede ser Mayor al Total Mujeres.",""))</f>
        <v xml:space="preserve"> * La variable Pueblos Originarios Mujeres no puede ser Mayor al Total Mujeres.</v>
      </c>
      <c r="CF89" s="191" t="str">
        <f t="shared" si="102"/>
        <v xml:space="preserve"> * La variable Migrantes Hombres no puede ser Mayor al Total Hombres.</v>
      </c>
      <c r="CG89" s="191" t="str">
        <f t="shared" si="103"/>
        <v xml:space="preserve"> * La variable Migrantes Mujeres no puede ser Mayor al Total Mujeres.</v>
      </c>
      <c r="CH89" s="191" t="str">
        <f t="shared" si="117"/>
        <v xml:space="preserve"> * La variable Niños, Niñas, Adolescentes y Jóvenes SENAME no puede ser Mayor al Total ambos sexos.</v>
      </c>
      <c r="CI89" s="191" t="str">
        <f t="shared" si="118"/>
        <v xml:space="preserve"> * La variable Niños y niñas Mejor Niñez no puede ser Mayor al Total ambos sexos.</v>
      </c>
      <c r="CJ89" s="191" t="str">
        <f t="shared" si="104"/>
        <v xml:space="preserve">* La variable Plan Cuidado Integral Elaborado debe ser menor o igual al Total de Personas en control. </v>
      </c>
      <c r="CK89" s="191" t="str">
        <f t="shared" si="119"/>
        <v xml:space="preserve"> * La variable Trans Masculino no debe ser mayor al Total Mujeres.</v>
      </c>
      <c r="CL89" s="191" t="str">
        <f t="shared" si="105"/>
        <v xml:space="preserve"> * La variable Trans Femenino no debe ser mayor al Total Hombre.</v>
      </c>
      <c r="CM89" s="108"/>
      <c r="CN89" s="108"/>
      <c r="CO89" s="1047">
        <f t="shared" si="106"/>
        <v>1</v>
      </c>
      <c r="CP89" s="1047">
        <f t="shared" si="107"/>
        <v>1</v>
      </c>
      <c r="CQ89" s="1047">
        <f t="shared" si="108"/>
        <v>1</v>
      </c>
      <c r="CR89" s="1047">
        <f t="shared" si="109"/>
        <v>1</v>
      </c>
      <c r="CS89" s="1047">
        <f t="shared" si="110"/>
        <v>1</v>
      </c>
      <c r="CT89" s="1047">
        <f t="shared" si="111"/>
        <v>1</v>
      </c>
      <c r="CU89" s="1047">
        <f t="shared" si="112"/>
        <v>1</v>
      </c>
      <c r="CV89" s="1047">
        <f t="shared" si="113"/>
        <v>1</v>
      </c>
      <c r="CW89" s="1047">
        <f t="shared" si="114"/>
        <v>1</v>
      </c>
      <c r="CX89" s="1047">
        <f t="shared" si="115"/>
        <v>1</v>
      </c>
      <c r="CY89" s="1047">
        <f t="shared" si="116"/>
        <v>1</v>
      </c>
      <c r="DL89" s="108"/>
      <c r="DM89" s="108"/>
      <c r="DN89" s="108"/>
      <c r="DO89" s="108"/>
      <c r="DP89" s="108"/>
      <c r="DQ89" s="108"/>
      <c r="DR89" s="108"/>
      <c r="DS89" s="108"/>
      <c r="DT89" s="108"/>
      <c r="DU89" s="108"/>
    </row>
    <row r="90" spans="1:125" s="95" customFormat="1" ht="15" customHeight="1" x14ac:dyDescent="0.25">
      <c r="A90" s="1585" t="s">
        <v>1386</v>
      </c>
      <c r="B90" s="2172"/>
      <c r="C90" s="183" t="s">
        <v>644</v>
      </c>
      <c r="D90" s="1142" t="s">
        <v>1616</v>
      </c>
      <c r="E90" s="534" t="s">
        <v>1617</v>
      </c>
      <c r="F90" s="535" t="s">
        <v>1618</v>
      </c>
      <c r="G90" s="436" t="s">
        <v>1619</v>
      </c>
      <c r="H90" s="437" t="s">
        <v>1620</v>
      </c>
      <c r="I90" s="436" t="s">
        <v>1621</v>
      </c>
      <c r="J90" s="437" t="s">
        <v>1622</v>
      </c>
      <c r="K90" s="436" t="s">
        <v>1623</v>
      </c>
      <c r="L90" s="399" t="s">
        <v>1624</v>
      </c>
      <c r="M90" s="436" t="s">
        <v>1625</v>
      </c>
      <c r="N90" s="399" t="s">
        <v>1626</v>
      </c>
      <c r="O90" s="436" t="s">
        <v>1627</v>
      </c>
      <c r="P90" s="399" t="s">
        <v>1628</v>
      </c>
      <c r="Q90" s="436" t="s">
        <v>1629</v>
      </c>
      <c r="R90" s="399" t="s">
        <v>1630</v>
      </c>
      <c r="S90" s="436" t="s">
        <v>1631</v>
      </c>
      <c r="T90" s="399" t="s">
        <v>1632</v>
      </c>
      <c r="U90" s="436" t="s">
        <v>1633</v>
      </c>
      <c r="V90" s="399" t="s">
        <v>1634</v>
      </c>
      <c r="W90" s="436" t="s">
        <v>1635</v>
      </c>
      <c r="X90" s="399" t="s">
        <v>1636</v>
      </c>
      <c r="Y90" s="436" t="s">
        <v>1637</v>
      </c>
      <c r="Z90" s="399" t="s">
        <v>1638</v>
      </c>
      <c r="AA90" s="436" t="s">
        <v>1639</v>
      </c>
      <c r="AB90" s="399" t="s">
        <v>1640</v>
      </c>
      <c r="AC90" s="436" t="s">
        <v>1641</v>
      </c>
      <c r="AD90" s="399" t="s">
        <v>1642</v>
      </c>
      <c r="AE90" s="436" t="s">
        <v>1643</v>
      </c>
      <c r="AF90" s="437" t="s">
        <v>1644</v>
      </c>
      <c r="AG90" s="436" t="s">
        <v>1645</v>
      </c>
      <c r="AH90" s="437" t="s">
        <v>1646</v>
      </c>
      <c r="AI90" s="436" t="s">
        <v>1647</v>
      </c>
      <c r="AJ90" s="437" t="s">
        <v>1648</v>
      </c>
      <c r="AK90" s="436" t="s">
        <v>1649</v>
      </c>
      <c r="AL90" s="437" t="s">
        <v>1650</v>
      </c>
      <c r="AM90" s="436" t="s">
        <v>1651</v>
      </c>
      <c r="AN90" s="845" t="s">
        <v>1652</v>
      </c>
      <c r="AO90" s="846" t="s">
        <v>1653</v>
      </c>
      <c r="AP90" s="650" t="s">
        <v>1654</v>
      </c>
      <c r="AQ90" s="436" t="s">
        <v>1655</v>
      </c>
      <c r="AR90" s="533" t="s">
        <v>1656</v>
      </c>
      <c r="AS90" s="534" t="s">
        <v>1657</v>
      </c>
      <c r="AT90" s="399" t="s">
        <v>1658</v>
      </c>
      <c r="AU90" s="399" t="s">
        <v>1659</v>
      </c>
      <c r="AV90" s="399" t="s">
        <v>1660</v>
      </c>
      <c r="AW90" s="399" t="s">
        <v>1661</v>
      </c>
      <c r="AX90" s="399" t="s">
        <v>1662</v>
      </c>
      <c r="AY90" s="399" t="s">
        <v>1663</v>
      </c>
      <c r="AZ90" s="1056" t="str">
        <f t="shared" si="97"/>
        <v xml:space="preserve"> * La variable Madre de hijo menor de 5 años no puede ser Mayor al Total Mujeres. * La variable Pueblos Originarios Mujeres no puede ser Mayor al Total Mujeres.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</v>
      </c>
      <c r="BA90" s="113"/>
      <c r="BB90" s="113"/>
      <c r="BC90" s="113"/>
      <c r="CB90" s="1086"/>
      <c r="CC90" s="191" t="str">
        <f t="shared" si="99"/>
        <v xml:space="preserve"> * La variable Madre de hijo menor de 5 años no puede ser Mayor al Total Mujeres.</v>
      </c>
      <c r="CD90" s="1086"/>
      <c r="CE90" s="191" t="str">
        <f>IF(AND(F90&gt;0,OR(AR90=""))," * No olvide digitar la variable Pueblos Originarios Mujeres. Digite Cero si no tiene.",IF(AR90&gt;F90," * La variable Pueblos Originarios Mujeres no puede ser Mayor al Total Mujeres.",""))</f>
        <v xml:space="preserve"> * La variable Pueblos Originarios Mujeres no puede ser Mayor al Total Mujeres.</v>
      </c>
      <c r="CF90" s="1086"/>
      <c r="CG90" s="191" t="str">
        <f>IF(AND($F90&gt;0,OR(AT90=""))," * No olvide digitar la variable Migrantes Mujeres. Digite Cero si no tiene.",IF(AT90&gt;$F90," * La variable Migrantes Mujeres no puede ser Mayor al Total Mujeres.",""))</f>
        <v xml:space="preserve"> * La variable Migrantes Mujeres no puede ser Mayor al Total Mujeres.</v>
      </c>
      <c r="CH90" s="191" t="str">
        <f t="shared" si="117"/>
        <v xml:space="preserve"> * La variable Niños, Niñas, Adolescentes y Jóvenes SENAME no puede ser Mayor al Total ambos sexos.</v>
      </c>
      <c r="CI90" s="191" t="str">
        <f t="shared" si="118"/>
        <v xml:space="preserve"> * La variable Niños y niñas Mejor Niñez no puede ser Mayor al Total ambos sexos.</v>
      </c>
      <c r="CJ90" s="191" t="str">
        <f>IF(AND(D90&gt;0,OR(AW90=""))," * No olvide digitar la variable Plan Cuidado Integral Elaborado. Digite Cero si no tiene.",IF($AW90&gt;$D90,"* La variable Plan Cuidado Integral Elaborado debe ser menor o igual al Total de Personas en control. ",""))</f>
        <v xml:space="preserve">* La variable Plan Cuidado Integral Elaborado debe ser menor o igual al Total de Personas en control. </v>
      </c>
      <c r="CK90" s="191" t="str">
        <f t="shared" si="119"/>
        <v xml:space="preserve"> * La variable Trans Masculino no debe ser mayor al Total Mujeres.</v>
      </c>
      <c r="CL90" s="1086"/>
      <c r="CM90" s="108"/>
      <c r="CN90" s="108"/>
      <c r="CO90" s="1086"/>
      <c r="CP90" s="1047">
        <f t="shared" si="107"/>
        <v>1</v>
      </c>
      <c r="CQ90" s="1086"/>
      <c r="CR90" s="1047">
        <f t="shared" si="109"/>
        <v>1</v>
      </c>
      <c r="CS90" s="1086"/>
      <c r="CT90" s="1047">
        <f t="shared" si="111"/>
        <v>1</v>
      </c>
      <c r="CU90" s="1047">
        <f t="shared" si="112"/>
        <v>1</v>
      </c>
      <c r="CV90" s="1047">
        <f t="shared" si="113"/>
        <v>1</v>
      </c>
      <c r="CW90" s="1047">
        <f t="shared" si="114"/>
        <v>1</v>
      </c>
      <c r="CX90" s="1047">
        <f t="shared" si="115"/>
        <v>1</v>
      </c>
      <c r="CY90" s="1086"/>
      <c r="DL90" s="108"/>
      <c r="DM90" s="108"/>
      <c r="DN90" s="108"/>
      <c r="DO90" s="108"/>
      <c r="DP90" s="108"/>
      <c r="DQ90" s="108"/>
      <c r="DR90" s="108"/>
      <c r="DS90" s="108"/>
      <c r="DT90" s="108"/>
      <c r="DU90" s="108"/>
    </row>
    <row r="91" spans="1:125" s="95" customFormat="1" ht="15" customHeight="1" x14ac:dyDescent="0.25">
      <c r="A91" s="1585" t="s">
        <v>1387</v>
      </c>
      <c r="B91" s="2172"/>
      <c r="C91" s="112" t="s">
        <v>645</v>
      </c>
      <c r="D91" s="1143" t="s">
        <v>1616</v>
      </c>
      <c r="E91" s="391" t="s">
        <v>1617</v>
      </c>
      <c r="F91" s="532" t="s">
        <v>1618</v>
      </c>
      <c r="G91" s="408" t="s">
        <v>1619</v>
      </c>
      <c r="H91" s="409" t="s">
        <v>1620</v>
      </c>
      <c r="I91" s="408" t="s">
        <v>1621</v>
      </c>
      <c r="J91" s="409" t="s">
        <v>1622</v>
      </c>
      <c r="K91" s="408" t="s">
        <v>1623</v>
      </c>
      <c r="L91" s="409" t="s">
        <v>1624</v>
      </c>
      <c r="M91" s="408" t="s">
        <v>1625</v>
      </c>
      <c r="N91" s="409" t="s">
        <v>1626</v>
      </c>
      <c r="O91" s="408" t="s">
        <v>1627</v>
      </c>
      <c r="P91" s="409" t="s">
        <v>1628</v>
      </c>
      <c r="Q91" s="408" t="s">
        <v>1629</v>
      </c>
      <c r="R91" s="409" t="s">
        <v>1630</v>
      </c>
      <c r="S91" s="408" t="s">
        <v>1631</v>
      </c>
      <c r="T91" s="409" t="s">
        <v>1632</v>
      </c>
      <c r="U91" s="408" t="s">
        <v>1633</v>
      </c>
      <c r="V91" s="409" t="s">
        <v>1634</v>
      </c>
      <c r="W91" s="408" t="s">
        <v>1635</v>
      </c>
      <c r="X91" s="409" t="s">
        <v>1636</v>
      </c>
      <c r="Y91" s="408" t="s">
        <v>1637</v>
      </c>
      <c r="Z91" s="409" t="s">
        <v>1638</v>
      </c>
      <c r="AA91" s="408" t="s">
        <v>1639</v>
      </c>
      <c r="AB91" s="409" t="s">
        <v>1640</v>
      </c>
      <c r="AC91" s="408" t="s">
        <v>1641</v>
      </c>
      <c r="AD91" s="409" t="s">
        <v>1642</v>
      </c>
      <c r="AE91" s="408" t="s">
        <v>1643</v>
      </c>
      <c r="AF91" s="409" t="s">
        <v>1644</v>
      </c>
      <c r="AG91" s="408" t="s">
        <v>1645</v>
      </c>
      <c r="AH91" s="409" t="s">
        <v>1646</v>
      </c>
      <c r="AI91" s="408" t="s">
        <v>1647</v>
      </c>
      <c r="AJ91" s="409" t="s">
        <v>1648</v>
      </c>
      <c r="AK91" s="408" t="s">
        <v>1649</v>
      </c>
      <c r="AL91" s="409" t="s">
        <v>1650</v>
      </c>
      <c r="AM91" s="408" t="s">
        <v>1651</v>
      </c>
      <c r="AN91" s="544" t="s">
        <v>1652</v>
      </c>
      <c r="AO91" s="459" t="s">
        <v>1653</v>
      </c>
      <c r="AP91" s="653" t="s">
        <v>1654</v>
      </c>
      <c r="AQ91" s="408" t="s">
        <v>1655</v>
      </c>
      <c r="AR91" s="538" t="s">
        <v>1656</v>
      </c>
      <c r="AS91" s="659" t="s">
        <v>1657</v>
      </c>
      <c r="AT91" s="409" t="s">
        <v>1658</v>
      </c>
      <c r="AU91" s="409" t="s">
        <v>1659</v>
      </c>
      <c r="AV91" s="409" t="s">
        <v>1660</v>
      </c>
      <c r="AW91" s="409" t="s">
        <v>1661</v>
      </c>
      <c r="AX91" s="409" t="s">
        <v>1662</v>
      </c>
      <c r="AY91" s="409" t="s">
        <v>1663</v>
      </c>
      <c r="AZ91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1" s="113"/>
      <c r="BB91" s="113"/>
      <c r="BC91" s="113"/>
      <c r="CB91" s="191" t="str">
        <f t="shared" ref="CB91:CB105" si="120">IF(AND(F91&gt;0,OR(AO91=""))," * No olvide digitar la variable Gestantes. Digite Cero si no tiene.",IF(AO91&gt;F91," * La variable Gestantes no puede ser Mayor al Total Mujeres.",""))</f>
        <v xml:space="preserve"> * La variable Gestantes no puede ser Mayor al Total Mujeres.</v>
      </c>
      <c r="CC91" s="191" t="str">
        <f t="shared" si="99"/>
        <v xml:space="preserve"> * La variable Madre de hijo menor de 5 años no puede ser Mayor al Total Mujeres.</v>
      </c>
      <c r="CD91" s="191" t="str">
        <f t="shared" ref="CD91:CD105" si="121">IF(AND(E91&gt;0,OR(AQ91=""))," * No olvide digitar la variable Pueblos Originarios Hombres. Digite Cero si no tiene.",IF(AQ91&gt;E91," * La variable Pueblos Originarios Hombres no puede ser Mayor al Total Hombres.",""))</f>
        <v xml:space="preserve"> * La variable Pueblos Originarios Hombres no puede ser Mayor al Total Hombres.</v>
      </c>
      <c r="CE91" s="191" t="str">
        <f t="shared" ref="CE91:CE120" si="122">IF(AND(F91&gt;0,OR(AR91=""))," * No olvide digitar la variable Pueblos Originarios Mujeres. Digite Cero si no tiene.",IF(AR91&gt;F91," * La variable Pueblos Originarios Mujeres no puede ser Mayor al Total Mujeres.",""))</f>
        <v xml:space="preserve"> * La variable Pueblos Originarios Mujeres no puede ser Mayor al Total Mujeres.</v>
      </c>
      <c r="CF91" s="191" t="str">
        <f t="shared" ref="CF91:CF120" si="123">IF(AND($E91&gt;0,OR(AS91=""))," * No olvide digitar la variable Migrantes Hombres. Digite Cero si no tiene.",IF(AS91&gt;$E91," * La variable Migrantes Hombres no puede ser Mayor al Total Hombres.",""))</f>
        <v xml:space="preserve"> * La variable Migrantes Hombres no puede ser Mayor al Total Hombres.</v>
      </c>
      <c r="CG91" s="191" t="str">
        <f t="shared" ref="CG91:CG120" si="124">IF(AND($F91&gt;0,OR(AT91=""))," * No olvide digitar la variable Migrantes Mujeres. Digite Cero si no tiene.",IF(AT91&gt;$F91," * La variable Migrantes Mujeres no puede ser Mayor al Total Mujeres.",""))</f>
        <v xml:space="preserve"> * La variable Migrantes Mujeres no puede ser Mayor al Total Mujeres.</v>
      </c>
      <c r="CH91" s="191" t="str">
        <f t="shared" si="117"/>
        <v xml:space="preserve"> * La variable Niños, Niñas, Adolescentes y Jóvenes SENAME no puede ser Mayor al Total ambos sexos.</v>
      </c>
      <c r="CI91" s="191" t="str">
        <f t="shared" si="118"/>
        <v xml:space="preserve"> * La variable Niños y niñas Mejor Niñez no puede ser Mayor al Total ambos sexos.</v>
      </c>
      <c r="CJ91" s="191" t="str">
        <f t="shared" ref="CJ91:CJ120" si="125">IF(AND(D91&gt;0,OR(AW91=""))," * No olvide digitar la variable Plan Cuidado Integral Elaborado. Digite Cero si no tiene.",IF($AW91&gt;$D91,"* La variable Plan Cuidado Integral Elaborado debe ser menor o igual al Total de Personas en control. ",""))</f>
        <v xml:space="preserve">* La variable Plan Cuidado Integral Elaborado debe ser menor o igual al Total de Personas en control. </v>
      </c>
      <c r="CK91" s="191" t="str">
        <f t="shared" si="119"/>
        <v xml:space="preserve"> * La variable Trans Masculino no debe ser mayor al Total Mujeres.</v>
      </c>
      <c r="CL91" s="191" t="str">
        <f t="shared" ref="CL91:CL120" si="126">IF(AND(E91&gt;0,OR(AY91=""))," * No olvide digitar la variable Trans Femenino. (Digite Cero si no tiene).",IF(AY91&gt;E91," * La variable Trans Femenino no debe ser mayor al Total Hombre.",""))</f>
        <v xml:space="preserve"> * La variable Trans Femenino no debe ser mayor al Total Hombre.</v>
      </c>
      <c r="CM91" s="108"/>
      <c r="CN91" s="108"/>
      <c r="CO91" s="1047">
        <f t="shared" ref="CO91:CO105" si="127">IF(AND($F91&gt;0,OR(AO91="")),1,IF(AO91&gt;$F91,1,0))</f>
        <v>1</v>
      </c>
      <c r="CP91" s="1047">
        <f t="shared" si="107"/>
        <v>1</v>
      </c>
      <c r="CQ91" s="1047">
        <f t="shared" ref="CQ91:CQ97" si="128">IF(AND($E91&gt;0,OR(AQ91="")),1,IF(AQ91&gt;$E91,1,0))</f>
        <v>1</v>
      </c>
      <c r="CR91" s="1047">
        <f t="shared" si="109"/>
        <v>1</v>
      </c>
      <c r="CS91" s="1047">
        <f t="shared" ref="CS91:CS96" si="129">IF(AND($E91&gt;0,OR(AS91="")),1,IF(AS91&gt;$E91,1,0))</f>
        <v>1</v>
      </c>
      <c r="CT91" s="1047">
        <f t="shared" si="111"/>
        <v>1</v>
      </c>
      <c r="CU91" s="1047">
        <f t="shared" si="112"/>
        <v>1</v>
      </c>
      <c r="CV91" s="1047">
        <f t="shared" si="113"/>
        <v>1</v>
      </c>
      <c r="CW91" s="1047">
        <f t="shared" si="114"/>
        <v>1</v>
      </c>
      <c r="CX91" s="1047">
        <f t="shared" si="115"/>
        <v>1</v>
      </c>
      <c r="CY91" s="1047">
        <f t="shared" ref="CY91:CY120" si="130">IF(AND(E91&gt;0,OR(AY91="")),1,IF(AY91&gt;$E91,1,0))</f>
        <v>1</v>
      </c>
      <c r="DL91" s="108"/>
      <c r="DM91" s="108"/>
      <c r="DN91" s="108"/>
      <c r="DO91" s="108"/>
      <c r="DP91" s="108"/>
      <c r="DQ91" s="108"/>
      <c r="DR91" s="108"/>
      <c r="DS91" s="108"/>
      <c r="DT91" s="108"/>
      <c r="DU91" s="108"/>
    </row>
    <row r="92" spans="1:125" s="95" customFormat="1" ht="15" customHeight="1" x14ac:dyDescent="0.25">
      <c r="A92" s="1585" t="s">
        <v>1388</v>
      </c>
      <c r="B92" s="2172" t="s">
        <v>692</v>
      </c>
      <c r="C92" s="795" t="s">
        <v>647</v>
      </c>
      <c r="D92" s="1145" t="s">
        <v>1616</v>
      </c>
      <c r="E92" s="392" t="s">
        <v>1617</v>
      </c>
      <c r="F92" s="539" t="s">
        <v>1618</v>
      </c>
      <c r="G92" s="394" t="s">
        <v>1619</v>
      </c>
      <c r="H92" s="395" t="s">
        <v>1620</v>
      </c>
      <c r="I92" s="394" t="s">
        <v>1621</v>
      </c>
      <c r="J92" s="395" t="s">
        <v>1622</v>
      </c>
      <c r="K92" s="394" t="s">
        <v>1623</v>
      </c>
      <c r="L92" s="395" t="s">
        <v>1624</v>
      </c>
      <c r="M92" s="394" t="s">
        <v>1625</v>
      </c>
      <c r="N92" s="395" t="s">
        <v>1626</v>
      </c>
      <c r="O92" s="394" t="s">
        <v>1627</v>
      </c>
      <c r="P92" s="395" t="s">
        <v>1628</v>
      </c>
      <c r="Q92" s="394" t="s">
        <v>1629</v>
      </c>
      <c r="R92" s="395" t="s">
        <v>1630</v>
      </c>
      <c r="S92" s="394" t="s">
        <v>1631</v>
      </c>
      <c r="T92" s="395" t="s">
        <v>1632</v>
      </c>
      <c r="U92" s="394" t="s">
        <v>1633</v>
      </c>
      <c r="V92" s="395" t="s">
        <v>1634</v>
      </c>
      <c r="W92" s="394" t="s">
        <v>1635</v>
      </c>
      <c r="X92" s="395" t="s">
        <v>1636</v>
      </c>
      <c r="Y92" s="394" t="s">
        <v>1637</v>
      </c>
      <c r="Z92" s="395" t="s">
        <v>1638</v>
      </c>
      <c r="AA92" s="394" t="s">
        <v>1639</v>
      </c>
      <c r="AB92" s="395" t="s">
        <v>1640</v>
      </c>
      <c r="AC92" s="394" t="s">
        <v>1641</v>
      </c>
      <c r="AD92" s="395" t="s">
        <v>1642</v>
      </c>
      <c r="AE92" s="394" t="s">
        <v>1643</v>
      </c>
      <c r="AF92" s="395" t="s">
        <v>1644</v>
      </c>
      <c r="AG92" s="394" t="s">
        <v>1645</v>
      </c>
      <c r="AH92" s="395" t="s">
        <v>1646</v>
      </c>
      <c r="AI92" s="394" t="s">
        <v>1647</v>
      </c>
      <c r="AJ92" s="395" t="s">
        <v>1648</v>
      </c>
      <c r="AK92" s="394" t="s">
        <v>1649</v>
      </c>
      <c r="AL92" s="395" t="s">
        <v>1650</v>
      </c>
      <c r="AM92" s="394" t="s">
        <v>1651</v>
      </c>
      <c r="AN92" s="543" t="s">
        <v>1652</v>
      </c>
      <c r="AO92" s="648" t="s">
        <v>1653</v>
      </c>
      <c r="AP92" s="649" t="s">
        <v>1654</v>
      </c>
      <c r="AQ92" s="394" t="s">
        <v>1655</v>
      </c>
      <c r="AR92" s="461" t="s">
        <v>1656</v>
      </c>
      <c r="AS92" s="462" t="s">
        <v>1657</v>
      </c>
      <c r="AT92" s="395" t="s">
        <v>1658</v>
      </c>
      <c r="AU92" s="395" t="s">
        <v>1659</v>
      </c>
      <c r="AV92" s="395" t="s">
        <v>1660</v>
      </c>
      <c r="AW92" s="395" t="s">
        <v>1661</v>
      </c>
      <c r="AX92" s="395" t="s">
        <v>1662</v>
      </c>
      <c r="AY92" s="395" t="s">
        <v>1663</v>
      </c>
      <c r="AZ92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2" s="113"/>
      <c r="BB92" s="113"/>
      <c r="BC92" s="113"/>
      <c r="CB92" s="191" t="str">
        <f t="shared" si="120"/>
        <v xml:space="preserve"> * La variable Gestantes no puede ser Mayor al Total Mujeres.</v>
      </c>
      <c r="CC92" s="191" t="str">
        <f t="shared" si="99"/>
        <v xml:space="preserve"> * La variable Madre de hijo menor de 5 años no puede ser Mayor al Total Mujeres.</v>
      </c>
      <c r="CD92" s="191" t="str">
        <f t="shared" si="121"/>
        <v xml:space="preserve"> * La variable Pueblos Originarios Hombres no puede ser Mayor al Total Hombres.</v>
      </c>
      <c r="CE92" s="191" t="str">
        <f t="shared" si="122"/>
        <v xml:space="preserve"> * La variable Pueblos Originarios Mujeres no puede ser Mayor al Total Mujeres.</v>
      </c>
      <c r="CF92" s="191" t="str">
        <f t="shared" si="123"/>
        <v xml:space="preserve"> * La variable Migrantes Hombres no puede ser Mayor al Total Hombres.</v>
      </c>
      <c r="CG92" s="191" t="str">
        <f t="shared" si="124"/>
        <v xml:space="preserve"> * La variable Migrantes Mujeres no puede ser Mayor al Total Mujeres.</v>
      </c>
      <c r="CH92" s="191" t="str">
        <f t="shared" si="117"/>
        <v xml:space="preserve"> * La variable Niños, Niñas, Adolescentes y Jóvenes SENAME no puede ser Mayor al Total ambos sexos.</v>
      </c>
      <c r="CI92" s="191" t="str">
        <f t="shared" si="118"/>
        <v xml:space="preserve"> * La variable Niños y niñas Mejor Niñez no puede ser Mayor al Total ambos sexos.</v>
      </c>
      <c r="CJ92" s="191" t="str">
        <f t="shared" si="125"/>
        <v xml:space="preserve">* La variable Plan Cuidado Integral Elaborado debe ser menor o igual al Total de Personas en control. </v>
      </c>
      <c r="CK92" s="191" t="str">
        <f t="shared" si="119"/>
        <v xml:space="preserve"> * La variable Trans Masculino no debe ser mayor al Total Mujeres.</v>
      </c>
      <c r="CL92" s="191" t="str">
        <f t="shared" si="126"/>
        <v xml:space="preserve"> * La variable Trans Femenino no debe ser mayor al Total Hombre.</v>
      </c>
      <c r="CM92" s="108"/>
      <c r="CN92" s="108"/>
      <c r="CO92" s="1047">
        <f t="shared" si="127"/>
        <v>1</v>
      </c>
      <c r="CP92" s="1047">
        <f t="shared" si="107"/>
        <v>1</v>
      </c>
      <c r="CQ92" s="1047">
        <f t="shared" si="128"/>
        <v>1</v>
      </c>
      <c r="CR92" s="1047">
        <f t="shared" si="109"/>
        <v>1</v>
      </c>
      <c r="CS92" s="1047">
        <f t="shared" si="129"/>
        <v>1</v>
      </c>
      <c r="CT92" s="1047">
        <f t="shared" si="111"/>
        <v>1</v>
      </c>
      <c r="CU92" s="1047">
        <f t="shared" si="112"/>
        <v>1</v>
      </c>
      <c r="CV92" s="1047">
        <f t="shared" si="113"/>
        <v>1</v>
      </c>
      <c r="CW92" s="1047">
        <f t="shared" si="114"/>
        <v>1</v>
      </c>
      <c r="CX92" s="1047">
        <f t="shared" si="115"/>
        <v>1</v>
      </c>
      <c r="CY92" s="1047">
        <f t="shared" si="130"/>
        <v>1</v>
      </c>
      <c r="DL92" s="108"/>
      <c r="DM92" s="108"/>
      <c r="DN92" s="108"/>
      <c r="DO92" s="108"/>
      <c r="DP92" s="108"/>
      <c r="DQ92" s="108"/>
      <c r="DR92" s="108"/>
      <c r="DS92" s="108"/>
      <c r="DT92" s="108"/>
      <c r="DU92" s="108"/>
    </row>
    <row r="93" spans="1:125" s="95" customFormat="1" ht="15" customHeight="1" x14ac:dyDescent="0.25">
      <c r="A93" s="1585" t="s">
        <v>1389</v>
      </c>
      <c r="B93" s="2172"/>
      <c r="C93" s="584" t="s">
        <v>648</v>
      </c>
      <c r="D93" s="1147" t="s">
        <v>1616</v>
      </c>
      <c r="E93" s="397" t="s">
        <v>1617</v>
      </c>
      <c r="F93" s="535" t="s">
        <v>1618</v>
      </c>
      <c r="G93" s="398" t="s">
        <v>1619</v>
      </c>
      <c r="H93" s="399" t="s">
        <v>1620</v>
      </c>
      <c r="I93" s="398" t="s">
        <v>1621</v>
      </c>
      <c r="J93" s="399" t="s">
        <v>1622</v>
      </c>
      <c r="K93" s="398" t="s">
        <v>1623</v>
      </c>
      <c r="L93" s="399" t="s">
        <v>1624</v>
      </c>
      <c r="M93" s="398" t="s">
        <v>1625</v>
      </c>
      <c r="N93" s="399" t="s">
        <v>1626</v>
      </c>
      <c r="O93" s="398" t="s">
        <v>1627</v>
      </c>
      <c r="P93" s="399" t="s">
        <v>1628</v>
      </c>
      <c r="Q93" s="398" t="s">
        <v>1629</v>
      </c>
      <c r="R93" s="399" t="s">
        <v>1630</v>
      </c>
      <c r="S93" s="398" t="s">
        <v>1631</v>
      </c>
      <c r="T93" s="399" t="s">
        <v>1632</v>
      </c>
      <c r="U93" s="398" t="s">
        <v>1633</v>
      </c>
      <c r="V93" s="399" t="s">
        <v>1634</v>
      </c>
      <c r="W93" s="398" t="s">
        <v>1635</v>
      </c>
      <c r="X93" s="399" t="s">
        <v>1636</v>
      </c>
      <c r="Y93" s="398" t="s">
        <v>1637</v>
      </c>
      <c r="Z93" s="399" t="s">
        <v>1638</v>
      </c>
      <c r="AA93" s="398" t="s">
        <v>1639</v>
      </c>
      <c r="AB93" s="399" t="s">
        <v>1640</v>
      </c>
      <c r="AC93" s="398" t="s">
        <v>1641</v>
      </c>
      <c r="AD93" s="399" t="s">
        <v>1642</v>
      </c>
      <c r="AE93" s="398" t="s">
        <v>1643</v>
      </c>
      <c r="AF93" s="399" t="s">
        <v>1644</v>
      </c>
      <c r="AG93" s="398" t="s">
        <v>1645</v>
      </c>
      <c r="AH93" s="399" t="s">
        <v>1646</v>
      </c>
      <c r="AI93" s="398" t="s">
        <v>1647</v>
      </c>
      <c r="AJ93" s="399" t="s">
        <v>1648</v>
      </c>
      <c r="AK93" s="398" t="s">
        <v>1649</v>
      </c>
      <c r="AL93" s="399" t="s">
        <v>1650</v>
      </c>
      <c r="AM93" s="398" t="s">
        <v>1651</v>
      </c>
      <c r="AN93" s="466" t="s">
        <v>1652</v>
      </c>
      <c r="AO93" s="457" t="s">
        <v>1653</v>
      </c>
      <c r="AP93" s="650" t="s">
        <v>1654</v>
      </c>
      <c r="AQ93" s="398" t="s">
        <v>1655</v>
      </c>
      <c r="AR93" s="533" t="s">
        <v>1656</v>
      </c>
      <c r="AS93" s="465" t="s">
        <v>1657</v>
      </c>
      <c r="AT93" s="399" t="s">
        <v>1658</v>
      </c>
      <c r="AU93" s="399" t="s">
        <v>1659</v>
      </c>
      <c r="AV93" s="399" t="s">
        <v>1660</v>
      </c>
      <c r="AW93" s="399" t="s">
        <v>1661</v>
      </c>
      <c r="AX93" s="399" t="s">
        <v>1662</v>
      </c>
      <c r="AY93" s="399" t="s">
        <v>1663</v>
      </c>
      <c r="AZ93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3" s="113"/>
      <c r="BB93" s="113"/>
      <c r="BC93" s="113"/>
      <c r="CB93" s="191" t="str">
        <f t="shared" si="120"/>
        <v xml:space="preserve"> * La variable Gestantes no puede ser Mayor al Total Mujeres.</v>
      </c>
      <c r="CC93" s="191" t="str">
        <f t="shared" si="99"/>
        <v xml:space="preserve"> * La variable Madre de hijo menor de 5 años no puede ser Mayor al Total Mujeres.</v>
      </c>
      <c r="CD93" s="191" t="str">
        <f t="shared" si="121"/>
        <v xml:space="preserve"> * La variable Pueblos Originarios Hombres no puede ser Mayor al Total Hombres.</v>
      </c>
      <c r="CE93" s="191" t="str">
        <f t="shared" si="122"/>
        <v xml:space="preserve"> * La variable Pueblos Originarios Mujeres no puede ser Mayor al Total Mujeres.</v>
      </c>
      <c r="CF93" s="191" t="str">
        <f t="shared" si="123"/>
        <v xml:space="preserve"> * La variable Migrantes Hombres no puede ser Mayor al Total Hombres.</v>
      </c>
      <c r="CG93" s="191" t="str">
        <f t="shared" si="124"/>
        <v xml:space="preserve"> * La variable Migrantes Mujeres no puede ser Mayor al Total Mujeres.</v>
      </c>
      <c r="CH93" s="191" t="str">
        <f t="shared" si="117"/>
        <v xml:space="preserve"> * La variable Niños, Niñas, Adolescentes y Jóvenes SENAME no puede ser Mayor al Total ambos sexos.</v>
      </c>
      <c r="CI93" s="191" t="str">
        <f t="shared" si="118"/>
        <v xml:space="preserve"> * La variable Niños y niñas Mejor Niñez no puede ser Mayor al Total ambos sexos.</v>
      </c>
      <c r="CJ93" s="191" t="str">
        <f t="shared" si="125"/>
        <v xml:space="preserve">* La variable Plan Cuidado Integral Elaborado debe ser menor o igual al Total de Personas en control. </v>
      </c>
      <c r="CK93" s="191" t="str">
        <f t="shared" si="119"/>
        <v xml:space="preserve"> * La variable Trans Masculino no debe ser mayor al Total Mujeres.</v>
      </c>
      <c r="CL93" s="191" t="str">
        <f t="shared" si="126"/>
        <v xml:space="preserve"> * La variable Trans Femenino no debe ser mayor al Total Hombre.</v>
      </c>
      <c r="CM93" s="108"/>
      <c r="CN93" s="108"/>
      <c r="CO93" s="1047">
        <f t="shared" si="127"/>
        <v>1</v>
      </c>
      <c r="CP93" s="1047">
        <f t="shared" si="107"/>
        <v>1</v>
      </c>
      <c r="CQ93" s="1047">
        <f t="shared" si="128"/>
        <v>1</v>
      </c>
      <c r="CR93" s="1047">
        <f t="shared" si="109"/>
        <v>1</v>
      </c>
      <c r="CS93" s="1047">
        <f t="shared" si="129"/>
        <v>1</v>
      </c>
      <c r="CT93" s="1047">
        <f t="shared" si="111"/>
        <v>1</v>
      </c>
      <c r="CU93" s="1047">
        <f t="shared" si="112"/>
        <v>1</v>
      </c>
      <c r="CV93" s="1047">
        <f t="shared" si="113"/>
        <v>1</v>
      </c>
      <c r="CW93" s="1047">
        <f t="shared" si="114"/>
        <v>1</v>
      </c>
      <c r="CX93" s="1047">
        <f t="shared" si="115"/>
        <v>1</v>
      </c>
      <c r="CY93" s="1047">
        <f t="shared" si="130"/>
        <v>1</v>
      </c>
      <c r="DL93" s="108"/>
      <c r="DM93" s="108"/>
      <c r="DN93" s="108"/>
      <c r="DO93" s="108"/>
      <c r="DP93" s="108"/>
      <c r="DQ93" s="108"/>
      <c r="DR93" s="108"/>
      <c r="DS93" s="108"/>
      <c r="DT93" s="108"/>
      <c r="DU93" s="108"/>
    </row>
    <row r="94" spans="1:125" s="95" customFormat="1" ht="15" customHeight="1" x14ac:dyDescent="0.25">
      <c r="A94" s="1585" t="s">
        <v>1390</v>
      </c>
      <c r="B94" s="2172"/>
      <c r="C94" s="796" t="s">
        <v>649</v>
      </c>
      <c r="D94" s="1146" t="s">
        <v>1616</v>
      </c>
      <c r="E94" s="401" t="s">
        <v>1617</v>
      </c>
      <c r="F94" s="537" t="s">
        <v>1618</v>
      </c>
      <c r="G94" s="408" t="s">
        <v>1619</v>
      </c>
      <c r="H94" s="409" t="s">
        <v>1620</v>
      </c>
      <c r="I94" s="408" t="s">
        <v>1621</v>
      </c>
      <c r="J94" s="409" t="s">
        <v>1622</v>
      </c>
      <c r="K94" s="408" t="s">
        <v>1623</v>
      </c>
      <c r="L94" s="409" t="s">
        <v>1624</v>
      </c>
      <c r="M94" s="408" t="s">
        <v>1625</v>
      </c>
      <c r="N94" s="409" t="s">
        <v>1626</v>
      </c>
      <c r="O94" s="408" t="s">
        <v>1627</v>
      </c>
      <c r="P94" s="409" t="s">
        <v>1628</v>
      </c>
      <c r="Q94" s="408" t="s">
        <v>1629</v>
      </c>
      <c r="R94" s="409" t="s">
        <v>1630</v>
      </c>
      <c r="S94" s="408" t="s">
        <v>1631</v>
      </c>
      <c r="T94" s="409" t="s">
        <v>1632</v>
      </c>
      <c r="U94" s="408" t="s">
        <v>1633</v>
      </c>
      <c r="V94" s="409" t="s">
        <v>1634</v>
      </c>
      <c r="W94" s="408" t="s">
        <v>1635</v>
      </c>
      <c r="X94" s="409" t="s">
        <v>1636</v>
      </c>
      <c r="Y94" s="408" t="s">
        <v>1637</v>
      </c>
      <c r="Z94" s="409" t="s">
        <v>1638</v>
      </c>
      <c r="AA94" s="408" t="s">
        <v>1639</v>
      </c>
      <c r="AB94" s="409" t="s">
        <v>1640</v>
      </c>
      <c r="AC94" s="408" t="s">
        <v>1641</v>
      </c>
      <c r="AD94" s="409" t="s">
        <v>1642</v>
      </c>
      <c r="AE94" s="408" t="s">
        <v>1643</v>
      </c>
      <c r="AF94" s="409" t="s">
        <v>1644</v>
      </c>
      <c r="AG94" s="408" t="s">
        <v>1645</v>
      </c>
      <c r="AH94" s="409" t="s">
        <v>1646</v>
      </c>
      <c r="AI94" s="408" t="s">
        <v>1647</v>
      </c>
      <c r="AJ94" s="409" t="s">
        <v>1648</v>
      </c>
      <c r="AK94" s="408" t="s">
        <v>1649</v>
      </c>
      <c r="AL94" s="409" t="s">
        <v>1650</v>
      </c>
      <c r="AM94" s="408" t="s">
        <v>1651</v>
      </c>
      <c r="AN94" s="544" t="s">
        <v>1652</v>
      </c>
      <c r="AO94" s="459" t="s">
        <v>1653</v>
      </c>
      <c r="AP94" s="653" t="s">
        <v>1654</v>
      </c>
      <c r="AQ94" s="408" t="s">
        <v>1655</v>
      </c>
      <c r="AR94" s="538" t="s">
        <v>1656</v>
      </c>
      <c r="AS94" s="659" t="s">
        <v>1657</v>
      </c>
      <c r="AT94" s="409" t="s">
        <v>1658</v>
      </c>
      <c r="AU94" s="409" t="s">
        <v>1659</v>
      </c>
      <c r="AV94" s="409" t="s">
        <v>1660</v>
      </c>
      <c r="AW94" s="409" t="s">
        <v>1661</v>
      </c>
      <c r="AX94" s="409" t="s">
        <v>1662</v>
      </c>
      <c r="AY94" s="409" t="s">
        <v>1663</v>
      </c>
      <c r="AZ94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4" s="113"/>
      <c r="BB94" s="113"/>
      <c r="BC94" s="113"/>
      <c r="CB94" s="191" t="str">
        <f t="shared" si="120"/>
        <v xml:space="preserve"> * La variable Gestantes no puede ser Mayor al Total Mujeres.</v>
      </c>
      <c r="CC94" s="191" t="str">
        <f t="shared" si="99"/>
        <v xml:space="preserve"> * La variable Madre de hijo menor de 5 años no puede ser Mayor al Total Mujeres.</v>
      </c>
      <c r="CD94" s="191" t="str">
        <f t="shared" si="121"/>
        <v xml:space="preserve"> * La variable Pueblos Originarios Hombres no puede ser Mayor al Total Hombres.</v>
      </c>
      <c r="CE94" s="191" t="str">
        <f t="shared" si="122"/>
        <v xml:space="preserve"> * La variable Pueblos Originarios Mujeres no puede ser Mayor al Total Mujeres.</v>
      </c>
      <c r="CF94" s="191" t="str">
        <f t="shared" si="123"/>
        <v xml:space="preserve"> * La variable Migrantes Hombres no puede ser Mayor al Total Hombres.</v>
      </c>
      <c r="CG94" s="191" t="str">
        <f t="shared" si="124"/>
        <v xml:space="preserve"> * La variable Migrantes Mujeres no puede ser Mayor al Total Mujeres.</v>
      </c>
      <c r="CH94" s="191" t="str">
        <f t="shared" si="117"/>
        <v xml:space="preserve"> * La variable Niños, Niñas, Adolescentes y Jóvenes SENAME no puede ser Mayor al Total ambos sexos.</v>
      </c>
      <c r="CI94" s="191" t="str">
        <f t="shared" si="118"/>
        <v xml:space="preserve"> * La variable Niños y niñas Mejor Niñez no puede ser Mayor al Total ambos sexos.</v>
      </c>
      <c r="CJ94" s="191" t="str">
        <f t="shared" si="125"/>
        <v xml:space="preserve">* La variable Plan Cuidado Integral Elaborado debe ser menor o igual al Total de Personas en control. </v>
      </c>
      <c r="CK94" s="191" t="str">
        <f t="shared" si="119"/>
        <v xml:space="preserve"> * La variable Trans Masculino no debe ser mayor al Total Mujeres.</v>
      </c>
      <c r="CL94" s="191" t="str">
        <f t="shared" si="126"/>
        <v xml:space="preserve"> * La variable Trans Femenino no debe ser mayor al Total Hombre.</v>
      </c>
      <c r="CM94" s="108"/>
      <c r="CN94" s="108"/>
      <c r="CO94" s="1047">
        <f t="shared" si="127"/>
        <v>1</v>
      </c>
      <c r="CP94" s="1047">
        <f t="shared" si="107"/>
        <v>1</v>
      </c>
      <c r="CQ94" s="1047">
        <f t="shared" si="128"/>
        <v>1</v>
      </c>
      <c r="CR94" s="1047">
        <f t="shared" si="109"/>
        <v>1</v>
      </c>
      <c r="CS94" s="1047">
        <f t="shared" si="129"/>
        <v>1</v>
      </c>
      <c r="CT94" s="1047">
        <f t="shared" si="111"/>
        <v>1</v>
      </c>
      <c r="CU94" s="1047">
        <f t="shared" si="112"/>
        <v>1</v>
      </c>
      <c r="CV94" s="1047">
        <f t="shared" si="113"/>
        <v>1</v>
      </c>
      <c r="CW94" s="1047">
        <f t="shared" si="114"/>
        <v>1</v>
      </c>
      <c r="CX94" s="1047">
        <f t="shared" si="115"/>
        <v>1</v>
      </c>
      <c r="CY94" s="1047">
        <f t="shared" si="130"/>
        <v>1</v>
      </c>
      <c r="DL94" s="108"/>
      <c r="DM94" s="108"/>
      <c r="DN94" s="108"/>
      <c r="DO94" s="108"/>
      <c r="DP94" s="108"/>
      <c r="DQ94" s="108"/>
      <c r="DR94" s="108"/>
      <c r="DS94" s="108"/>
      <c r="DT94" s="108"/>
      <c r="DU94" s="108"/>
    </row>
    <row r="95" spans="1:125" s="95" customFormat="1" ht="15" customHeight="1" x14ac:dyDescent="0.25">
      <c r="A95" s="1585" t="s">
        <v>1391</v>
      </c>
      <c r="B95" s="2172"/>
      <c r="C95" s="796" t="s">
        <v>650</v>
      </c>
      <c r="D95" s="1146" t="s">
        <v>1616</v>
      </c>
      <c r="E95" s="401" t="s">
        <v>1617</v>
      </c>
      <c r="F95" s="537" t="s">
        <v>1618</v>
      </c>
      <c r="G95" s="408" t="s">
        <v>1619</v>
      </c>
      <c r="H95" s="409" t="s">
        <v>1620</v>
      </c>
      <c r="I95" s="408" t="s">
        <v>1621</v>
      </c>
      <c r="J95" s="409" t="s">
        <v>1622</v>
      </c>
      <c r="K95" s="408" t="s">
        <v>1623</v>
      </c>
      <c r="L95" s="409" t="s">
        <v>1624</v>
      </c>
      <c r="M95" s="408" t="s">
        <v>1625</v>
      </c>
      <c r="N95" s="409" t="s">
        <v>1626</v>
      </c>
      <c r="O95" s="408" t="s">
        <v>1627</v>
      </c>
      <c r="P95" s="409" t="s">
        <v>1628</v>
      </c>
      <c r="Q95" s="408" t="s">
        <v>1629</v>
      </c>
      <c r="R95" s="409" t="s">
        <v>1630</v>
      </c>
      <c r="S95" s="408" t="s">
        <v>1631</v>
      </c>
      <c r="T95" s="409" t="s">
        <v>1632</v>
      </c>
      <c r="U95" s="408" t="s">
        <v>1633</v>
      </c>
      <c r="V95" s="409" t="s">
        <v>1634</v>
      </c>
      <c r="W95" s="408" t="s">
        <v>1635</v>
      </c>
      <c r="X95" s="409" t="s">
        <v>1636</v>
      </c>
      <c r="Y95" s="408" t="s">
        <v>1637</v>
      </c>
      <c r="Z95" s="409" t="s">
        <v>1638</v>
      </c>
      <c r="AA95" s="408" t="s">
        <v>1639</v>
      </c>
      <c r="AB95" s="409" t="s">
        <v>1640</v>
      </c>
      <c r="AC95" s="408" t="s">
        <v>1641</v>
      </c>
      <c r="AD95" s="409" t="s">
        <v>1642</v>
      </c>
      <c r="AE95" s="408" t="s">
        <v>1643</v>
      </c>
      <c r="AF95" s="409" t="s">
        <v>1644</v>
      </c>
      <c r="AG95" s="408" t="s">
        <v>1645</v>
      </c>
      <c r="AH95" s="409" t="s">
        <v>1646</v>
      </c>
      <c r="AI95" s="408" t="s">
        <v>1647</v>
      </c>
      <c r="AJ95" s="409" t="s">
        <v>1648</v>
      </c>
      <c r="AK95" s="408" t="s">
        <v>1649</v>
      </c>
      <c r="AL95" s="409" t="s">
        <v>1650</v>
      </c>
      <c r="AM95" s="408" t="s">
        <v>1651</v>
      </c>
      <c r="AN95" s="544" t="s">
        <v>1652</v>
      </c>
      <c r="AO95" s="459" t="s">
        <v>1653</v>
      </c>
      <c r="AP95" s="653" t="s">
        <v>1654</v>
      </c>
      <c r="AQ95" s="408" t="s">
        <v>1655</v>
      </c>
      <c r="AR95" s="538" t="s">
        <v>1656</v>
      </c>
      <c r="AS95" s="659" t="s">
        <v>1657</v>
      </c>
      <c r="AT95" s="409" t="s">
        <v>1658</v>
      </c>
      <c r="AU95" s="409" t="s">
        <v>1659</v>
      </c>
      <c r="AV95" s="409" t="s">
        <v>1660</v>
      </c>
      <c r="AW95" s="409" t="s">
        <v>1661</v>
      </c>
      <c r="AX95" s="409" t="s">
        <v>1662</v>
      </c>
      <c r="AY95" s="409" t="s">
        <v>1663</v>
      </c>
      <c r="AZ95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5" s="113"/>
      <c r="BB95" s="113"/>
      <c r="BC95" s="113"/>
      <c r="CB95" s="191" t="str">
        <f t="shared" si="120"/>
        <v xml:space="preserve"> * La variable Gestantes no puede ser Mayor al Total Mujeres.</v>
      </c>
      <c r="CC95" s="191" t="str">
        <f t="shared" si="99"/>
        <v xml:space="preserve"> * La variable Madre de hijo menor de 5 años no puede ser Mayor al Total Mujeres.</v>
      </c>
      <c r="CD95" s="191" t="str">
        <f t="shared" si="121"/>
        <v xml:space="preserve"> * La variable Pueblos Originarios Hombres no puede ser Mayor al Total Hombres.</v>
      </c>
      <c r="CE95" s="191" t="str">
        <f t="shared" si="122"/>
        <v xml:space="preserve"> * La variable Pueblos Originarios Mujeres no puede ser Mayor al Total Mujeres.</v>
      </c>
      <c r="CF95" s="191" t="str">
        <f t="shared" si="123"/>
        <v xml:space="preserve"> * La variable Migrantes Hombres no puede ser Mayor al Total Hombres.</v>
      </c>
      <c r="CG95" s="191" t="str">
        <f t="shared" si="124"/>
        <v xml:space="preserve"> * La variable Migrantes Mujeres no puede ser Mayor al Total Mujeres.</v>
      </c>
      <c r="CH95" s="191" t="str">
        <f t="shared" si="117"/>
        <v xml:space="preserve"> * La variable Niños, Niñas, Adolescentes y Jóvenes SENAME no puede ser Mayor al Total ambos sexos.</v>
      </c>
      <c r="CI95" s="191" t="str">
        <f t="shared" si="118"/>
        <v xml:space="preserve"> * La variable Niños y niñas Mejor Niñez no puede ser Mayor al Total ambos sexos.</v>
      </c>
      <c r="CJ95" s="191" t="str">
        <f t="shared" si="125"/>
        <v xml:space="preserve">* La variable Plan Cuidado Integral Elaborado debe ser menor o igual al Total de Personas en control. </v>
      </c>
      <c r="CK95" s="191" t="str">
        <f t="shared" si="119"/>
        <v xml:space="preserve"> * La variable Trans Masculino no debe ser mayor al Total Mujeres.</v>
      </c>
      <c r="CL95" s="191" t="str">
        <f t="shared" si="126"/>
        <v xml:space="preserve"> * La variable Trans Femenino no debe ser mayor al Total Hombre.</v>
      </c>
      <c r="CM95" s="108"/>
      <c r="CN95" s="108"/>
      <c r="CO95" s="1047">
        <f t="shared" si="127"/>
        <v>1</v>
      </c>
      <c r="CP95" s="1047">
        <f t="shared" si="107"/>
        <v>1</v>
      </c>
      <c r="CQ95" s="1047">
        <f t="shared" si="128"/>
        <v>1</v>
      </c>
      <c r="CR95" s="1047">
        <f t="shared" si="109"/>
        <v>1</v>
      </c>
      <c r="CS95" s="1047">
        <f t="shared" si="129"/>
        <v>1</v>
      </c>
      <c r="CT95" s="1047">
        <f t="shared" si="111"/>
        <v>1</v>
      </c>
      <c r="CU95" s="1047">
        <f t="shared" si="112"/>
        <v>1</v>
      </c>
      <c r="CV95" s="1047">
        <f t="shared" si="113"/>
        <v>1</v>
      </c>
      <c r="CW95" s="1047">
        <f t="shared" si="114"/>
        <v>1</v>
      </c>
      <c r="CX95" s="1047">
        <f t="shared" si="115"/>
        <v>1</v>
      </c>
      <c r="CY95" s="1047">
        <f t="shared" si="130"/>
        <v>1</v>
      </c>
      <c r="DL95" s="108"/>
      <c r="DM95" s="108"/>
      <c r="DN95" s="108"/>
      <c r="DO95" s="108"/>
      <c r="DP95" s="108"/>
      <c r="DQ95" s="108"/>
      <c r="DR95" s="108"/>
      <c r="DS95" s="108"/>
      <c r="DT95" s="108"/>
      <c r="DU95" s="108"/>
    </row>
    <row r="96" spans="1:125" s="95" customFormat="1" ht="15" customHeight="1" x14ac:dyDescent="0.25">
      <c r="A96" s="1585" t="s">
        <v>1392</v>
      </c>
      <c r="B96" s="2172"/>
      <c r="C96" s="591" t="s">
        <v>651</v>
      </c>
      <c r="D96" s="1146" t="s">
        <v>1616</v>
      </c>
      <c r="E96" s="401" t="s">
        <v>1617</v>
      </c>
      <c r="F96" s="537" t="s">
        <v>1618</v>
      </c>
      <c r="G96" s="403" t="s">
        <v>1619</v>
      </c>
      <c r="H96" s="404" t="s">
        <v>1620</v>
      </c>
      <c r="I96" s="403" t="s">
        <v>1621</v>
      </c>
      <c r="J96" s="404" t="s">
        <v>1622</v>
      </c>
      <c r="K96" s="403" t="s">
        <v>1623</v>
      </c>
      <c r="L96" s="404" t="s">
        <v>1624</v>
      </c>
      <c r="M96" s="403" t="s">
        <v>1625</v>
      </c>
      <c r="N96" s="404" t="s">
        <v>1626</v>
      </c>
      <c r="O96" s="403" t="s">
        <v>1627</v>
      </c>
      <c r="P96" s="404" t="s">
        <v>1628</v>
      </c>
      <c r="Q96" s="403" t="s">
        <v>1629</v>
      </c>
      <c r="R96" s="404" t="s">
        <v>1630</v>
      </c>
      <c r="S96" s="403" t="s">
        <v>1631</v>
      </c>
      <c r="T96" s="404" t="s">
        <v>1632</v>
      </c>
      <c r="U96" s="403" t="s">
        <v>1633</v>
      </c>
      <c r="V96" s="404" t="s">
        <v>1634</v>
      </c>
      <c r="W96" s="403" t="s">
        <v>1635</v>
      </c>
      <c r="X96" s="404" t="s">
        <v>1636</v>
      </c>
      <c r="Y96" s="403" t="s">
        <v>1637</v>
      </c>
      <c r="Z96" s="404" t="s">
        <v>1638</v>
      </c>
      <c r="AA96" s="403" t="s">
        <v>1639</v>
      </c>
      <c r="AB96" s="404" t="s">
        <v>1640</v>
      </c>
      <c r="AC96" s="403" t="s">
        <v>1641</v>
      </c>
      <c r="AD96" s="404" t="s">
        <v>1642</v>
      </c>
      <c r="AE96" s="403" t="s">
        <v>1643</v>
      </c>
      <c r="AF96" s="404" t="s">
        <v>1644</v>
      </c>
      <c r="AG96" s="403" t="s">
        <v>1645</v>
      </c>
      <c r="AH96" s="404" t="s">
        <v>1646</v>
      </c>
      <c r="AI96" s="403" t="s">
        <v>1647</v>
      </c>
      <c r="AJ96" s="404" t="s">
        <v>1648</v>
      </c>
      <c r="AK96" s="403" t="s">
        <v>1649</v>
      </c>
      <c r="AL96" s="404" t="s">
        <v>1650</v>
      </c>
      <c r="AM96" s="403" t="s">
        <v>1651</v>
      </c>
      <c r="AN96" s="470" t="s">
        <v>1652</v>
      </c>
      <c r="AO96" s="651" t="s">
        <v>1653</v>
      </c>
      <c r="AP96" s="652" t="s">
        <v>1654</v>
      </c>
      <c r="AQ96" s="403" t="s">
        <v>1655</v>
      </c>
      <c r="AR96" s="442" t="s">
        <v>1656</v>
      </c>
      <c r="AS96" s="464" t="s">
        <v>1657</v>
      </c>
      <c r="AT96" s="404" t="s">
        <v>1658</v>
      </c>
      <c r="AU96" s="404" t="s">
        <v>1659</v>
      </c>
      <c r="AV96" s="404" t="s">
        <v>1660</v>
      </c>
      <c r="AW96" s="404" t="s">
        <v>1661</v>
      </c>
      <c r="AX96" s="404" t="s">
        <v>1662</v>
      </c>
      <c r="AY96" s="404" t="s">
        <v>1663</v>
      </c>
      <c r="AZ96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6" s="113"/>
      <c r="BB96" s="113"/>
      <c r="BC96" s="113"/>
      <c r="CB96" s="191" t="str">
        <f t="shared" si="120"/>
        <v xml:space="preserve"> * La variable Gestantes no puede ser Mayor al Total Mujeres.</v>
      </c>
      <c r="CC96" s="191" t="str">
        <f t="shared" si="99"/>
        <v xml:space="preserve"> * La variable Madre de hijo menor de 5 años no puede ser Mayor al Total Mujeres.</v>
      </c>
      <c r="CD96" s="191" t="str">
        <f t="shared" si="121"/>
        <v xml:space="preserve"> * La variable Pueblos Originarios Hombres no puede ser Mayor al Total Hombres.</v>
      </c>
      <c r="CE96" s="191" t="str">
        <f t="shared" si="122"/>
        <v xml:space="preserve"> * La variable Pueblos Originarios Mujeres no puede ser Mayor al Total Mujeres.</v>
      </c>
      <c r="CF96" s="191" t="str">
        <f t="shared" si="123"/>
        <v xml:space="preserve"> * La variable Migrantes Hombres no puede ser Mayor al Total Hombres.</v>
      </c>
      <c r="CG96" s="191" t="str">
        <f t="shared" si="124"/>
        <v xml:space="preserve"> * La variable Migrantes Mujeres no puede ser Mayor al Total Mujeres.</v>
      </c>
      <c r="CH96" s="191" t="str">
        <f t="shared" si="117"/>
        <v xml:space="preserve"> * La variable Niños, Niñas, Adolescentes y Jóvenes SENAME no puede ser Mayor al Total ambos sexos.</v>
      </c>
      <c r="CI96" s="191" t="str">
        <f t="shared" si="118"/>
        <v xml:space="preserve"> * La variable Niños y niñas Mejor Niñez no puede ser Mayor al Total ambos sexos.</v>
      </c>
      <c r="CJ96" s="191" t="str">
        <f t="shared" si="125"/>
        <v xml:space="preserve">* La variable Plan Cuidado Integral Elaborado debe ser menor o igual al Total de Personas en control. </v>
      </c>
      <c r="CK96" s="191" t="str">
        <f t="shared" si="119"/>
        <v xml:space="preserve"> * La variable Trans Masculino no debe ser mayor al Total Mujeres.</v>
      </c>
      <c r="CL96" s="191" t="str">
        <f t="shared" si="126"/>
        <v xml:space="preserve"> * La variable Trans Femenino no debe ser mayor al Total Hombre.</v>
      </c>
      <c r="CM96" s="108"/>
      <c r="CN96" s="108"/>
      <c r="CO96" s="1047">
        <f t="shared" si="127"/>
        <v>1</v>
      </c>
      <c r="CP96" s="1047">
        <f t="shared" si="107"/>
        <v>1</v>
      </c>
      <c r="CQ96" s="1047">
        <f t="shared" si="128"/>
        <v>1</v>
      </c>
      <c r="CR96" s="1047">
        <f t="shared" si="109"/>
        <v>1</v>
      </c>
      <c r="CS96" s="1047">
        <f t="shared" si="129"/>
        <v>1</v>
      </c>
      <c r="CT96" s="1047">
        <f t="shared" si="111"/>
        <v>1</v>
      </c>
      <c r="CU96" s="1047">
        <f t="shared" si="112"/>
        <v>1</v>
      </c>
      <c r="CV96" s="1047">
        <f t="shared" si="113"/>
        <v>1</v>
      </c>
      <c r="CW96" s="1047">
        <f t="shared" si="114"/>
        <v>1</v>
      </c>
      <c r="CX96" s="1047">
        <f t="shared" si="115"/>
        <v>1</v>
      </c>
      <c r="CY96" s="1047">
        <f t="shared" si="130"/>
        <v>1</v>
      </c>
      <c r="DL96" s="108"/>
      <c r="DM96" s="108"/>
      <c r="DN96" s="108"/>
      <c r="DO96" s="108"/>
      <c r="DP96" s="108"/>
      <c r="DQ96" s="108"/>
      <c r="DR96" s="108"/>
      <c r="DS96" s="108"/>
      <c r="DT96" s="108"/>
      <c r="DU96" s="108"/>
    </row>
    <row r="97" spans="1:125" s="95" customFormat="1" ht="15" customHeight="1" x14ac:dyDescent="0.25">
      <c r="A97" s="1585" t="s">
        <v>1393</v>
      </c>
      <c r="B97" s="2167" t="s">
        <v>652</v>
      </c>
      <c r="C97" s="196" t="s">
        <v>653</v>
      </c>
      <c r="D97" s="1145" t="s">
        <v>1616</v>
      </c>
      <c r="E97" s="392" t="s">
        <v>1617</v>
      </c>
      <c r="F97" s="539" t="s">
        <v>1618</v>
      </c>
      <c r="G97" s="417" t="s">
        <v>1619</v>
      </c>
      <c r="H97" s="418" t="s">
        <v>1620</v>
      </c>
      <c r="I97" s="417" t="s">
        <v>1621</v>
      </c>
      <c r="J97" s="418" t="s">
        <v>1622</v>
      </c>
      <c r="K97" s="394" t="s">
        <v>1623</v>
      </c>
      <c r="L97" s="395" t="s">
        <v>1624</v>
      </c>
      <c r="M97" s="394" t="s">
        <v>1625</v>
      </c>
      <c r="N97" s="395" t="s">
        <v>1626</v>
      </c>
      <c r="O97" s="394" t="s">
        <v>1627</v>
      </c>
      <c r="P97" s="395" t="s">
        <v>1628</v>
      </c>
      <c r="Q97" s="394" t="s">
        <v>1629</v>
      </c>
      <c r="R97" s="395" t="s">
        <v>1630</v>
      </c>
      <c r="S97" s="394" t="s">
        <v>1631</v>
      </c>
      <c r="T97" s="395" t="s">
        <v>1632</v>
      </c>
      <c r="U97" s="394" t="s">
        <v>1633</v>
      </c>
      <c r="V97" s="395" t="s">
        <v>1634</v>
      </c>
      <c r="W97" s="394" t="s">
        <v>1635</v>
      </c>
      <c r="X97" s="395" t="s">
        <v>1636</v>
      </c>
      <c r="Y97" s="394" t="s">
        <v>1637</v>
      </c>
      <c r="Z97" s="395" t="s">
        <v>1638</v>
      </c>
      <c r="AA97" s="394" t="s">
        <v>1639</v>
      </c>
      <c r="AB97" s="395" t="s">
        <v>1640</v>
      </c>
      <c r="AC97" s="394" t="s">
        <v>1641</v>
      </c>
      <c r="AD97" s="395" t="s">
        <v>1642</v>
      </c>
      <c r="AE97" s="394" t="s">
        <v>1643</v>
      </c>
      <c r="AF97" s="395" t="s">
        <v>1644</v>
      </c>
      <c r="AG97" s="394" t="s">
        <v>1645</v>
      </c>
      <c r="AH97" s="395" t="s">
        <v>1646</v>
      </c>
      <c r="AI97" s="394" t="s">
        <v>1647</v>
      </c>
      <c r="AJ97" s="395" t="s">
        <v>1648</v>
      </c>
      <c r="AK97" s="394" t="s">
        <v>1649</v>
      </c>
      <c r="AL97" s="395" t="s">
        <v>1650</v>
      </c>
      <c r="AM97" s="417" t="s">
        <v>1651</v>
      </c>
      <c r="AN97" s="545" t="s">
        <v>1652</v>
      </c>
      <c r="AO97" s="648" t="s">
        <v>1653</v>
      </c>
      <c r="AP97" s="848" t="s">
        <v>1654</v>
      </c>
      <c r="AQ97" s="417" t="s">
        <v>1655</v>
      </c>
      <c r="AR97" s="432" t="s">
        <v>1656</v>
      </c>
      <c r="AS97" s="394" t="s">
        <v>1657</v>
      </c>
      <c r="AT97" s="432" t="s">
        <v>1658</v>
      </c>
      <c r="AU97" s="655" t="s">
        <v>1659</v>
      </c>
      <c r="AV97" s="655" t="s">
        <v>1660</v>
      </c>
      <c r="AW97" s="655" t="s">
        <v>1661</v>
      </c>
      <c r="AX97" s="655" t="s">
        <v>1662</v>
      </c>
      <c r="AY97" s="655" t="s">
        <v>1663</v>
      </c>
      <c r="AZ97" s="1056" t="str">
        <f t="shared" si="97"/>
        <v xml:space="preserve"> * La variable Gestantes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7" s="113"/>
      <c r="BB97" s="113"/>
      <c r="BC97" s="113"/>
      <c r="CB97" s="191" t="str">
        <f t="shared" si="120"/>
        <v xml:space="preserve"> * La variable Gestantes no puede ser Mayor al Total Mujeres.</v>
      </c>
      <c r="CC97" s="1086"/>
      <c r="CD97" s="191" t="str">
        <f t="shared" si="121"/>
        <v xml:space="preserve"> * La variable Pueblos Originarios Hombres no puede ser Mayor al Total Hombres.</v>
      </c>
      <c r="CE97" s="191" t="str">
        <f t="shared" si="122"/>
        <v xml:space="preserve"> * La variable Pueblos Originarios Mujeres no puede ser Mayor al Total Mujeres.</v>
      </c>
      <c r="CF97" s="191" t="str">
        <f t="shared" si="123"/>
        <v xml:space="preserve"> * La variable Migrantes Hombres no puede ser Mayor al Total Hombres.</v>
      </c>
      <c r="CG97" s="191" t="str">
        <f t="shared" si="124"/>
        <v xml:space="preserve"> * La variable Migrantes Mujeres no puede ser Mayor al Total Mujeres.</v>
      </c>
      <c r="CH97" s="191" t="str">
        <f t="shared" si="117"/>
        <v xml:space="preserve"> * La variable Niños, Niñas, Adolescentes y Jóvenes SENAME no puede ser Mayor al Total ambos sexos.</v>
      </c>
      <c r="CI97" s="191" t="str">
        <f t="shared" si="118"/>
        <v xml:space="preserve"> * La variable Niños y niñas Mejor Niñez no puede ser Mayor al Total ambos sexos.</v>
      </c>
      <c r="CJ97" s="191" t="str">
        <f t="shared" si="125"/>
        <v xml:space="preserve">* La variable Plan Cuidado Integral Elaborado debe ser menor o igual al Total de Personas en control. </v>
      </c>
      <c r="CK97" s="191" t="str">
        <f t="shared" si="119"/>
        <v xml:space="preserve"> * La variable Trans Masculino no debe ser mayor al Total Mujeres.</v>
      </c>
      <c r="CL97" s="191" t="str">
        <f t="shared" si="126"/>
        <v xml:space="preserve"> * La variable Trans Femenino no debe ser mayor al Total Hombre.</v>
      </c>
      <c r="CM97" s="108"/>
      <c r="CN97" s="108"/>
      <c r="CO97" s="1047">
        <f t="shared" si="127"/>
        <v>1</v>
      </c>
      <c r="CP97" s="1086"/>
      <c r="CQ97" s="1047">
        <f t="shared" si="128"/>
        <v>1</v>
      </c>
      <c r="CR97" s="1047">
        <f t="shared" ref="CR97:CR100" si="131">IF(AND($F97&gt;0,OR(AR97="")),1,IF(AR97&gt;$F97,1,0))</f>
        <v>1</v>
      </c>
      <c r="CS97" s="1047">
        <f t="shared" ref="CS97:CS100" si="132">IF(AND($E97&gt;0,OR(AS97="")),1,IF(AS97&gt;$E97,1,0))</f>
        <v>1</v>
      </c>
      <c r="CT97" s="1047">
        <f t="shared" ref="CT97:CT100" si="133">IF(AND($F97&gt;0,OR(AT97="")),1,IF(AT97&gt;$F97,1,0))</f>
        <v>1</v>
      </c>
      <c r="CU97" s="1047">
        <f t="shared" ref="CU97:CU100" si="134">IF(AND($D97&gt;0,OR(AU97="")),1,IF(AU97&gt;$D97,1,0))</f>
        <v>1</v>
      </c>
      <c r="CV97" s="1047">
        <f t="shared" ref="CV97:CV100" si="135">IF(AND($D97&gt;0,OR(AV97="")),1,IF(AV97&gt;$D97,1,0))</f>
        <v>1</v>
      </c>
      <c r="CW97" s="1047">
        <f t="shared" ref="CW97:CW100" si="136">IF(AND($D97&gt;0,OR(AW97="")),1,IF(AW97&gt;$D97,1,0))</f>
        <v>1</v>
      </c>
      <c r="CX97" s="1047">
        <f t="shared" si="115"/>
        <v>1</v>
      </c>
      <c r="CY97" s="1047">
        <f t="shared" si="130"/>
        <v>1</v>
      </c>
      <c r="DL97" s="108"/>
      <c r="DM97" s="108"/>
      <c r="DN97" s="108"/>
      <c r="DO97" s="108"/>
      <c r="DP97" s="108"/>
      <c r="DQ97" s="108"/>
      <c r="DR97" s="108"/>
      <c r="DS97" s="108"/>
      <c r="DT97" s="108"/>
      <c r="DU97" s="108"/>
    </row>
    <row r="98" spans="1:125" s="95" customFormat="1" ht="15" customHeight="1" x14ac:dyDescent="0.25">
      <c r="A98" s="1585" t="s">
        <v>1394</v>
      </c>
      <c r="B98" s="2168"/>
      <c r="C98" s="197" t="s">
        <v>654</v>
      </c>
      <c r="D98" s="1147" t="s">
        <v>1616</v>
      </c>
      <c r="E98" s="397" t="s">
        <v>1617</v>
      </c>
      <c r="F98" s="535" t="s">
        <v>1618</v>
      </c>
      <c r="G98" s="417" t="s">
        <v>1619</v>
      </c>
      <c r="H98" s="418" t="s">
        <v>1620</v>
      </c>
      <c r="I98" s="417" t="s">
        <v>1621</v>
      </c>
      <c r="J98" s="418" t="s">
        <v>1622</v>
      </c>
      <c r="K98" s="398" t="s">
        <v>1623</v>
      </c>
      <c r="L98" s="399" t="s">
        <v>1624</v>
      </c>
      <c r="M98" s="398" t="s">
        <v>1625</v>
      </c>
      <c r="N98" s="399" t="s">
        <v>1626</v>
      </c>
      <c r="O98" s="398" t="s">
        <v>1627</v>
      </c>
      <c r="P98" s="399" t="s">
        <v>1628</v>
      </c>
      <c r="Q98" s="398" t="s">
        <v>1629</v>
      </c>
      <c r="R98" s="399" t="s">
        <v>1630</v>
      </c>
      <c r="S98" s="398" t="s">
        <v>1631</v>
      </c>
      <c r="T98" s="399" t="s">
        <v>1632</v>
      </c>
      <c r="U98" s="417" t="s">
        <v>1633</v>
      </c>
      <c r="V98" s="418" t="s">
        <v>1634</v>
      </c>
      <c r="W98" s="450" t="s">
        <v>1635</v>
      </c>
      <c r="X98" s="451" t="s">
        <v>1636</v>
      </c>
      <c r="Y98" s="417" t="s">
        <v>1637</v>
      </c>
      <c r="Z98" s="418" t="s">
        <v>1638</v>
      </c>
      <c r="AA98" s="417" t="s">
        <v>1639</v>
      </c>
      <c r="AB98" s="418" t="s">
        <v>1640</v>
      </c>
      <c r="AC98" s="417" t="s">
        <v>1641</v>
      </c>
      <c r="AD98" s="418" t="s">
        <v>1642</v>
      </c>
      <c r="AE98" s="417" t="s">
        <v>1643</v>
      </c>
      <c r="AF98" s="418" t="s">
        <v>1644</v>
      </c>
      <c r="AG98" s="417" t="s">
        <v>1645</v>
      </c>
      <c r="AH98" s="418" t="s">
        <v>1646</v>
      </c>
      <c r="AI98" s="417" t="s">
        <v>1647</v>
      </c>
      <c r="AJ98" s="418" t="s">
        <v>1648</v>
      </c>
      <c r="AK98" s="417" t="s">
        <v>1649</v>
      </c>
      <c r="AL98" s="418" t="s">
        <v>1650</v>
      </c>
      <c r="AM98" s="417" t="s">
        <v>1651</v>
      </c>
      <c r="AN98" s="545" t="s">
        <v>1652</v>
      </c>
      <c r="AO98" s="456" t="s">
        <v>1653</v>
      </c>
      <c r="AP98" s="849" t="s">
        <v>1654</v>
      </c>
      <c r="AQ98" s="417" t="s">
        <v>1655</v>
      </c>
      <c r="AR98" s="432" t="s">
        <v>1656</v>
      </c>
      <c r="AS98" s="417" t="s">
        <v>1657</v>
      </c>
      <c r="AT98" s="432" t="s">
        <v>1658</v>
      </c>
      <c r="AU98" s="655" t="s">
        <v>1659</v>
      </c>
      <c r="AV98" s="655" t="s">
        <v>1660</v>
      </c>
      <c r="AW98" s="655" t="s">
        <v>1661</v>
      </c>
      <c r="AX98" s="655" t="s">
        <v>1662</v>
      </c>
      <c r="AY98" s="655" t="s">
        <v>1663</v>
      </c>
      <c r="AZ98" s="1056" t="str">
        <f t="shared" si="97"/>
        <v xml:space="preserve"> * La variable Gestantes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8" s="113"/>
      <c r="BB98" s="113"/>
      <c r="BC98" s="113"/>
      <c r="CB98" s="191" t="str">
        <f t="shared" si="120"/>
        <v xml:space="preserve"> * La variable Gestantes no puede ser Mayor al Total Mujeres.</v>
      </c>
      <c r="CC98" s="1086"/>
      <c r="CD98" s="191" t="str">
        <f t="shared" si="121"/>
        <v xml:space="preserve"> * La variable Pueblos Originarios Hombres no puede ser Mayor al Total Hombres.</v>
      </c>
      <c r="CE98" s="191" t="str">
        <f t="shared" si="122"/>
        <v xml:space="preserve"> * La variable Pueblos Originarios Mujeres no puede ser Mayor al Total Mujeres.</v>
      </c>
      <c r="CF98" s="191" t="str">
        <f t="shared" si="123"/>
        <v xml:space="preserve"> * La variable Migrantes Hombres no puede ser Mayor al Total Hombres.</v>
      </c>
      <c r="CG98" s="191" t="str">
        <f t="shared" si="124"/>
        <v xml:space="preserve"> * La variable Migrantes Mujeres no puede ser Mayor al Total Mujeres.</v>
      </c>
      <c r="CH98" s="191" t="str">
        <f t="shared" si="117"/>
        <v xml:space="preserve"> * La variable Niños, Niñas, Adolescentes y Jóvenes SENAME no puede ser Mayor al Total ambos sexos.</v>
      </c>
      <c r="CI98" s="191" t="str">
        <f t="shared" si="118"/>
        <v xml:space="preserve"> * La variable Niños y niñas Mejor Niñez no puede ser Mayor al Total ambos sexos.</v>
      </c>
      <c r="CJ98" s="191" t="str">
        <f t="shared" si="125"/>
        <v xml:space="preserve">* La variable Plan Cuidado Integral Elaborado debe ser menor o igual al Total de Personas en control. </v>
      </c>
      <c r="CK98" s="191" t="str">
        <f t="shared" si="119"/>
        <v xml:space="preserve"> * La variable Trans Masculino no debe ser mayor al Total Mujeres.</v>
      </c>
      <c r="CL98" s="191" t="str">
        <f t="shared" si="126"/>
        <v xml:space="preserve"> * La variable Trans Femenino no debe ser mayor al Total Hombre.</v>
      </c>
      <c r="CM98" s="108"/>
      <c r="CN98" s="108"/>
      <c r="CO98" s="1047">
        <f t="shared" si="127"/>
        <v>1</v>
      </c>
      <c r="CP98" s="1086"/>
      <c r="CQ98" s="1047">
        <f t="shared" ref="CQ98:CQ100" si="137">IF(AND($E98&gt;0,OR(AQ98="")),1,IF(AQ98&gt;$E98,1,0))</f>
        <v>1</v>
      </c>
      <c r="CR98" s="1047">
        <f t="shared" si="131"/>
        <v>1</v>
      </c>
      <c r="CS98" s="1047">
        <f t="shared" si="132"/>
        <v>1</v>
      </c>
      <c r="CT98" s="1047">
        <f t="shared" si="133"/>
        <v>1</v>
      </c>
      <c r="CU98" s="1047">
        <f t="shared" si="134"/>
        <v>1</v>
      </c>
      <c r="CV98" s="1047">
        <f t="shared" si="135"/>
        <v>1</v>
      </c>
      <c r="CW98" s="1047">
        <f t="shared" si="136"/>
        <v>1</v>
      </c>
      <c r="CX98" s="1047">
        <f t="shared" si="115"/>
        <v>1</v>
      </c>
      <c r="CY98" s="1047">
        <f t="shared" si="130"/>
        <v>1</v>
      </c>
      <c r="DL98" s="108"/>
      <c r="DM98" s="108"/>
      <c r="DN98" s="108"/>
      <c r="DO98" s="108"/>
      <c r="DP98" s="108"/>
      <c r="DQ98" s="108"/>
      <c r="DR98" s="108"/>
      <c r="DS98" s="108"/>
      <c r="DT98" s="108"/>
      <c r="DU98" s="108"/>
    </row>
    <row r="99" spans="1:125" s="95" customFormat="1" ht="15" customHeight="1" x14ac:dyDescent="0.25">
      <c r="A99" s="1585" t="s">
        <v>1395</v>
      </c>
      <c r="B99" s="2168"/>
      <c r="C99" s="197" t="s">
        <v>655</v>
      </c>
      <c r="D99" s="1147" t="s">
        <v>1616</v>
      </c>
      <c r="E99" s="397" t="s">
        <v>1617</v>
      </c>
      <c r="F99" s="535" t="s">
        <v>1618</v>
      </c>
      <c r="G99" s="417" t="s">
        <v>1619</v>
      </c>
      <c r="H99" s="418" t="s">
        <v>1620</v>
      </c>
      <c r="I99" s="417" t="s">
        <v>1621</v>
      </c>
      <c r="J99" s="418" t="s">
        <v>1622</v>
      </c>
      <c r="K99" s="417" t="s">
        <v>1623</v>
      </c>
      <c r="L99" s="399" t="s">
        <v>1624</v>
      </c>
      <c r="M99" s="436" t="s">
        <v>1625</v>
      </c>
      <c r="N99" s="437" t="s">
        <v>1626</v>
      </c>
      <c r="O99" s="436" t="s">
        <v>1627</v>
      </c>
      <c r="P99" s="437" t="s">
        <v>1628</v>
      </c>
      <c r="Q99" s="436" t="s">
        <v>1629</v>
      </c>
      <c r="R99" s="437" t="s">
        <v>1630</v>
      </c>
      <c r="S99" s="436" t="s">
        <v>1631</v>
      </c>
      <c r="T99" s="437" t="s">
        <v>1632</v>
      </c>
      <c r="U99" s="436" t="s">
        <v>1633</v>
      </c>
      <c r="V99" s="437" t="s">
        <v>1634</v>
      </c>
      <c r="W99" s="546" t="s">
        <v>1635</v>
      </c>
      <c r="X99" s="547" t="s">
        <v>1636</v>
      </c>
      <c r="Y99" s="436" t="s">
        <v>1637</v>
      </c>
      <c r="Z99" s="437" t="s">
        <v>1638</v>
      </c>
      <c r="AA99" s="436" t="s">
        <v>1639</v>
      </c>
      <c r="AB99" s="437" t="s">
        <v>1640</v>
      </c>
      <c r="AC99" s="436" t="s">
        <v>1641</v>
      </c>
      <c r="AD99" s="437" t="s">
        <v>1642</v>
      </c>
      <c r="AE99" s="436" t="s">
        <v>1643</v>
      </c>
      <c r="AF99" s="437" t="s">
        <v>1644</v>
      </c>
      <c r="AG99" s="436" t="s">
        <v>1645</v>
      </c>
      <c r="AH99" s="437" t="s">
        <v>1646</v>
      </c>
      <c r="AI99" s="436" t="s">
        <v>1647</v>
      </c>
      <c r="AJ99" s="437" t="s">
        <v>1648</v>
      </c>
      <c r="AK99" s="436" t="s">
        <v>1649</v>
      </c>
      <c r="AL99" s="437" t="s">
        <v>1650</v>
      </c>
      <c r="AM99" s="436" t="s">
        <v>1651</v>
      </c>
      <c r="AN99" s="845" t="s">
        <v>1652</v>
      </c>
      <c r="AO99" s="456" t="s">
        <v>1653</v>
      </c>
      <c r="AP99" s="849" t="s">
        <v>1654</v>
      </c>
      <c r="AQ99" s="398" t="s">
        <v>1655</v>
      </c>
      <c r="AR99" s="432" t="s">
        <v>1656</v>
      </c>
      <c r="AS99" s="417" t="s">
        <v>1657</v>
      </c>
      <c r="AT99" s="432" t="s">
        <v>1658</v>
      </c>
      <c r="AU99" s="655" t="s">
        <v>1659</v>
      </c>
      <c r="AV99" s="655" t="s">
        <v>1660</v>
      </c>
      <c r="AW99" s="655" t="s">
        <v>1661</v>
      </c>
      <c r="AX99" s="655" t="s">
        <v>1662</v>
      </c>
      <c r="AY99" s="655" t="s">
        <v>1663</v>
      </c>
      <c r="AZ99" s="1056" t="str">
        <f t="shared" si="97"/>
        <v xml:space="preserve"> * La variable Gestantes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9" s="113"/>
      <c r="BB99" s="113"/>
      <c r="BC99" s="113"/>
      <c r="CB99" s="191" t="str">
        <f t="shared" si="120"/>
        <v xml:space="preserve"> * La variable Gestantes no puede ser Mayor al Total Mujeres.</v>
      </c>
      <c r="CC99" s="1086"/>
      <c r="CD99" s="191" t="str">
        <f t="shared" si="121"/>
        <v xml:space="preserve"> * La variable Pueblos Originarios Hombres no puede ser Mayor al Total Hombres.</v>
      </c>
      <c r="CE99" s="191" t="str">
        <f t="shared" si="122"/>
        <v xml:space="preserve"> * La variable Pueblos Originarios Mujeres no puede ser Mayor al Total Mujeres.</v>
      </c>
      <c r="CF99" s="191" t="str">
        <f t="shared" si="123"/>
        <v xml:space="preserve"> * La variable Migrantes Hombres no puede ser Mayor al Total Hombres.</v>
      </c>
      <c r="CG99" s="191" t="str">
        <f t="shared" si="124"/>
        <v xml:space="preserve"> * La variable Migrantes Mujeres no puede ser Mayor al Total Mujeres.</v>
      </c>
      <c r="CH99" s="191" t="str">
        <f t="shared" si="117"/>
        <v xml:space="preserve"> * La variable Niños, Niñas, Adolescentes y Jóvenes SENAME no puede ser Mayor al Total ambos sexos.</v>
      </c>
      <c r="CI99" s="191" t="str">
        <f t="shared" si="118"/>
        <v xml:space="preserve"> * La variable Niños y niñas Mejor Niñez no puede ser Mayor al Total ambos sexos.</v>
      </c>
      <c r="CJ99" s="191" t="str">
        <f t="shared" si="125"/>
        <v xml:space="preserve">* La variable Plan Cuidado Integral Elaborado debe ser menor o igual al Total de Personas en control. </v>
      </c>
      <c r="CK99" s="191" t="str">
        <f t="shared" si="119"/>
        <v xml:space="preserve"> * La variable Trans Masculino no debe ser mayor al Total Mujeres.</v>
      </c>
      <c r="CL99" s="191" t="str">
        <f t="shared" si="126"/>
        <v xml:space="preserve"> * La variable Trans Femenino no debe ser mayor al Total Hombre.</v>
      </c>
      <c r="CM99" s="108"/>
      <c r="CN99" s="108"/>
      <c r="CO99" s="1047">
        <f t="shared" si="127"/>
        <v>1</v>
      </c>
      <c r="CP99" s="1086"/>
      <c r="CQ99" s="1047">
        <f t="shared" si="137"/>
        <v>1</v>
      </c>
      <c r="CR99" s="1047">
        <f t="shared" si="131"/>
        <v>1</v>
      </c>
      <c r="CS99" s="1047">
        <f t="shared" si="132"/>
        <v>1</v>
      </c>
      <c r="CT99" s="1047">
        <f t="shared" si="133"/>
        <v>1</v>
      </c>
      <c r="CU99" s="1047">
        <f t="shared" si="134"/>
        <v>1</v>
      </c>
      <c r="CV99" s="1047">
        <f t="shared" si="135"/>
        <v>1</v>
      </c>
      <c r="CW99" s="1047">
        <f t="shared" si="136"/>
        <v>1</v>
      </c>
      <c r="CX99" s="1047">
        <f t="shared" si="115"/>
        <v>1</v>
      </c>
      <c r="CY99" s="1047">
        <f t="shared" si="130"/>
        <v>1</v>
      </c>
      <c r="DL99" s="108"/>
      <c r="DM99" s="108"/>
      <c r="DN99" s="108"/>
      <c r="DO99" s="108"/>
      <c r="DP99" s="108"/>
      <c r="DQ99" s="108"/>
      <c r="DR99" s="108"/>
      <c r="DS99" s="108"/>
      <c r="DT99" s="108"/>
      <c r="DU99" s="108"/>
    </row>
    <row r="100" spans="1:125" s="95" customFormat="1" ht="21.75" customHeight="1" x14ac:dyDescent="0.25">
      <c r="A100" s="1585" t="s">
        <v>1396</v>
      </c>
      <c r="B100" s="2169"/>
      <c r="C100" s="197" t="s">
        <v>656</v>
      </c>
      <c r="D100" s="1143" t="s">
        <v>1616</v>
      </c>
      <c r="E100" s="391" t="s">
        <v>1617</v>
      </c>
      <c r="F100" s="532" t="s">
        <v>1618</v>
      </c>
      <c r="G100" s="403" t="s">
        <v>1619</v>
      </c>
      <c r="H100" s="404" t="s">
        <v>1620</v>
      </c>
      <c r="I100" s="403" t="s">
        <v>1621</v>
      </c>
      <c r="J100" s="404" t="s">
        <v>1622</v>
      </c>
      <c r="K100" s="403" t="s">
        <v>1623</v>
      </c>
      <c r="L100" s="404" t="s">
        <v>1624</v>
      </c>
      <c r="M100" s="403" t="s">
        <v>1625</v>
      </c>
      <c r="N100" s="404" t="s">
        <v>1626</v>
      </c>
      <c r="O100" s="403" t="s">
        <v>1627</v>
      </c>
      <c r="P100" s="404" t="s">
        <v>1628</v>
      </c>
      <c r="Q100" s="439" t="s">
        <v>1629</v>
      </c>
      <c r="R100" s="440" t="s">
        <v>1630</v>
      </c>
      <c r="S100" s="439" t="s">
        <v>1631</v>
      </c>
      <c r="T100" s="440" t="s">
        <v>1632</v>
      </c>
      <c r="U100" s="439" t="s">
        <v>1633</v>
      </c>
      <c r="V100" s="440" t="s">
        <v>1634</v>
      </c>
      <c r="W100" s="439" t="s">
        <v>1635</v>
      </c>
      <c r="X100" s="440" t="s">
        <v>1636</v>
      </c>
      <c r="Y100" s="439" t="s">
        <v>1637</v>
      </c>
      <c r="Z100" s="440" t="s">
        <v>1638</v>
      </c>
      <c r="AA100" s="439" t="s">
        <v>1639</v>
      </c>
      <c r="AB100" s="440" t="s">
        <v>1640</v>
      </c>
      <c r="AC100" s="439" t="s">
        <v>1641</v>
      </c>
      <c r="AD100" s="440" t="s">
        <v>1642</v>
      </c>
      <c r="AE100" s="439" t="s">
        <v>1643</v>
      </c>
      <c r="AF100" s="440" t="s">
        <v>1644</v>
      </c>
      <c r="AG100" s="439" t="s">
        <v>1645</v>
      </c>
      <c r="AH100" s="440" t="s">
        <v>1646</v>
      </c>
      <c r="AI100" s="439" t="s">
        <v>1647</v>
      </c>
      <c r="AJ100" s="440" t="s">
        <v>1648</v>
      </c>
      <c r="AK100" s="439" t="s">
        <v>1649</v>
      </c>
      <c r="AL100" s="440" t="s">
        <v>1650</v>
      </c>
      <c r="AM100" s="439" t="s">
        <v>1651</v>
      </c>
      <c r="AN100" s="851" t="s">
        <v>1652</v>
      </c>
      <c r="AO100" s="651" t="s">
        <v>1653</v>
      </c>
      <c r="AP100" s="850" t="s">
        <v>1654</v>
      </c>
      <c r="AQ100" s="417" t="s">
        <v>1655</v>
      </c>
      <c r="AR100" s="432" t="s">
        <v>1656</v>
      </c>
      <c r="AS100" s="417" t="s">
        <v>1657</v>
      </c>
      <c r="AT100" s="432" t="s">
        <v>1658</v>
      </c>
      <c r="AU100" s="655" t="s">
        <v>1659</v>
      </c>
      <c r="AV100" s="655" t="s">
        <v>1660</v>
      </c>
      <c r="AW100" s="655" t="s">
        <v>1661</v>
      </c>
      <c r="AX100" s="655" t="s">
        <v>1662</v>
      </c>
      <c r="AY100" s="655" t="s">
        <v>1663</v>
      </c>
      <c r="AZ100" s="1056" t="str">
        <f t="shared" si="97"/>
        <v xml:space="preserve"> * La variable Gestantes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00" s="113"/>
      <c r="BB100" s="113"/>
      <c r="BC100" s="113"/>
      <c r="CB100" s="191" t="str">
        <f t="shared" si="120"/>
        <v xml:space="preserve"> * La variable Gestantes no puede ser Mayor al Total Mujeres.</v>
      </c>
      <c r="CC100" s="1086"/>
      <c r="CD100" s="191" t="str">
        <f t="shared" si="121"/>
        <v xml:space="preserve"> * La variable Pueblos Originarios Hombres no puede ser Mayor al Total Hombres.</v>
      </c>
      <c r="CE100" s="191" t="str">
        <f t="shared" si="122"/>
        <v xml:space="preserve"> * La variable Pueblos Originarios Mujeres no puede ser Mayor al Total Mujeres.</v>
      </c>
      <c r="CF100" s="191" t="str">
        <f t="shared" si="123"/>
        <v xml:space="preserve"> * La variable Migrantes Hombres no puede ser Mayor al Total Hombres.</v>
      </c>
      <c r="CG100" s="191" t="str">
        <f t="shared" si="124"/>
        <v xml:space="preserve"> * La variable Migrantes Mujeres no puede ser Mayor al Total Mujeres.</v>
      </c>
      <c r="CH100" s="191" t="str">
        <f t="shared" si="117"/>
        <v xml:space="preserve"> * La variable Niños, Niñas, Adolescentes y Jóvenes SENAME no puede ser Mayor al Total ambos sexos.</v>
      </c>
      <c r="CI100" s="191" t="str">
        <f t="shared" si="118"/>
        <v xml:space="preserve"> * La variable Niños y niñas Mejor Niñez no puede ser Mayor al Total ambos sexos.</v>
      </c>
      <c r="CJ100" s="191" t="str">
        <f t="shared" si="125"/>
        <v xml:space="preserve">* La variable Plan Cuidado Integral Elaborado debe ser menor o igual al Total de Personas en control. </v>
      </c>
      <c r="CK100" s="191" t="str">
        <f t="shared" si="119"/>
        <v xml:space="preserve"> * La variable Trans Masculino no debe ser mayor al Total Mujeres.</v>
      </c>
      <c r="CL100" s="191" t="str">
        <f t="shared" si="126"/>
        <v xml:space="preserve"> * La variable Trans Femenino no debe ser mayor al Total Hombre.</v>
      </c>
      <c r="CM100" s="108"/>
      <c r="CN100" s="108"/>
      <c r="CO100" s="1047">
        <f t="shared" si="127"/>
        <v>1</v>
      </c>
      <c r="CP100" s="1086"/>
      <c r="CQ100" s="1047">
        <f t="shared" si="137"/>
        <v>1</v>
      </c>
      <c r="CR100" s="1047">
        <f t="shared" si="131"/>
        <v>1</v>
      </c>
      <c r="CS100" s="1047">
        <f t="shared" si="132"/>
        <v>1</v>
      </c>
      <c r="CT100" s="1047">
        <f t="shared" si="133"/>
        <v>1</v>
      </c>
      <c r="CU100" s="1047">
        <f t="shared" si="134"/>
        <v>1</v>
      </c>
      <c r="CV100" s="1047">
        <f t="shared" si="135"/>
        <v>1</v>
      </c>
      <c r="CW100" s="1047">
        <f t="shared" si="136"/>
        <v>1</v>
      </c>
      <c r="CX100" s="1047">
        <f t="shared" si="115"/>
        <v>1</v>
      </c>
      <c r="CY100" s="1047">
        <f t="shared" si="130"/>
        <v>1</v>
      </c>
      <c r="DL100" s="108"/>
      <c r="DM100" s="108"/>
      <c r="DN100" s="108"/>
      <c r="DO100" s="108"/>
      <c r="DP100" s="108"/>
      <c r="DQ100" s="108"/>
      <c r="DR100" s="108"/>
      <c r="DS100" s="108"/>
      <c r="DT100" s="108"/>
      <c r="DU100" s="108"/>
    </row>
    <row r="101" spans="1:125" s="95" customFormat="1" ht="15" customHeight="1" x14ac:dyDescent="0.25">
      <c r="A101" s="1585" t="s">
        <v>1397</v>
      </c>
      <c r="B101" s="2173" t="s">
        <v>657</v>
      </c>
      <c r="C101" s="196" t="s">
        <v>693</v>
      </c>
      <c r="D101" s="708" t="s">
        <v>1616</v>
      </c>
      <c r="E101" s="1067" t="s">
        <v>1617</v>
      </c>
      <c r="F101" s="583" t="s">
        <v>1618</v>
      </c>
      <c r="G101" s="417" t="s">
        <v>1619</v>
      </c>
      <c r="H101" s="418" t="s">
        <v>1620</v>
      </c>
      <c r="I101" s="417" t="s">
        <v>1621</v>
      </c>
      <c r="J101" s="418" t="s">
        <v>1622</v>
      </c>
      <c r="K101" s="417" t="s">
        <v>1623</v>
      </c>
      <c r="L101" s="418" t="s">
        <v>1624</v>
      </c>
      <c r="M101" s="417" t="s">
        <v>1625</v>
      </c>
      <c r="N101" s="418" t="s">
        <v>1626</v>
      </c>
      <c r="O101" s="417" t="s">
        <v>1627</v>
      </c>
      <c r="P101" s="468" t="s">
        <v>1628</v>
      </c>
      <c r="Q101" s="417" t="s">
        <v>1629</v>
      </c>
      <c r="R101" s="468" t="s">
        <v>1630</v>
      </c>
      <c r="S101" s="417" t="s">
        <v>1631</v>
      </c>
      <c r="T101" s="468" t="s">
        <v>1632</v>
      </c>
      <c r="U101" s="417" t="s">
        <v>1633</v>
      </c>
      <c r="V101" s="468" t="s">
        <v>1634</v>
      </c>
      <c r="W101" s="417" t="s">
        <v>1635</v>
      </c>
      <c r="X101" s="468" t="s">
        <v>1636</v>
      </c>
      <c r="Y101" s="417" t="s">
        <v>1637</v>
      </c>
      <c r="Z101" s="468" t="s">
        <v>1638</v>
      </c>
      <c r="AA101" s="417" t="s">
        <v>1639</v>
      </c>
      <c r="AB101" s="468" t="s">
        <v>1640</v>
      </c>
      <c r="AC101" s="417" t="s">
        <v>1641</v>
      </c>
      <c r="AD101" s="468" t="s">
        <v>1642</v>
      </c>
      <c r="AE101" s="417" t="s">
        <v>1643</v>
      </c>
      <c r="AF101" s="468" t="s">
        <v>1644</v>
      </c>
      <c r="AG101" s="417" t="s">
        <v>1645</v>
      </c>
      <c r="AH101" s="468" t="s">
        <v>1646</v>
      </c>
      <c r="AI101" s="417" t="s">
        <v>1647</v>
      </c>
      <c r="AJ101" s="468" t="s">
        <v>1648</v>
      </c>
      <c r="AK101" s="417" t="s">
        <v>1649</v>
      </c>
      <c r="AL101" s="468" t="s">
        <v>1650</v>
      </c>
      <c r="AM101" s="417" t="s">
        <v>1651</v>
      </c>
      <c r="AN101" s="419" t="s">
        <v>1652</v>
      </c>
      <c r="AO101" s="456" t="s">
        <v>1653</v>
      </c>
      <c r="AP101" s="655" t="s">
        <v>1654</v>
      </c>
      <c r="AQ101" s="417" t="s">
        <v>1655</v>
      </c>
      <c r="AR101" s="432" t="s">
        <v>1656</v>
      </c>
      <c r="AS101" s="468" t="s">
        <v>1657</v>
      </c>
      <c r="AT101" s="418" t="s">
        <v>1658</v>
      </c>
      <c r="AU101" s="418" t="s">
        <v>1659</v>
      </c>
      <c r="AV101" s="418" t="s">
        <v>1660</v>
      </c>
      <c r="AW101" s="418" t="s">
        <v>1661</v>
      </c>
      <c r="AX101" s="418" t="s">
        <v>1662</v>
      </c>
      <c r="AY101" s="418" t="s">
        <v>1663</v>
      </c>
      <c r="AZ101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01" s="113"/>
      <c r="BB101" s="113"/>
      <c r="BC101" s="113"/>
      <c r="CB101" s="191" t="str">
        <f t="shared" si="120"/>
        <v xml:space="preserve"> * La variable Gestantes no puede ser Mayor al Total Mujeres.</v>
      </c>
      <c r="CC101" s="191" t="str">
        <f t="shared" ref="CC101:CC105" si="138">IF(AND(F101&gt;0,OR(AP101=""))," * No olvide digitar la variable Madre de hijo menor de 5 años. Digite Cero si no tiene.",IF(AP101&gt;F101," * La variable Madre de hijo menor de 5 años no puede ser Mayor al Total Mujeres.",""))</f>
        <v xml:space="preserve"> * La variable Madre de hijo menor de 5 años no puede ser Mayor al Total Mujeres.</v>
      </c>
      <c r="CD101" s="191" t="str">
        <f t="shared" si="121"/>
        <v xml:space="preserve"> * La variable Pueblos Originarios Hombres no puede ser Mayor al Total Hombres.</v>
      </c>
      <c r="CE101" s="191" t="str">
        <f t="shared" si="122"/>
        <v xml:space="preserve"> * La variable Pueblos Originarios Mujeres no puede ser Mayor al Total Mujeres.</v>
      </c>
      <c r="CF101" s="191" t="str">
        <f t="shared" si="123"/>
        <v xml:space="preserve"> * La variable Migrantes Hombres no puede ser Mayor al Total Hombres.</v>
      </c>
      <c r="CG101" s="191" t="str">
        <f t="shared" si="124"/>
        <v xml:space="preserve"> * La variable Migrantes Mujeres no puede ser Mayor al Total Mujeres.</v>
      </c>
      <c r="CH101" s="191" t="str">
        <f t="shared" si="117"/>
        <v xml:space="preserve"> * La variable Niños, Niñas, Adolescentes y Jóvenes SENAME no puede ser Mayor al Total ambos sexos.</v>
      </c>
      <c r="CI101" s="191" t="str">
        <f t="shared" si="118"/>
        <v xml:space="preserve"> * La variable Niños y niñas Mejor Niñez no puede ser Mayor al Total ambos sexos.</v>
      </c>
      <c r="CJ101" s="191" t="str">
        <f t="shared" si="125"/>
        <v xml:space="preserve">* La variable Plan Cuidado Integral Elaborado debe ser menor o igual al Total de Personas en control. </v>
      </c>
      <c r="CK101" s="191" t="str">
        <f t="shared" si="119"/>
        <v xml:space="preserve"> * La variable Trans Masculino no debe ser mayor al Total Mujeres.</v>
      </c>
      <c r="CL101" s="191" t="str">
        <f t="shared" si="126"/>
        <v xml:space="preserve"> * La variable Trans Femenino no debe ser mayor al Total Hombre.</v>
      </c>
      <c r="CM101" s="108"/>
      <c r="CN101" s="108"/>
      <c r="CO101" s="1047">
        <f t="shared" si="127"/>
        <v>1</v>
      </c>
      <c r="CP101" s="1047">
        <f t="shared" ref="CP101:CP105" si="139">IF(AND($F101&gt;0,OR(AP101="")),1,IF(AP101&gt;$F101,1,0))</f>
        <v>1</v>
      </c>
      <c r="CQ101" s="1047">
        <f>IF(AND($E101&gt;0,OR(AQ101="")),1,IF(AQ101&gt;$E101,1,0))</f>
        <v>1</v>
      </c>
      <c r="CR101" s="1047">
        <f>IF(AND($F101&gt;0,OR(AR101="")),1,IF(AR101&gt;$F101,1,0))</f>
        <v>1</v>
      </c>
      <c r="CS101" s="1047">
        <f>IF(AND($E101&gt;0,OR(AS101="")),1,IF(AS101&gt;$E101,1,0))</f>
        <v>1</v>
      </c>
      <c r="CT101" s="1047">
        <f>IF(AND($F101&gt;0,OR(AT101="")),1,IF(AT101&gt;$F101,1,0))</f>
        <v>1</v>
      </c>
      <c r="CU101" s="1047">
        <f t="shared" ref="CU101:CW102" si="140">IF(AND($D101&gt;0,OR(AU101="")),1,IF(AU101&gt;$D101,1,0))</f>
        <v>1</v>
      </c>
      <c r="CV101" s="1047">
        <f t="shared" si="140"/>
        <v>1</v>
      </c>
      <c r="CW101" s="1047">
        <f t="shared" si="140"/>
        <v>1</v>
      </c>
      <c r="CX101" s="1047">
        <f t="shared" si="115"/>
        <v>1</v>
      </c>
      <c r="CY101" s="1047">
        <f t="shared" si="130"/>
        <v>1</v>
      </c>
      <c r="CZ101" s="108"/>
      <c r="DL101" s="108"/>
      <c r="DM101" s="108"/>
      <c r="DN101" s="108"/>
      <c r="DO101" s="108"/>
      <c r="DP101" s="108"/>
      <c r="DQ101" s="108"/>
      <c r="DR101" s="108"/>
      <c r="DS101" s="108"/>
      <c r="DT101" s="108"/>
      <c r="DU101" s="108"/>
    </row>
    <row r="102" spans="1:125" s="95" customFormat="1" ht="15" customHeight="1" x14ac:dyDescent="0.25">
      <c r="A102" s="1585" t="s">
        <v>1398</v>
      </c>
      <c r="B102" s="1958"/>
      <c r="C102" s="799" t="s">
        <v>694</v>
      </c>
      <c r="D102" s="709" t="s">
        <v>1616</v>
      </c>
      <c r="E102" s="1068" t="s">
        <v>1617</v>
      </c>
      <c r="F102" s="584" t="s">
        <v>1618</v>
      </c>
      <c r="G102" s="398" t="s">
        <v>1619</v>
      </c>
      <c r="H102" s="399" t="s">
        <v>1620</v>
      </c>
      <c r="I102" s="398" t="s">
        <v>1621</v>
      </c>
      <c r="J102" s="399" t="s">
        <v>1622</v>
      </c>
      <c r="K102" s="398" t="s">
        <v>1623</v>
      </c>
      <c r="L102" s="399" t="s">
        <v>1624</v>
      </c>
      <c r="M102" s="398" t="s">
        <v>1625</v>
      </c>
      <c r="N102" s="399" t="s">
        <v>1626</v>
      </c>
      <c r="O102" s="398" t="s">
        <v>1627</v>
      </c>
      <c r="P102" s="465" t="s">
        <v>1628</v>
      </c>
      <c r="Q102" s="398" t="s">
        <v>1629</v>
      </c>
      <c r="R102" s="465" t="s">
        <v>1630</v>
      </c>
      <c r="S102" s="398" t="s">
        <v>1631</v>
      </c>
      <c r="T102" s="465" t="s">
        <v>1632</v>
      </c>
      <c r="U102" s="398" t="s">
        <v>1633</v>
      </c>
      <c r="V102" s="465" t="s">
        <v>1634</v>
      </c>
      <c r="W102" s="398" t="s">
        <v>1635</v>
      </c>
      <c r="X102" s="465" t="s">
        <v>1636</v>
      </c>
      <c r="Y102" s="398" t="s">
        <v>1637</v>
      </c>
      <c r="Z102" s="465" t="s">
        <v>1638</v>
      </c>
      <c r="AA102" s="398" t="s">
        <v>1639</v>
      </c>
      <c r="AB102" s="465" t="s">
        <v>1640</v>
      </c>
      <c r="AC102" s="398" t="s">
        <v>1641</v>
      </c>
      <c r="AD102" s="465" t="s">
        <v>1642</v>
      </c>
      <c r="AE102" s="398" t="s">
        <v>1643</v>
      </c>
      <c r="AF102" s="465" t="s">
        <v>1644</v>
      </c>
      <c r="AG102" s="398" t="s">
        <v>1645</v>
      </c>
      <c r="AH102" s="465" t="s">
        <v>1646</v>
      </c>
      <c r="AI102" s="398" t="s">
        <v>1647</v>
      </c>
      <c r="AJ102" s="465" t="s">
        <v>1648</v>
      </c>
      <c r="AK102" s="398" t="s">
        <v>1649</v>
      </c>
      <c r="AL102" s="465" t="s">
        <v>1650</v>
      </c>
      <c r="AM102" s="398" t="s">
        <v>1651</v>
      </c>
      <c r="AN102" s="407" t="s">
        <v>1652</v>
      </c>
      <c r="AO102" s="457" t="s">
        <v>1653</v>
      </c>
      <c r="AP102" s="650" t="s">
        <v>1654</v>
      </c>
      <c r="AQ102" s="398" t="s">
        <v>1655</v>
      </c>
      <c r="AR102" s="533" t="s">
        <v>1656</v>
      </c>
      <c r="AS102" s="465" t="s">
        <v>1657</v>
      </c>
      <c r="AT102" s="399" t="s">
        <v>1658</v>
      </c>
      <c r="AU102" s="399" t="s">
        <v>1659</v>
      </c>
      <c r="AV102" s="399" t="s">
        <v>1660</v>
      </c>
      <c r="AW102" s="399" t="s">
        <v>1661</v>
      </c>
      <c r="AX102" s="399" t="s">
        <v>1662</v>
      </c>
      <c r="AY102" s="399" t="s">
        <v>1663</v>
      </c>
      <c r="AZ102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02" s="113"/>
      <c r="BB102" s="113"/>
      <c r="BC102" s="113"/>
      <c r="CB102" s="191" t="str">
        <f t="shared" si="120"/>
        <v xml:space="preserve"> * La variable Gestantes no puede ser Mayor al Total Mujeres.</v>
      </c>
      <c r="CC102" s="191" t="str">
        <f t="shared" si="138"/>
        <v xml:space="preserve"> * La variable Madre de hijo menor de 5 años no puede ser Mayor al Total Mujeres.</v>
      </c>
      <c r="CD102" s="191" t="str">
        <f t="shared" si="121"/>
        <v xml:space="preserve"> * La variable Pueblos Originarios Hombres no puede ser Mayor al Total Hombres.</v>
      </c>
      <c r="CE102" s="191" t="str">
        <f t="shared" si="122"/>
        <v xml:space="preserve"> * La variable Pueblos Originarios Mujeres no puede ser Mayor al Total Mujeres.</v>
      </c>
      <c r="CF102" s="191" t="str">
        <f t="shared" si="123"/>
        <v xml:space="preserve"> * La variable Migrantes Hombres no puede ser Mayor al Total Hombres.</v>
      </c>
      <c r="CG102" s="191" t="str">
        <f t="shared" si="124"/>
        <v xml:space="preserve"> * La variable Migrantes Mujeres no puede ser Mayor al Total Mujeres.</v>
      </c>
      <c r="CH102" s="191" t="str">
        <f t="shared" si="117"/>
        <v xml:space="preserve"> * La variable Niños, Niñas, Adolescentes y Jóvenes SENAME no puede ser Mayor al Total ambos sexos.</v>
      </c>
      <c r="CI102" s="191" t="str">
        <f t="shared" si="118"/>
        <v xml:space="preserve"> * La variable Niños y niñas Mejor Niñez no puede ser Mayor al Total ambos sexos.</v>
      </c>
      <c r="CJ102" s="191" t="str">
        <f t="shared" si="125"/>
        <v xml:space="preserve">* La variable Plan Cuidado Integral Elaborado debe ser menor o igual al Total de Personas en control. </v>
      </c>
      <c r="CK102" s="191" t="str">
        <f t="shared" si="119"/>
        <v xml:space="preserve"> * La variable Trans Masculino no debe ser mayor al Total Mujeres.</v>
      </c>
      <c r="CL102" s="191" t="str">
        <f t="shared" si="126"/>
        <v xml:space="preserve"> * La variable Trans Femenino no debe ser mayor al Total Hombre.</v>
      </c>
      <c r="CM102" s="108"/>
      <c r="CN102" s="108"/>
      <c r="CO102" s="1047">
        <f t="shared" si="127"/>
        <v>1</v>
      </c>
      <c r="CP102" s="1047">
        <f t="shared" si="139"/>
        <v>1</v>
      </c>
      <c r="CQ102" s="1047">
        <f>IF(AND($E102&gt;0,OR(AQ102="")),1,IF(AQ102&gt;$E102,1,0))</f>
        <v>1</v>
      </c>
      <c r="CR102" s="1047">
        <f>IF(AND($F102&gt;0,OR(AR102="")),1,IF(AR102&gt;$F102,1,0))</f>
        <v>1</v>
      </c>
      <c r="CS102" s="1047">
        <f>IF(AND($E102&gt;0,OR(AS102="")),1,IF(AS102&gt;$E102,1,0))</f>
        <v>1</v>
      </c>
      <c r="CT102" s="1047">
        <f>IF(AND($F102&gt;0,OR(AT102="")),1,IF(AT102&gt;$F102,1,0))</f>
        <v>1</v>
      </c>
      <c r="CU102" s="1047">
        <f t="shared" si="140"/>
        <v>1</v>
      </c>
      <c r="CV102" s="1047">
        <f t="shared" si="140"/>
        <v>1</v>
      </c>
      <c r="CW102" s="1047">
        <f t="shared" si="140"/>
        <v>1</v>
      </c>
      <c r="CX102" s="1047">
        <f t="shared" si="115"/>
        <v>1</v>
      </c>
      <c r="CY102" s="1047">
        <f t="shared" si="130"/>
        <v>1</v>
      </c>
      <c r="CZ102" s="108"/>
      <c r="DL102" s="108"/>
      <c r="DM102" s="108"/>
      <c r="DN102" s="108"/>
      <c r="DO102" s="108"/>
      <c r="DP102" s="108"/>
      <c r="DQ102" s="108"/>
      <c r="DR102" s="108"/>
      <c r="DS102" s="108"/>
      <c r="DT102" s="108"/>
      <c r="DU102" s="108"/>
    </row>
    <row r="103" spans="1:125" ht="15" customHeight="1" x14ac:dyDescent="0.25">
      <c r="A103" s="1585" t="s">
        <v>1399</v>
      </c>
      <c r="B103" s="1958"/>
      <c r="C103" s="199" t="s">
        <v>660</v>
      </c>
      <c r="D103" s="709" t="s">
        <v>1616</v>
      </c>
      <c r="E103" s="1068" t="s">
        <v>1617</v>
      </c>
      <c r="F103" s="584" t="s">
        <v>1618</v>
      </c>
      <c r="G103" s="398" t="s">
        <v>1619</v>
      </c>
      <c r="H103" s="399" t="s">
        <v>1620</v>
      </c>
      <c r="I103" s="398" t="s">
        <v>1621</v>
      </c>
      <c r="J103" s="399" t="s">
        <v>1622</v>
      </c>
      <c r="K103" s="398" t="s">
        <v>1623</v>
      </c>
      <c r="L103" s="399" t="s">
        <v>1624</v>
      </c>
      <c r="M103" s="398" t="s">
        <v>1625</v>
      </c>
      <c r="N103" s="399" t="s">
        <v>1626</v>
      </c>
      <c r="O103" s="398" t="s">
        <v>1627</v>
      </c>
      <c r="P103" s="465" t="s">
        <v>1628</v>
      </c>
      <c r="Q103" s="398" t="s">
        <v>1629</v>
      </c>
      <c r="R103" s="465" t="s">
        <v>1630</v>
      </c>
      <c r="S103" s="398" t="s">
        <v>1631</v>
      </c>
      <c r="T103" s="465" t="s">
        <v>1632</v>
      </c>
      <c r="U103" s="398" t="s">
        <v>1633</v>
      </c>
      <c r="V103" s="465" t="s">
        <v>1634</v>
      </c>
      <c r="W103" s="398" t="s">
        <v>1635</v>
      </c>
      <c r="X103" s="465" t="s">
        <v>1636</v>
      </c>
      <c r="Y103" s="398" t="s">
        <v>1637</v>
      </c>
      <c r="Z103" s="465" t="s">
        <v>1638</v>
      </c>
      <c r="AA103" s="398" t="s">
        <v>1639</v>
      </c>
      <c r="AB103" s="465" t="s">
        <v>1640</v>
      </c>
      <c r="AC103" s="398" t="s">
        <v>1641</v>
      </c>
      <c r="AD103" s="465" t="s">
        <v>1642</v>
      </c>
      <c r="AE103" s="398" t="s">
        <v>1643</v>
      </c>
      <c r="AF103" s="465" t="s">
        <v>1644</v>
      </c>
      <c r="AG103" s="398" t="s">
        <v>1645</v>
      </c>
      <c r="AH103" s="465" t="s">
        <v>1646</v>
      </c>
      <c r="AI103" s="398" t="s">
        <v>1647</v>
      </c>
      <c r="AJ103" s="465" t="s">
        <v>1648</v>
      </c>
      <c r="AK103" s="398" t="s">
        <v>1649</v>
      </c>
      <c r="AL103" s="465" t="s">
        <v>1650</v>
      </c>
      <c r="AM103" s="398" t="s">
        <v>1651</v>
      </c>
      <c r="AN103" s="407" t="s">
        <v>1652</v>
      </c>
      <c r="AO103" s="457" t="s">
        <v>1653</v>
      </c>
      <c r="AP103" s="650" t="s">
        <v>1654</v>
      </c>
      <c r="AQ103" s="398" t="s">
        <v>1655</v>
      </c>
      <c r="AR103" s="533" t="s">
        <v>1656</v>
      </c>
      <c r="AS103" s="465" t="s">
        <v>1657</v>
      </c>
      <c r="AT103" s="399" t="s">
        <v>1658</v>
      </c>
      <c r="AU103" s="399" t="s">
        <v>1659</v>
      </c>
      <c r="AV103" s="399" t="s">
        <v>1660</v>
      </c>
      <c r="AW103" s="399" t="s">
        <v>1661</v>
      </c>
      <c r="AX103" s="399" t="s">
        <v>1662</v>
      </c>
      <c r="AY103" s="399" t="s">
        <v>1663</v>
      </c>
      <c r="AZ103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03" s="108"/>
      <c r="CB103" s="191" t="str">
        <f t="shared" si="120"/>
        <v xml:space="preserve"> * La variable Gestantes no puede ser Mayor al Total Mujeres.</v>
      </c>
      <c r="CC103" s="191" t="str">
        <f t="shared" si="138"/>
        <v xml:space="preserve"> * La variable Madre de hijo menor de 5 años no puede ser Mayor al Total Mujeres.</v>
      </c>
      <c r="CD103" s="191" t="str">
        <f t="shared" si="121"/>
        <v xml:space="preserve"> * La variable Pueblos Originarios Hombres no puede ser Mayor al Total Hombres.</v>
      </c>
      <c r="CE103" s="191" t="str">
        <f t="shared" si="122"/>
        <v xml:space="preserve"> * La variable Pueblos Originarios Mujeres no puede ser Mayor al Total Mujeres.</v>
      </c>
      <c r="CF103" s="191" t="str">
        <f t="shared" si="123"/>
        <v xml:space="preserve"> * La variable Migrantes Hombres no puede ser Mayor al Total Hombres.</v>
      </c>
      <c r="CG103" s="191" t="str">
        <f t="shared" si="124"/>
        <v xml:space="preserve"> * La variable Migrantes Mujeres no puede ser Mayor al Total Mujeres.</v>
      </c>
      <c r="CH103" s="191" t="str">
        <f t="shared" si="117"/>
        <v xml:space="preserve"> * La variable Niños, Niñas, Adolescentes y Jóvenes SENAME no puede ser Mayor al Total ambos sexos.</v>
      </c>
      <c r="CI103" s="191" t="str">
        <f t="shared" si="118"/>
        <v xml:space="preserve"> * La variable Niños y niñas Mejor Niñez no puede ser Mayor al Total ambos sexos.</v>
      </c>
      <c r="CJ103" s="191" t="str">
        <f t="shared" si="125"/>
        <v xml:space="preserve">* La variable Plan Cuidado Integral Elaborado debe ser menor o igual al Total de Personas en control. </v>
      </c>
      <c r="CK103" s="191" t="str">
        <f t="shared" si="119"/>
        <v xml:space="preserve"> * La variable Trans Masculino no debe ser mayor al Total Mujeres.</v>
      </c>
      <c r="CL103" s="191" t="str">
        <f t="shared" si="126"/>
        <v xml:space="preserve"> * La variable Trans Femenino no debe ser mayor al Total Hombre.</v>
      </c>
      <c r="CO103" s="1047">
        <f t="shared" si="127"/>
        <v>1</v>
      </c>
      <c r="CP103" s="1047">
        <f t="shared" si="139"/>
        <v>1</v>
      </c>
      <c r="CQ103" s="1047">
        <f t="shared" ref="CQ103:CQ120" si="141">IF(AND($E103&gt;0,OR(AQ103="")),1,IF(AQ103&gt;$E103,1,0))</f>
        <v>1</v>
      </c>
      <c r="CR103" s="1047">
        <f t="shared" ref="CR103:CR120" si="142">IF(AND($F103&gt;0,OR(AR103="")),1,IF(AR103&gt;$F103,1,0))</f>
        <v>1</v>
      </c>
      <c r="CS103" s="1047">
        <f t="shared" ref="CS103:CS120" si="143">IF(AND($E103&gt;0,OR(AS103="")),1,IF(AS103&gt;$E103,1,0))</f>
        <v>1</v>
      </c>
      <c r="CT103" s="1047">
        <f t="shared" ref="CT103:CT120" si="144">IF(AND($F103&gt;0,OR(AT103="")),1,IF(AT103&gt;$F103,1,0))</f>
        <v>1</v>
      </c>
      <c r="CU103" s="1047">
        <f t="shared" ref="CU103:CU105" si="145">IF(AND($D103&gt;0,OR(AU103="")),1,IF(AU103&gt;$D103,1,0))</f>
        <v>1</v>
      </c>
      <c r="CV103" s="1047">
        <f t="shared" ref="CV103:CV105" si="146">IF(AND($D103&gt;0,OR(AV103="")),1,IF(AV103&gt;$D103,1,0))</f>
        <v>1</v>
      </c>
      <c r="CW103" s="1047">
        <f t="shared" ref="CW103:CW120" si="147">IF(AND($D103&gt;0,OR(AW103="")),1,IF(AW103&gt;$D103,1,0))</f>
        <v>1</v>
      </c>
      <c r="CX103" s="1047">
        <f t="shared" si="115"/>
        <v>1</v>
      </c>
      <c r="CY103" s="1047">
        <f t="shared" si="130"/>
        <v>1</v>
      </c>
      <c r="DN103" s="108"/>
      <c r="DO103" s="108"/>
      <c r="DP103" s="108"/>
    </row>
    <row r="104" spans="1:125" ht="15" customHeight="1" x14ac:dyDescent="0.25">
      <c r="A104" s="1585" t="s">
        <v>1400</v>
      </c>
      <c r="B104" s="1958"/>
      <c r="C104" s="199" t="s">
        <v>661</v>
      </c>
      <c r="D104" s="708" t="s">
        <v>1616</v>
      </c>
      <c r="E104" s="1067" t="s">
        <v>1617</v>
      </c>
      <c r="F104" s="583" t="s">
        <v>1618</v>
      </c>
      <c r="G104" s="398" t="s">
        <v>1619</v>
      </c>
      <c r="H104" s="399" t="s">
        <v>1620</v>
      </c>
      <c r="I104" s="398" t="s">
        <v>1621</v>
      </c>
      <c r="J104" s="399" t="s">
        <v>1622</v>
      </c>
      <c r="K104" s="398" t="s">
        <v>1623</v>
      </c>
      <c r="L104" s="399" t="s">
        <v>1624</v>
      </c>
      <c r="M104" s="398" t="s">
        <v>1625</v>
      </c>
      <c r="N104" s="399" t="s">
        <v>1626</v>
      </c>
      <c r="O104" s="398" t="s">
        <v>1627</v>
      </c>
      <c r="P104" s="465" t="s">
        <v>1628</v>
      </c>
      <c r="Q104" s="398" t="s">
        <v>1629</v>
      </c>
      <c r="R104" s="465" t="s">
        <v>1630</v>
      </c>
      <c r="S104" s="398" t="s">
        <v>1631</v>
      </c>
      <c r="T104" s="465" t="s">
        <v>1632</v>
      </c>
      <c r="U104" s="398" t="s">
        <v>1633</v>
      </c>
      <c r="V104" s="465" t="s">
        <v>1634</v>
      </c>
      <c r="W104" s="398" t="s">
        <v>1635</v>
      </c>
      <c r="X104" s="465" t="s">
        <v>1636</v>
      </c>
      <c r="Y104" s="398" t="s">
        <v>1637</v>
      </c>
      <c r="Z104" s="465" t="s">
        <v>1638</v>
      </c>
      <c r="AA104" s="398" t="s">
        <v>1639</v>
      </c>
      <c r="AB104" s="465" t="s">
        <v>1640</v>
      </c>
      <c r="AC104" s="398" t="s">
        <v>1641</v>
      </c>
      <c r="AD104" s="465" t="s">
        <v>1642</v>
      </c>
      <c r="AE104" s="398" t="s">
        <v>1643</v>
      </c>
      <c r="AF104" s="465" t="s">
        <v>1644</v>
      </c>
      <c r="AG104" s="398" t="s">
        <v>1645</v>
      </c>
      <c r="AH104" s="465" t="s">
        <v>1646</v>
      </c>
      <c r="AI104" s="398" t="s">
        <v>1647</v>
      </c>
      <c r="AJ104" s="465" t="s">
        <v>1648</v>
      </c>
      <c r="AK104" s="398" t="s">
        <v>1649</v>
      </c>
      <c r="AL104" s="465" t="s">
        <v>1650</v>
      </c>
      <c r="AM104" s="398" t="s">
        <v>1651</v>
      </c>
      <c r="AN104" s="407" t="s">
        <v>1652</v>
      </c>
      <c r="AO104" s="457" t="s">
        <v>1653</v>
      </c>
      <c r="AP104" s="650" t="s">
        <v>1654</v>
      </c>
      <c r="AQ104" s="398" t="s">
        <v>1655</v>
      </c>
      <c r="AR104" s="533" t="s">
        <v>1656</v>
      </c>
      <c r="AS104" s="465" t="s">
        <v>1657</v>
      </c>
      <c r="AT104" s="399" t="s">
        <v>1658</v>
      </c>
      <c r="AU104" s="399" t="s">
        <v>1659</v>
      </c>
      <c r="AV104" s="650" t="s">
        <v>1660</v>
      </c>
      <c r="AW104" s="399" t="s">
        <v>1661</v>
      </c>
      <c r="AX104" s="399" t="s">
        <v>1662</v>
      </c>
      <c r="AY104" s="399" t="s">
        <v>1663</v>
      </c>
      <c r="AZ104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04" s="108"/>
      <c r="CB104" s="191" t="str">
        <f t="shared" si="120"/>
        <v xml:space="preserve"> * La variable Gestantes no puede ser Mayor al Total Mujeres.</v>
      </c>
      <c r="CC104" s="191" t="str">
        <f t="shared" si="138"/>
        <v xml:space="preserve"> * La variable Madre de hijo menor de 5 años no puede ser Mayor al Total Mujeres.</v>
      </c>
      <c r="CD104" s="191" t="str">
        <f t="shared" si="121"/>
        <v xml:space="preserve"> * La variable Pueblos Originarios Hombres no puede ser Mayor al Total Hombres.</v>
      </c>
      <c r="CE104" s="191" t="str">
        <f t="shared" si="122"/>
        <v xml:space="preserve"> * La variable Pueblos Originarios Mujeres no puede ser Mayor al Total Mujeres.</v>
      </c>
      <c r="CF104" s="191" t="str">
        <f t="shared" si="123"/>
        <v xml:space="preserve"> * La variable Migrantes Hombres no puede ser Mayor al Total Hombres.</v>
      </c>
      <c r="CG104" s="191" t="str">
        <f t="shared" si="124"/>
        <v xml:space="preserve"> * La variable Migrantes Mujeres no puede ser Mayor al Total Mujeres.</v>
      </c>
      <c r="CH104" s="191" t="str">
        <f t="shared" si="117"/>
        <v xml:space="preserve"> * La variable Niños, Niñas, Adolescentes y Jóvenes SENAME no puede ser Mayor al Total ambos sexos.</v>
      </c>
      <c r="CI104" s="191" t="str">
        <f t="shared" si="118"/>
        <v xml:space="preserve"> * La variable Niños y niñas Mejor Niñez no puede ser Mayor al Total ambos sexos.</v>
      </c>
      <c r="CJ104" s="191" t="str">
        <f t="shared" si="125"/>
        <v xml:space="preserve">* La variable Plan Cuidado Integral Elaborado debe ser menor o igual al Total de Personas en control. </v>
      </c>
      <c r="CK104" s="191" t="str">
        <f t="shared" si="119"/>
        <v xml:space="preserve"> * La variable Trans Masculino no debe ser mayor al Total Mujeres.</v>
      </c>
      <c r="CL104" s="191" t="str">
        <f t="shared" si="126"/>
        <v xml:space="preserve"> * La variable Trans Femenino no debe ser mayor al Total Hombre.</v>
      </c>
      <c r="CO104" s="1047">
        <f t="shared" si="127"/>
        <v>1</v>
      </c>
      <c r="CP104" s="1047">
        <f t="shared" si="139"/>
        <v>1</v>
      </c>
      <c r="CQ104" s="1047">
        <f t="shared" si="141"/>
        <v>1</v>
      </c>
      <c r="CR104" s="1047">
        <f t="shared" si="142"/>
        <v>1</v>
      </c>
      <c r="CS104" s="1047">
        <f t="shared" si="143"/>
        <v>1</v>
      </c>
      <c r="CT104" s="1047">
        <f t="shared" si="144"/>
        <v>1</v>
      </c>
      <c r="CU104" s="1047">
        <f t="shared" si="145"/>
        <v>1</v>
      </c>
      <c r="CV104" s="1047">
        <f t="shared" si="146"/>
        <v>1</v>
      </c>
      <c r="CW104" s="1047">
        <f t="shared" si="147"/>
        <v>1</v>
      </c>
      <c r="CX104" s="1047">
        <f t="shared" si="115"/>
        <v>1</v>
      </c>
      <c r="CY104" s="1047">
        <f t="shared" si="130"/>
        <v>1</v>
      </c>
      <c r="DN104" s="108"/>
      <c r="DO104" s="108"/>
      <c r="DP104" s="108"/>
    </row>
    <row r="105" spans="1:125" ht="15" customHeight="1" x14ac:dyDescent="0.25">
      <c r="A105" s="1585" t="s">
        <v>1401</v>
      </c>
      <c r="B105" s="1954"/>
      <c r="C105" s="586" t="s">
        <v>662</v>
      </c>
      <c r="D105" s="710" t="s">
        <v>1616</v>
      </c>
      <c r="E105" s="1152" t="s">
        <v>1617</v>
      </c>
      <c r="F105" s="591" t="s">
        <v>1618</v>
      </c>
      <c r="G105" s="403" t="s">
        <v>1619</v>
      </c>
      <c r="H105" s="404" t="s">
        <v>1620</v>
      </c>
      <c r="I105" s="403" t="s">
        <v>1621</v>
      </c>
      <c r="J105" s="404" t="s">
        <v>1622</v>
      </c>
      <c r="K105" s="403" t="s">
        <v>1623</v>
      </c>
      <c r="L105" s="404" t="s">
        <v>1624</v>
      </c>
      <c r="M105" s="403" t="s">
        <v>1625</v>
      </c>
      <c r="N105" s="404" t="s">
        <v>1626</v>
      </c>
      <c r="O105" s="403" t="s">
        <v>1627</v>
      </c>
      <c r="P105" s="464" t="s">
        <v>1628</v>
      </c>
      <c r="Q105" s="403" t="s">
        <v>1629</v>
      </c>
      <c r="R105" s="464" t="s">
        <v>1630</v>
      </c>
      <c r="S105" s="403" t="s">
        <v>1631</v>
      </c>
      <c r="T105" s="464" t="s">
        <v>1632</v>
      </c>
      <c r="U105" s="403" t="s">
        <v>1633</v>
      </c>
      <c r="V105" s="464" t="s">
        <v>1634</v>
      </c>
      <c r="W105" s="403" t="s">
        <v>1635</v>
      </c>
      <c r="X105" s="464" t="s">
        <v>1636</v>
      </c>
      <c r="Y105" s="403" t="s">
        <v>1637</v>
      </c>
      <c r="Z105" s="464" t="s">
        <v>1638</v>
      </c>
      <c r="AA105" s="403" t="s">
        <v>1639</v>
      </c>
      <c r="AB105" s="464" t="s">
        <v>1640</v>
      </c>
      <c r="AC105" s="403" t="s">
        <v>1641</v>
      </c>
      <c r="AD105" s="464" t="s">
        <v>1642</v>
      </c>
      <c r="AE105" s="403" t="s">
        <v>1643</v>
      </c>
      <c r="AF105" s="464" t="s">
        <v>1644</v>
      </c>
      <c r="AG105" s="403" t="s">
        <v>1645</v>
      </c>
      <c r="AH105" s="464" t="s">
        <v>1646</v>
      </c>
      <c r="AI105" s="403" t="s">
        <v>1647</v>
      </c>
      <c r="AJ105" s="464" t="s">
        <v>1648</v>
      </c>
      <c r="AK105" s="403" t="s">
        <v>1649</v>
      </c>
      <c r="AL105" s="464" t="s">
        <v>1650</v>
      </c>
      <c r="AM105" s="403" t="s">
        <v>1651</v>
      </c>
      <c r="AN105" s="431" t="s">
        <v>1652</v>
      </c>
      <c r="AO105" s="651" t="s">
        <v>1653</v>
      </c>
      <c r="AP105" s="652" t="s">
        <v>1654</v>
      </c>
      <c r="AQ105" s="403" t="s">
        <v>1655</v>
      </c>
      <c r="AR105" s="442" t="s">
        <v>1656</v>
      </c>
      <c r="AS105" s="464" t="s">
        <v>1657</v>
      </c>
      <c r="AT105" s="404" t="s">
        <v>1658</v>
      </c>
      <c r="AU105" s="404" t="s">
        <v>1659</v>
      </c>
      <c r="AV105" s="652" t="s">
        <v>1660</v>
      </c>
      <c r="AW105" s="404" t="s">
        <v>1661</v>
      </c>
      <c r="AX105" s="404" t="s">
        <v>1662</v>
      </c>
      <c r="AY105" s="404" t="s">
        <v>1663</v>
      </c>
      <c r="AZ105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05" s="108"/>
      <c r="CB105" s="191" t="str">
        <f t="shared" si="120"/>
        <v xml:space="preserve"> * La variable Gestantes no puede ser Mayor al Total Mujeres.</v>
      </c>
      <c r="CC105" s="191" t="str">
        <f t="shared" si="138"/>
        <v xml:space="preserve"> * La variable Madre de hijo menor de 5 años no puede ser Mayor al Total Mujeres.</v>
      </c>
      <c r="CD105" s="191" t="str">
        <f t="shared" si="121"/>
        <v xml:space="preserve"> * La variable Pueblos Originarios Hombres no puede ser Mayor al Total Hombres.</v>
      </c>
      <c r="CE105" s="191" t="str">
        <f t="shared" si="122"/>
        <v xml:space="preserve"> * La variable Pueblos Originarios Mujeres no puede ser Mayor al Total Mujeres.</v>
      </c>
      <c r="CF105" s="191" t="str">
        <f t="shared" si="123"/>
        <v xml:space="preserve"> * La variable Migrantes Hombres no puede ser Mayor al Total Hombres.</v>
      </c>
      <c r="CG105" s="191" t="str">
        <f t="shared" si="124"/>
        <v xml:space="preserve"> * La variable Migrantes Mujeres no puede ser Mayor al Total Mujeres.</v>
      </c>
      <c r="CH105" s="191" t="str">
        <f t="shared" si="117"/>
        <v xml:space="preserve"> * La variable Niños, Niñas, Adolescentes y Jóvenes SENAME no puede ser Mayor al Total ambos sexos.</v>
      </c>
      <c r="CI105" s="191" t="str">
        <f t="shared" si="118"/>
        <v xml:space="preserve"> * La variable Niños y niñas Mejor Niñez no puede ser Mayor al Total ambos sexos.</v>
      </c>
      <c r="CJ105" s="191" t="str">
        <f t="shared" si="125"/>
        <v xml:space="preserve">* La variable Plan Cuidado Integral Elaborado debe ser menor o igual al Total de Personas en control. </v>
      </c>
      <c r="CK105" s="191" t="str">
        <f t="shared" si="119"/>
        <v xml:space="preserve"> * La variable Trans Masculino no debe ser mayor al Total Mujeres.</v>
      </c>
      <c r="CL105" s="191" t="str">
        <f t="shared" si="126"/>
        <v xml:space="preserve"> * La variable Trans Femenino no debe ser mayor al Total Hombre.</v>
      </c>
      <c r="CO105" s="1047">
        <f t="shared" si="127"/>
        <v>1</v>
      </c>
      <c r="CP105" s="1047">
        <f t="shared" si="139"/>
        <v>1</v>
      </c>
      <c r="CQ105" s="1047">
        <f t="shared" si="141"/>
        <v>1</v>
      </c>
      <c r="CR105" s="1047">
        <f t="shared" si="142"/>
        <v>1</v>
      </c>
      <c r="CS105" s="1047">
        <f t="shared" si="143"/>
        <v>1</v>
      </c>
      <c r="CT105" s="1047">
        <f t="shared" si="144"/>
        <v>1</v>
      </c>
      <c r="CU105" s="1047">
        <f t="shared" si="145"/>
        <v>1</v>
      </c>
      <c r="CV105" s="1047">
        <f t="shared" si="146"/>
        <v>1</v>
      </c>
      <c r="CW105" s="1047">
        <f t="shared" si="147"/>
        <v>1</v>
      </c>
      <c r="CX105" s="1047">
        <f t="shared" si="115"/>
        <v>1</v>
      </c>
      <c r="CY105" s="1047">
        <f t="shared" si="130"/>
        <v>1</v>
      </c>
      <c r="DN105" s="108"/>
      <c r="DO105" s="108"/>
      <c r="DP105" s="108"/>
    </row>
    <row r="106" spans="1:125" ht="15" customHeight="1" x14ac:dyDescent="0.25">
      <c r="A106" s="1585" t="s">
        <v>1402</v>
      </c>
      <c r="B106" s="2173" t="s">
        <v>663</v>
      </c>
      <c r="C106" s="1344" t="s">
        <v>282</v>
      </c>
      <c r="D106" s="1142" t="s">
        <v>1616</v>
      </c>
      <c r="E106" s="387" t="s">
        <v>1617</v>
      </c>
      <c r="F106" s="531" t="s">
        <v>1618</v>
      </c>
      <c r="G106" s="546" t="s">
        <v>1619</v>
      </c>
      <c r="H106" s="547" t="s">
        <v>1620</v>
      </c>
      <c r="I106" s="546" t="s">
        <v>1621</v>
      </c>
      <c r="J106" s="547" t="s">
        <v>1622</v>
      </c>
      <c r="K106" s="546" t="s">
        <v>1623</v>
      </c>
      <c r="L106" s="547" t="s">
        <v>1624</v>
      </c>
      <c r="M106" s="546" t="s">
        <v>1625</v>
      </c>
      <c r="N106" s="547" t="s">
        <v>1626</v>
      </c>
      <c r="O106" s="546" t="s">
        <v>1627</v>
      </c>
      <c r="P106" s="547" t="s">
        <v>1628</v>
      </c>
      <c r="Q106" s="546" t="s">
        <v>1629</v>
      </c>
      <c r="R106" s="547" t="s">
        <v>1630</v>
      </c>
      <c r="S106" s="417" t="s">
        <v>1631</v>
      </c>
      <c r="T106" s="418" t="s">
        <v>1632</v>
      </c>
      <c r="U106" s="417" t="s">
        <v>1633</v>
      </c>
      <c r="V106" s="418" t="s">
        <v>1634</v>
      </c>
      <c r="W106" s="417" t="s">
        <v>1635</v>
      </c>
      <c r="X106" s="418" t="s">
        <v>1636</v>
      </c>
      <c r="Y106" s="417" t="s">
        <v>1637</v>
      </c>
      <c r="Z106" s="418" t="s">
        <v>1638</v>
      </c>
      <c r="AA106" s="417" t="s">
        <v>1639</v>
      </c>
      <c r="AB106" s="418" t="s">
        <v>1640</v>
      </c>
      <c r="AC106" s="417" t="s">
        <v>1641</v>
      </c>
      <c r="AD106" s="418" t="s">
        <v>1642</v>
      </c>
      <c r="AE106" s="417" t="s">
        <v>1643</v>
      </c>
      <c r="AF106" s="418" t="s">
        <v>1644</v>
      </c>
      <c r="AG106" s="417" t="s">
        <v>1645</v>
      </c>
      <c r="AH106" s="418" t="s">
        <v>1646</v>
      </c>
      <c r="AI106" s="417" t="s">
        <v>1647</v>
      </c>
      <c r="AJ106" s="418" t="s">
        <v>1648</v>
      </c>
      <c r="AK106" s="417" t="s">
        <v>1649</v>
      </c>
      <c r="AL106" s="418" t="s">
        <v>1650</v>
      </c>
      <c r="AM106" s="417" t="s">
        <v>1651</v>
      </c>
      <c r="AN106" s="418" t="s">
        <v>1652</v>
      </c>
      <c r="AO106" s="852" t="s">
        <v>1653</v>
      </c>
      <c r="AP106" s="853" t="s">
        <v>1654</v>
      </c>
      <c r="AQ106" s="417" t="s">
        <v>1655</v>
      </c>
      <c r="AR106" s="432" t="s">
        <v>1656</v>
      </c>
      <c r="AS106" s="468" t="s">
        <v>1657</v>
      </c>
      <c r="AT106" s="418" t="s">
        <v>1658</v>
      </c>
      <c r="AU106" s="547" t="s">
        <v>1659</v>
      </c>
      <c r="AV106" s="547" t="s">
        <v>1660</v>
      </c>
      <c r="AW106" s="418" t="s">
        <v>1661</v>
      </c>
      <c r="AX106" s="418" t="s">
        <v>1662</v>
      </c>
      <c r="AY106" s="418" t="s">
        <v>1663</v>
      </c>
      <c r="AZ106" s="1056" t="str">
        <f t="shared" si="97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Mujeres.* La variable Plan Cuidado Integral Elaborado debe ser menor o igual al Total de Personas en control.  * La variable Trans Masculino no debe ser mayor al Total Mujeres. * La variable Trans Femenino no debe ser mayor al Total Hombre.</v>
      </c>
      <c r="BD106" s="108"/>
      <c r="CB106" s="1086"/>
      <c r="CC106" s="1086"/>
      <c r="CD106" s="191" t="str">
        <f>IF(AND(E106&gt;0,OR(AQ106=""))," * No olvide digitar la variable Pueblos Originarios Hombres. Digite Cero si no tiene.",IF(AQ106&gt;E106," * La variable Pueblos Originarios Hombres no puede ser Mayor al Total Hombres.",""))</f>
        <v xml:space="preserve"> * La variable Pueblos Originarios Hombres no puede ser Mayor al Total Hombres.</v>
      </c>
      <c r="CE106" s="191" t="str">
        <f t="shared" si="122"/>
        <v xml:space="preserve"> * La variable Pueblos Originarios Mujeres no puede ser Mayor al Total Mujeres.</v>
      </c>
      <c r="CF106" s="191" t="str">
        <f t="shared" si="123"/>
        <v xml:space="preserve"> * La variable Migrantes Hombres no puede ser Mayor al Total Hombres.</v>
      </c>
      <c r="CG106" s="191" t="str">
        <f t="shared" si="124"/>
        <v xml:space="preserve"> * La variable Migrantes Mujeres no puede ser Mayor al Total Mujeres.</v>
      </c>
      <c r="CH106" s="1086"/>
      <c r="CI106" s="1086"/>
      <c r="CJ106" s="191" t="str">
        <f t="shared" si="125"/>
        <v xml:space="preserve">* La variable Plan Cuidado Integral Elaborado debe ser menor o igual al Total de Personas en control. </v>
      </c>
      <c r="CK106" s="191" t="str">
        <f t="shared" si="119"/>
        <v xml:space="preserve"> * La variable Trans Masculino no debe ser mayor al Total Mujeres.</v>
      </c>
      <c r="CL106" s="191" t="str">
        <f t="shared" si="126"/>
        <v xml:space="preserve"> * La variable Trans Femenino no debe ser mayor al Total Hombre.</v>
      </c>
      <c r="CO106" s="1086"/>
      <c r="CP106" s="1086"/>
      <c r="CQ106" s="1047">
        <f t="shared" si="141"/>
        <v>1</v>
      </c>
      <c r="CR106" s="1047">
        <f t="shared" si="142"/>
        <v>1</v>
      </c>
      <c r="CS106" s="1047">
        <f t="shared" si="143"/>
        <v>1</v>
      </c>
      <c r="CT106" s="1047">
        <f t="shared" si="144"/>
        <v>1</v>
      </c>
      <c r="CU106" s="1086"/>
      <c r="CV106" s="1086"/>
      <c r="CW106" s="1047">
        <f t="shared" si="147"/>
        <v>1</v>
      </c>
      <c r="CX106" s="1047">
        <f t="shared" si="115"/>
        <v>1</v>
      </c>
      <c r="CY106" s="1047">
        <f t="shared" si="130"/>
        <v>1</v>
      </c>
      <c r="CZ106" s="95"/>
      <c r="DN106" s="108"/>
      <c r="DO106" s="108"/>
      <c r="DP106" s="108"/>
    </row>
    <row r="107" spans="1:125" ht="15" customHeight="1" x14ac:dyDescent="0.25">
      <c r="A107" s="1585" t="s">
        <v>1403</v>
      </c>
      <c r="B107" s="1958"/>
      <c r="C107" s="1345" t="s">
        <v>283</v>
      </c>
      <c r="D107" s="1142" t="s">
        <v>1616</v>
      </c>
      <c r="E107" s="387" t="s">
        <v>1617</v>
      </c>
      <c r="F107" s="531" t="s">
        <v>1618</v>
      </c>
      <c r="G107" s="436" t="s">
        <v>1619</v>
      </c>
      <c r="H107" s="437" t="s">
        <v>1620</v>
      </c>
      <c r="I107" s="436" t="s">
        <v>1621</v>
      </c>
      <c r="J107" s="437" t="s">
        <v>1622</v>
      </c>
      <c r="K107" s="436" t="s">
        <v>1623</v>
      </c>
      <c r="L107" s="437" t="s">
        <v>1624</v>
      </c>
      <c r="M107" s="436" t="s">
        <v>1625</v>
      </c>
      <c r="N107" s="437" t="s">
        <v>1626</v>
      </c>
      <c r="O107" s="436" t="s">
        <v>1627</v>
      </c>
      <c r="P107" s="437" t="s">
        <v>1628</v>
      </c>
      <c r="Q107" s="436" t="s">
        <v>1629</v>
      </c>
      <c r="R107" s="437" t="s">
        <v>1630</v>
      </c>
      <c r="S107" s="398" t="s">
        <v>1631</v>
      </c>
      <c r="T107" s="399" t="s">
        <v>1632</v>
      </c>
      <c r="U107" s="398" t="s">
        <v>1633</v>
      </c>
      <c r="V107" s="399" t="s">
        <v>1634</v>
      </c>
      <c r="W107" s="398" t="s">
        <v>1635</v>
      </c>
      <c r="X107" s="399" t="s">
        <v>1636</v>
      </c>
      <c r="Y107" s="398" t="s">
        <v>1637</v>
      </c>
      <c r="Z107" s="399" t="s">
        <v>1638</v>
      </c>
      <c r="AA107" s="398" t="s">
        <v>1639</v>
      </c>
      <c r="AB107" s="399" t="s">
        <v>1640</v>
      </c>
      <c r="AC107" s="398" t="s">
        <v>1641</v>
      </c>
      <c r="AD107" s="399" t="s">
        <v>1642</v>
      </c>
      <c r="AE107" s="398" t="s">
        <v>1643</v>
      </c>
      <c r="AF107" s="399" t="s">
        <v>1644</v>
      </c>
      <c r="AG107" s="398" t="s">
        <v>1645</v>
      </c>
      <c r="AH107" s="399" t="s">
        <v>1646</v>
      </c>
      <c r="AI107" s="398" t="s">
        <v>1647</v>
      </c>
      <c r="AJ107" s="399" t="s">
        <v>1648</v>
      </c>
      <c r="AK107" s="398" t="s">
        <v>1649</v>
      </c>
      <c r="AL107" s="399" t="s">
        <v>1650</v>
      </c>
      <c r="AM107" s="398" t="s">
        <v>1651</v>
      </c>
      <c r="AN107" s="399" t="s">
        <v>1652</v>
      </c>
      <c r="AO107" s="846" t="s">
        <v>1653</v>
      </c>
      <c r="AP107" s="847" t="s">
        <v>1654</v>
      </c>
      <c r="AQ107" s="398" t="s">
        <v>1655</v>
      </c>
      <c r="AR107" s="533" t="s">
        <v>1656</v>
      </c>
      <c r="AS107" s="465" t="s">
        <v>1657</v>
      </c>
      <c r="AT107" s="399" t="s">
        <v>1658</v>
      </c>
      <c r="AU107" s="437" t="s">
        <v>1659</v>
      </c>
      <c r="AV107" s="437" t="s">
        <v>1660</v>
      </c>
      <c r="AW107" s="399" t="s">
        <v>1661</v>
      </c>
      <c r="AX107" s="399" t="s">
        <v>1662</v>
      </c>
      <c r="AY107" s="399" t="s">
        <v>1663</v>
      </c>
      <c r="AZ107" s="1056" t="str">
        <f t="shared" si="97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Mujeres.* La variable Plan Cuidado Integral Elaborado debe ser menor o igual al Total de Personas en control.  * La variable Trans Masculino no debe ser mayor al Total Mujeres. * La variable Trans Femenino no debe ser mayor al Total Hombre.</v>
      </c>
      <c r="BD107" s="108"/>
      <c r="CB107" s="1086"/>
      <c r="CC107" s="1086"/>
      <c r="CD107" s="191" t="str">
        <f t="shared" ref="CD107:CD120" si="148">IF(AND(E107&gt;0,OR(AQ107=""))," * No olvide digitar la variable Pueblos Originarios Hombres. Digite Cero si no tiene.",IF(AQ107&gt;E107," * La variable Pueblos Originarios Hombres no puede ser Mayor al Total Hombres.",""))</f>
        <v xml:space="preserve"> * La variable Pueblos Originarios Hombres no puede ser Mayor al Total Hombres.</v>
      </c>
      <c r="CE107" s="191" t="str">
        <f t="shared" si="122"/>
        <v xml:space="preserve"> * La variable Pueblos Originarios Mujeres no puede ser Mayor al Total Mujeres.</v>
      </c>
      <c r="CF107" s="191" t="str">
        <f t="shared" si="123"/>
        <v xml:space="preserve"> * La variable Migrantes Hombres no puede ser Mayor al Total Hombres.</v>
      </c>
      <c r="CG107" s="191" t="str">
        <f t="shared" si="124"/>
        <v xml:space="preserve"> * La variable Migrantes Mujeres no puede ser Mayor al Total Mujeres.</v>
      </c>
      <c r="CH107" s="1086"/>
      <c r="CI107" s="1086"/>
      <c r="CJ107" s="191" t="str">
        <f t="shared" si="125"/>
        <v xml:space="preserve">* La variable Plan Cuidado Integral Elaborado debe ser menor o igual al Total de Personas en control. </v>
      </c>
      <c r="CK107" s="191" t="str">
        <f t="shared" si="119"/>
        <v xml:space="preserve"> * La variable Trans Masculino no debe ser mayor al Total Mujeres.</v>
      </c>
      <c r="CL107" s="191" t="str">
        <f t="shared" si="126"/>
        <v xml:space="preserve"> * La variable Trans Femenino no debe ser mayor al Total Hombre.</v>
      </c>
      <c r="CO107" s="1086"/>
      <c r="CP107" s="1086"/>
      <c r="CQ107" s="1047">
        <f t="shared" si="141"/>
        <v>1</v>
      </c>
      <c r="CR107" s="1047">
        <f t="shared" si="142"/>
        <v>1</v>
      </c>
      <c r="CS107" s="1047">
        <f t="shared" si="143"/>
        <v>1</v>
      </c>
      <c r="CT107" s="1047">
        <f t="shared" si="144"/>
        <v>1</v>
      </c>
      <c r="CU107" s="1086"/>
      <c r="CV107" s="1086"/>
      <c r="CW107" s="1047">
        <f t="shared" si="147"/>
        <v>1</v>
      </c>
      <c r="CX107" s="1047">
        <f t="shared" si="115"/>
        <v>1</v>
      </c>
      <c r="CY107" s="1047">
        <f t="shared" si="130"/>
        <v>1</v>
      </c>
      <c r="CZ107" s="95"/>
      <c r="DN107" s="108"/>
      <c r="DO107" s="108"/>
      <c r="DP107" s="108"/>
    </row>
    <row r="108" spans="1:125" ht="15" customHeight="1" x14ac:dyDescent="0.25">
      <c r="A108" s="1585" t="s">
        <v>1404</v>
      </c>
      <c r="B108" s="1954"/>
      <c r="C108" s="1346" t="s">
        <v>664</v>
      </c>
      <c r="D108" s="1144" t="s">
        <v>1616</v>
      </c>
      <c r="E108" s="540" t="s">
        <v>1617</v>
      </c>
      <c r="F108" s="541" t="s">
        <v>1618</v>
      </c>
      <c r="G108" s="439" t="s">
        <v>1619</v>
      </c>
      <c r="H108" s="440" t="s">
        <v>1620</v>
      </c>
      <c r="I108" s="439" t="s">
        <v>1621</v>
      </c>
      <c r="J108" s="440" t="s">
        <v>1622</v>
      </c>
      <c r="K108" s="439" t="s">
        <v>1623</v>
      </c>
      <c r="L108" s="440" t="s">
        <v>1624</v>
      </c>
      <c r="M108" s="439" t="s">
        <v>1625</v>
      </c>
      <c r="N108" s="440" t="s">
        <v>1626</v>
      </c>
      <c r="O108" s="439" t="s">
        <v>1627</v>
      </c>
      <c r="P108" s="440" t="s">
        <v>1628</v>
      </c>
      <c r="Q108" s="439" t="s">
        <v>1629</v>
      </c>
      <c r="R108" s="440" t="s">
        <v>1630</v>
      </c>
      <c r="S108" s="403" t="s">
        <v>1631</v>
      </c>
      <c r="T108" s="404" t="s">
        <v>1632</v>
      </c>
      <c r="U108" s="403" t="s">
        <v>1633</v>
      </c>
      <c r="V108" s="404" t="s">
        <v>1634</v>
      </c>
      <c r="W108" s="403" t="s">
        <v>1635</v>
      </c>
      <c r="X108" s="404" t="s">
        <v>1636</v>
      </c>
      <c r="Y108" s="403" t="s">
        <v>1637</v>
      </c>
      <c r="Z108" s="404" t="s">
        <v>1638</v>
      </c>
      <c r="AA108" s="403" t="s">
        <v>1639</v>
      </c>
      <c r="AB108" s="404" t="s">
        <v>1640</v>
      </c>
      <c r="AC108" s="403" t="s">
        <v>1641</v>
      </c>
      <c r="AD108" s="404" t="s">
        <v>1642</v>
      </c>
      <c r="AE108" s="403" t="s">
        <v>1643</v>
      </c>
      <c r="AF108" s="404" t="s">
        <v>1644</v>
      </c>
      <c r="AG108" s="403" t="s">
        <v>1645</v>
      </c>
      <c r="AH108" s="404" t="s">
        <v>1646</v>
      </c>
      <c r="AI108" s="403" t="s">
        <v>1647</v>
      </c>
      <c r="AJ108" s="404" t="s">
        <v>1648</v>
      </c>
      <c r="AK108" s="403" t="s">
        <v>1649</v>
      </c>
      <c r="AL108" s="404" t="s">
        <v>1650</v>
      </c>
      <c r="AM108" s="403" t="s">
        <v>1651</v>
      </c>
      <c r="AN108" s="404" t="s">
        <v>1652</v>
      </c>
      <c r="AO108" s="854" t="s">
        <v>1653</v>
      </c>
      <c r="AP108" s="855" t="s">
        <v>1654</v>
      </c>
      <c r="AQ108" s="403" t="s">
        <v>1655</v>
      </c>
      <c r="AR108" s="442" t="s">
        <v>1656</v>
      </c>
      <c r="AS108" s="464" t="s">
        <v>1657</v>
      </c>
      <c r="AT108" s="404" t="s">
        <v>1658</v>
      </c>
      <c r="AU108" s="440" t="s">
        <v>1659</v>
      </c>
      <c r="AV108" s="440" t="s">
        <v>1660</v>
      </c>
      <c r="AW108" s="404" t="s">
        <v>1661</v>
      </c>
      <c r="AX108" s="404" t="s">
        <v>1662</v>
      </c>
      <c r="AY108" s="404" t="s">
        <v>1663</v>
      </c>
      <c r="AZ108" s="1056" t="str">
        <f t="shared" si="97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Mujeres.* La variable Plan Cuidado Integral Elaborado debe ser menor o igual al Total de Personas en control.  * La variable Trans Masculino no debe ser mayor al Total Mujeres. * La variable Trans Femenino no debe ser mayor al Total Hombre.</v>
      </c>
      <c r="BD108" s="108"/>
      <c r="CB108" s="1086"/>
      <c r="CC108" s="1086"/>
      <c r="CD108" s="191" t="str">
        <f t="shared" si="148"/>
        <v xml:space="preserve"> * La variable Pueblos Originarios Hombres no puede ser Mayor al Total Hombres.</v>
      </c>
      <c r="CE108" s="191" t="str">
        <f t="shared" si="122"/>
        <v xml:space="preserve"> * La variable Pueblos Originarios Mujeres no puede ser Mayor al Total Mujeres.</v>
      </c>
      <c r="CF108" s="191" t="str">
        <f t="shared" si="123"/>
        <v xml:space="preserve"> * La variable Migrantes Hombres no puede ser Mayor al Total Hombres.</v>
      </c>
      <c r="CG108" s="191" t="str">
        <f t="shared" si="124"/>
        <v xml:space="preserve"> * La variable Migrantes Mujeres no puede ser Mayor al Total Mujeres.</v>
      </c>
      <c r="CH108" s="1086"/>
      <c r="CI108" s="1086"/>
      <c r="CJ108" s="191" t="str">
        <f t="shared" si="125"/>
        <v xml:space="preserve">* La variable Plan Cuidado Integral Elaborado debe ser menor o igual al Total de Personas en control. </v>
      </c>
      <c r="CK108" s="191" t="str">
        <f t="shared" si="119"/>
        <v xml:space="preserve"> * La variable Trans Masculino no debe ser mayor al Total Mujeres.</v>
      </c>
      <c r="CL108" s="191" t="str">
        <f t="shared" si="126"/>
        <v xml:space="preserve"> * La variable Trans Femenino no debe ser mayor al Total Hombre.</v>
      </c>
      <c r="CO108" s="1086"/>
      <c r="CP108" s="1086"/>
      <c r="CQ108" s="1047">
        <f t="shared" si="141"/>
        <v>1</v>
      </c>
      <c r="CR108" s="1047">
        <f t="shared" si="142"/>
        <v>1</v>
      </c>
      <c r="CS108" s="1047">
        <f t="shared" si="143"/>
        <v>1</v>
      </c>
      <c r="CT108" s="1047">
        <f t="shared" si="144"/>
        <v>1</v>
      </c>
      <c r="CU108" s="1086"/>
      <c r="CV108" s="1086"/>
      <c r="CW108" s="1047">
        <f t="shared" si="147"/>
        <v>1</v>
      </c>
      <c r="CX108" s="1047">
        <f t="shared" si="115"/>
        <v>1</v>
      </c>
      <c r="CY108" s="1047">
        <f t="shared" si="130"/>
        <v>1</v>
      </c>
      <c r="CZ108" s="95"/>
      <c r="DN108" s="108"/>
      <c r="DO108" s="108"/>
      <c r="DP108" s="108"/>
    </row>
    <row r="109" spans="1:125" ht="15" customHeight="1" x14ac:dyDescent="0.25">
      <c r="A109" s="1585" t="s">
        <v>1405</v>
      </c>
      <c r="B109" s="2179" t="s">
        <v>665</v>
      </c>
      <c r="C109" s="2180"/>
      <c r="D109" s="1147" t="s">
        <v>1616</v>
      </c>
      <c r="E109" s="397" t="s">
        <v>1617</v>
      </c>
      <c r="F109" s="397" t="s">
        <v>1618</v>
      </c>
      <c r="G109" s="417" t="s">
        <v>1619</v>
      </c>
      <c r="H109" s="418" t="s">
        <v>1620</v>
      </c>
      <c r="I109" s="417" t="s">
        <v>1621</v>
      </c>
      <c r="J109" s="418" t="s">
        <v>1622</v>
      </c>
      <c r="K109" s="417" t="s">
        <v>1623</v>
      </c>
      <c r="L109" s="418" t="s">
        <v>1624</v>
      </c>
      <c r="M109" s="417" t="s">
        <v>1625</v>
      </c>
      <c r="N109" s="418" t="s">
        <v>1626</v>
      </c>
      <c r="O109" s="417" t="s">
        <v>1627</v>
      </c>
      <c r="P109" s="418" t="s">
        <v>1628</v>
      </c>
      <c r="Q109" s="417" t="s">
        <v>1629</v>
      </c>
      <c r="R109" s="418" t="s">
        <v>1630</v>
      </c>
      <c r="S109" s="417" t="s">
        <v>1631</v>
      </c>
      <c r="T109" s="418" t="s">
        <v>1632</v>
      </c>
      <c r="U109" s="417" t="s">
        <v>1633</v>
      </c>
      <c r="V109" s="418" t="s">
        <v>1634</v>
      </c>
      <c r="W109" s="417" t="s">
        <v>1635</v>
      </c>
      <c r="X109" s="418" t="s">
        <v>1636</v>
      </c>
      <c r="Y109" s="417" t="s">
        <v>1637</v>
      </c>
      <c r="Z109" s="418" t="s">
        <v>1638</v>
      </c>
      <c r="AA109" s="417" t="s">
        <v>1639</v>
      </c>
      <c r="AB109" s="418" t="s">
        <v>1640</v>
      </c>
      <c r="AC109" s="417" t="s">
        <v>1641</v>
      </c>
      <c r="AD109" s="418" t="s">
        <v>1642</v>
      </c>
      <c r="AE109" s="417" t="s">
        <v>1643</v>
      </c>
      <c r="AF109" s="418" t="s">
        <v>1644</v>
      </c>
      <c r="AG109" s="417" t="s">
        <v>1645</v>
      </c>
      <c r="AH109" s="418" t="s">
        <v>1646</v>
      </c>
      <c r="AI109" s="417" t="s">
        <v>1647</v>
      </c>
      <c r="AJ109" s="418" t="s">
        <v>1648</v>
      </c>
      <c r="AK109" s="417" t="s">
        <v>1649</v>
      </c>
      <c r="AL109" s="418" t="s">
        <v>1650</v>
      </c>
      <c r="AM109" s="417" t="s">
        <v>1651</v>
      </c>
      <c r="AN109" s="418" t="s">
        <v>1652</v>
      </c>
      <c r="AO109" s="456" t="s">
        <v>1653</v>
      </c>
      <c r="AP109" s="655" t="s">
        <v>1654</v>
      </c>
      <c r="AQ109" s="417" t="s">
        <v>1655</v>
      </c>
      <c r="AR109" s="432" t="s">
        <v>1656</v>
      </c>
      <c r="AS109" s="468" t="s">
        <v>1657</v>
      </c>
      <c r="AT109" s="418" t="s">
        <v>1658</v>
      </c>
      <c r="AU109" s="418" t="s">
        <v>1659</v>
      </c>
      <c r="AV109" s="418" t="s">
        <v>1660</v>
      </c>
      <c r="AW109" s="418" t="s">
        <v>1661</v>
      </c>
      <c r="AX109" s="418" t="s">
        <v>1662</v>
      </c>
      <c r="AY109" s="418" t="s">
        <v>1663</v>
      </c>
      <c r="AZ109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09" s="108"/>
      <c r="CB109" s="191" t="str">
        <f t="shared" ref="CB109:CB120" si="149">IF(AND(F109&gt;0,OR(AO109=""))," * No olvide digitar la variable Gestantes. Digite Cero si no tiene.",IF(AO109&gt;F109," * La variable Gestantes no puede ser Mayor al Total Mujeres.",""))</f>
        <v xml:space="preserve"> * La variable Gestantes no puede ser Mayor al Total Mujeres.</v>
      </c>
      <c r="CC109" s="191" t="str">
        <f t="shared" ref="CC109:CC120" si="150">IF(AND(F109&gt;0,OR(AP109=""))," * No olvide digitar la variable Madre de hijo menor de 5 años. Digite Cero si no tiene.",IF(AP109&gt;F109," * La variable Madre de hijo menor de 5 años no puede ser Mayor al Total Mujeres.",""))</f>
        <v xml:space="preserve"> * La variable Madre de hijo menor de 5 años no puede ser Mayor al Total Mujeres.</v>
      </c>
      <c r="CD109" s="191" t="str">
        <f t="shared" si="148"/>
        <v xml:space="preserve"> * La variable Pueblos Originarios Hombres no puede ser Mayor al Total Hombres.</v>
      </c>
      <c r="CE109" s="191" t="str">
        <f t="shared" si="122"/>
        <v xml:space="preserve"> * La variable Pueblos Originarios Mujeres no puede ser Mayor al Total Mujeres.</v>
      </c>
      <c r="CF109" s="191" t="str">
        <f t="shared" si="123"/>
        <v xml:space="preserve"> * La variable Migrantes Hombres no puede ser Mayor al Total Hombres.</v>
      </c>
      <c r="CG109" s="191" t="str">
        <f t="shared" si="124"/>
        <v xml:space="preserve"> * La variable Migrantes Mujeres no puede ser Mayor al Total Mujeres.</v>
      </c>
      <c r="CH109" s="191" t="str">
        <f t="shared" ref="CH109" si="151">IF(AND($D109&gt;0,OR(AU109=""))," * No olvide digitar la variable Niños, Niñas, Adolescentes y Jóvenes SENAME. Digite Cero si no tiene.",IF(AU109&gt;$D109," * La variable Niños, Niñas, Adolescentes y Jóvenes SENAME no puede ser Mayor al Total ambos sexos.",""))</f>
        <v xml:space="preserve"> * La variable Niños, Niñas, Adolescentes y Jóvenes SENAME no puede ser Mayor al Total ambos sexos.</v>
      </c>
      <c r="CI109" s="191" t="str">
        <f t="shared" ref="CI109" si="152">IF(AND($D109&gt;0,OR(AV109=""))," * No olvide digitar la variable Niños y niñas Mejor Niñez. Digite Cero si no tiene.",IF(AV109&gt;$D109," * La variable Niños y niñas Mejor Niñez no puede ser Mayor al Total ambos sexos.",""))</f>
        <v xml:space="preserve"> * La variable Niños y niñas Mejor Niñez no puede ser Mayor al Total ambos sexos.</v>
      </c>
      <c r="CJ109" s="191" t="str">
        <f t="shared" si="125"/>
        <v xml:space="preserve">* La variable Plan Cuidado Integral Elaborado debe ser menor o igual al Total de Personas en control. </v>
      </c>
      <c r="CK109" s="191" t="str">
        <f t="shared" si="119"/>
        <v xml:space="preserve"> * La variable Trans Masculino no debe ser mayor al Total Mujeres.</v>
      </c>
      <c r="CL109" s="191" t="str">
        <f t="shared" si="126"/>
        <v xml:space="preserve"> * La variable Trans Femenino no debe ser mayor al Total Hombre.</v>
      </c>
      <c r="CO109" s="1047">
        <f t="shared" ref="CO109:CO120" si="153">IF(AND($F109&gt;0,OR(AO109="")),1,IF(AO109&gt;$F109,1,0))</f>
        <v>1</v>
      </c>
      <c r="CP109" s="1047">
        <f t="shared" ref="CP109:CP120" si="154">IF(AND($F109&gt;0,OR(AP109="")),1,IF(AP109&gt;$F109,1,0))</f>
        <v>1</v>
      </c>
      <c r="CQ109" s="1047">
        <f t="shared" si="141"/>
        <v>1</v>
      </c>
      <c r="CR109" s="1047">
        <f t="shared" si="142"/>
        <v>1</v>
      </c>
      <c r="CS109" s="1047">
        <f t="shared" si="143"/>
        <v>1</v>
      </c>
      <c r="CT109" s="1047">
        <f t="shared" si="144"/>
        <v>1</v>
      </c>
      <c r="CU109" s="1047">
        <f t="shared" ref="CU109:CU120" si="155">IF(AND($D109&gt;0,OR(AU109="")),1,IF(AU109&gt;$D109,1,0))</f>
        <v>1</v>
      </c>
      <c r="CV109" s="1047">
        <f t="shared" ref="CV109:CV120" si="156">IF(AND($D109&gt;0,OR(AV109="")),1,IF(AV109&gt;$D109,1,0))</f>
        <v>1</v>
      </c>
      <c r="CW109" s="1047">
        <f t="shared" si="147"/>
        <v>1</v>
      </c>
      <c r="CX109" s="1047">
        <f t="shared" si="115"/>
        <v>1</v>
      </c>
      <c r="CY109" s="1047">
        <f t="shared" si="130"/>
        <v>1</v>
      </c>
      <c r="CZ109" s="95"/>
      <c r="DN109" s="108"/>
      <c r="DO109" s="108"/>
      <c r="DP109" s="108"/>
    </row>
    <row r="110" spans="1:125" ht="15" customHeight="1" x14ac:dyDescent="0.25">
      <c r="A110" s="1585" t="s">
        <v>1406</v>
      </c>
      <c r="B110" s="2121" t="s">
        <v>666</v>
      </c>
      <c r="C110" s="2122"/>
      <c r="D110" s="1142" t="s">
        <v>1616</v>
      </c>
      <c r="E110" s="387" t="s">
        <v>1617</v>
      </c>
      <c r="F110" s="531" t="s">
        <v>1618</v>
      </c>
      <c r="G110" s="417" t="s">
        <v>1619</v>
      </c>
      <c r="H110" s="418" t="s">
        <v>1620</v>
      </c>
      <c r="I110" s="417" t="s">
        <v>1621</v>
      </c>
      <c r="J110" s="418" t="s">
        <v>1622</v>
      </c>
      <c r="K110" s="417" t="s">
        <v>1623</v>
      </c>
      <c r="L110" s="418" t="s">
        <v>1624</v>
      </c>
      <c r="M110" s="417" t="s">
        <v>1625</v>
      </c>
      <c r="N110" s="418" t="s">
        <v>1626</v>
      </c>
      <c r="O110" s="417" t="s">
        <v>1627</v>
      </c>
      <c r="P110" s="418" t="s">
        <v>1628</v>
      </c>
      <c r="Q110" s="417" t="s">
        <v>1629</v>
      </c>
      <c r="R110" s="418" t="s">
        <v>1630</v>
      </c>
      <c r="S110" s="417" t="s">
        <v>1631</v>
      </c>
      <c r="T110" s="418" t="s">
        <v>1632</v>
      </c>
      <c r="U110" s="417" t="s">
        <v>1633</v>
      </c>
      <c r="V110" s="418" t="s">
        <v>1634</v>
      </c>
      <c r="W110" s="417" t="s">
        <v>1635</v>
      </c>
      <c r="X110" s="418" t="s">
        <v>1636</v>
      </c>
      <c r="Y110" s="417" t="s">
        <v>1637</v>
      </c>
      <c r="Z110" s="418" t="s">
        <v>1638</v>
      </c>
      <c r="AA110" s="417" t="s">
        <v>1639</v>
      </c>
      <c r="AB110" s="418" t="s">
        <v>1640</v>
      </c>
      <c r="AC110" s="417" t="s">
        <v>1641</v>
      </c>
      <c r="AD110" s="418" t="s">
        <v>1642</v>
      </c>
      <c r="AE110" s="417" t="s">
        <v>1643</v>
      </c>
      <c r="AF110" s="418" t="s">
        <v>1644</v>
      </c>
      <c r="AG110" s="417" t="s">
        <v>1645</v>
      </c>
      <c r="AH110" s="418" t="s">
        <v>1646</v>
      </c>
      <c r="AI110" s="417" t="s">
        <v>1647</v>
      </c>
      <c r="AJ110" s="418" t="s">
        <v>1648</v>
      </c>
      <c r="AK110" s="417" t="s">
        <v>1649</v>
      </c>
      <c r="AL110" s="418" t="s">
        <v>1650</v>
      </c>
      <c r="AM110" s="417" t="s">
        <v>1651</v>
      </c>
      <c r="AN110" s="418" t="s">
        <v>1652</v>
      </c>
      <c r="AO110" s="456" t="s">
        <v>1653</v>
      </c>
      <c r="AP110" s="655" t="s">
        <v>1654</v>
      </c>
      <c r="AQ110" s="417" t="s">
        <v>1655</v>
      </c>
      <c r="AR110" s="432" t="s">
        <v>1656</v>
      </c>
      <c r="AS110" s="468" t="s">
        <v>1657</v>
      </c>
      <c r="AT110" s="418" t="s">
        <v>1658</v>
      </c>
      <c r="AU110" s="418" t="s">
        <v>1659</v>
      </c>
      <c r="AV110" s="418" t="s">
        <v>1660</v>
      </c>
      <c r="AW110" s="418" t="s">
        <v>1661</v>
      </c>
      <c r="AX110" s="418" t="s">
        <v>1662</v>
      </c>
      <c r="AY110" s="418" t="s">
        <v>1663</v>
      </c>
      <c r="AZ110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0" s="108"/>
      <c r="CB110" s="191" t="str">
        <f t="shared" si="149"/>
        <v xml:space="preserve"> * La variable Gestantes no puede ser Mayor al Total Mujeres.</v>
      </c>
      <c r="CC110" s="191" t="str">
        <f t="shared" si="150"/>
        <v xml:space="preserve"> * La variable Madre de hijo menor de 5 años no puede ser Mayor al Total Mujeres.</v>
      </c>
      <c r="CD110" s="191" t="str">
        <f t="shared" si="148"/>
        <v xml:space="preserve"> * La variable Pueblos Originarios Hombres no puede ser Mayor al Total Hombres.</v>
      </c>
      <c r="CE110" s="191" t="str">
        <f t="shared" si="122"/>
        <v xml:space="preserve"> * La variable Pueblos Originarios Mujeres no puede ser Mayor al Total Mujeres.</v>
      </c>
      <c r="CF110" s="191" t="str">
        <f t="shared" si="123"/>
        <v xml:space="preserve"> * La variable Migrantes Hombres no puede ser Mayor al Total Hombres.</v>
      </c>
      <c r="CG110" s="191" t="str">
        <f t="shared" si="124"/>
        <v xml:space="preserve"> * La variable Migrantes Mujeres no puede ser Mayor al Total Mujeres.</v>
      </c>
      <c r="CH110" s="191" t="str">
        <f t="shared" ref="CH110:CH120" si="157">IF(AND($D110&gt;0,OR(AU110=""))," * No olvide digitar la variable Niños, Niñas, Adolescentes y Jóvenes SENAME. Digite Cero si no tiene.",IF(AU110&gt;$D110," * La variable Niños, Niñas, Adolescentes y Jóvenes SENAME no puede ser Mayor al Total ambos sexos.",""))</f>
        <v xml:space="preserve"> * La variable Niños, Niñas, Adolescentes y Jóvenes SENAME no puede ser Mayor al Total ambos sexos.</v>
      </c>
      <c r="CI110" s="191" t="str">
        <f t="shared" ref="CI110:CI120" si="158">IF(AND($D110&gt;0,OR(AV110=""))," * No olvide digitar la variable Niños y niñas Mejor Niñez. Digite Cero si no tiene.",IF(AV110&gt;$D110," * La variable Niños y niñas Mejor Niñez no puede ser Mayor al Total ambos sexos.",""))</f>
        <v xml:space="preserve"> * La variable Niños y niñas Mejor Niñez no puede ser Mayor al Total ambos sexos.</v>
      </c>
      <c r="CJ110" s="191" t="str">
        <f t="shared" si="125"/>
        <v xml:space="preserve">* La variable Plan Cuidado Integral Elaborado debe ser menor o igual al Total de Personas en control. </v>
      </c>
      <c r="CK110" s="191" t="str">
        <f t="shared" si="119"/>
        <v xml:space="preserve"> * La variable Trans Masculino no debe ser mayor al Total Mujeres.</v>
      </c>
      <c r="CL110" s="191" t="str">
        <f t="shared" si="126"/>
        <v xml:space="preserve"> * La variable Trans Femenino no debe ser mayor al Total Hombre.</v>
      </c>
      <c r="CO110" s="1047">
        <f t="shared" si="153"/>
        <v>1</v>
      </c>
      <c r="CP110" s="1047">
        <f t="shared" si="154"/>
        <v>1</v>
      </c>
      <c r="CQ110" s="1047">
        <f t="shared" si="141"/>
        <v>1</v>
      </c>
      <c r="CR110" s="1047">
        <f t="shared" si="142"/>
        <v>1</v>
      </c>
      <c r="CS110" s="1047">
        <f t="shared" si="143"/>
        <v>1</v>
      </c>
      <c r="CT110" s="1047">
        <f t="shared" si="144"/>
        <v>1</v>
      </c>
      <c r="CU110" s="1047">
        <f t="shared" si="155"/>
        <v>1</v>
      </c>
      <c r="CV110" s="1047">
        <f t="shared" si="156"/>
        <v>1</v>
      </c>
      <c r="CW110" s="1047">
        <f t="shared" si="147"/>
        <v>1</v>
      </c>
      <c r="CX110" s="1047">
        <f t="shared" si="115"/>
        <v>1</v>
      </c>
      <c r="CY110" s="1047">
        <f t="shared" si="130"/>
        <v>1</v>
      </c>
      <c r="CZ110" s="95"/>
      <c r="DN110" s="108"/>
      <c r="DO110" s="108"/>
      <c r="DP110" s="108"/>
    </row>
    <row r="111" spans="1:125" ht="15" customHeight="1" x14ac:dyDescent="0.25">
      <c r="A111" s="1585" t="s">
        <v>1407</v>
      </c>
      <c r="B111" s="2174" t="s">
        <v>667</v>
      </c>
      <c r="C111" s="2175"/>
      <c r="D111" s="1147" t="s">
        <v>1616</v>
      </c>
      <c r="E111" s="397" t="s">
        <v>1617</v>
      </c>
      <c r="F111" s="535" t="s">
        <v>1618</v>
      </c>
      <c r="G111" s="398" t="s">
        <v>1619</v>
      </c>
      <c r="H111" s="399" t="s">
        <v>1620</v>
      </c>
      <c r="I111" s="398" t="s">
        <v>1621</v>
      </c>
      <c r="J111" s="399" t="s">
        <v>1622</v>
      </c>
      <c r="K111" s="398" t="s">
        <v>1623</v>
      </c>
      <c r="L111" s="399" t="s">
        <v>1624</v>
      </c>
      <c r="M111" s="398" t="s">
        <v>1625</v>
      </c>
      <c r="N111" s="399" t="s">
        <v>1626</v>
      </c>
      <c r="O111" s="398" t="s">
        <v>1627</v>
      </c>
      <c r="P111" s="399" t="s">
        <v>1628</v>
      </c>
      <c r="Q111" s="398" t="s">
        <v>1629</v>
      </c>
      <c r="R111" s="399" t="s">
        <v>1630</v>
      </c>
      <c r="S111" s="398" t="s">
        <v>1631</v>
      </c>
      <c r="T111" s="399" t="s">
        <v>1632</v>
      </c>
      <c r="U111" s="398" t="s">
        <v>1633</v>
      </c>
      <c r="V111" s="399" t="s">
        <v>1634</v>
      </c>
      <c r="W111" s="398" t="s">
        <v>1635</v>
      </c>
      <c r="X111" s="399" t="s">
        <v>1636</v>
      </c>
      <c r="Y111" s="398" t="s">
        <v>1637</v>
      </c>
      <c r="Z111" s="399" t="s">
        <v>1638</v>
      </c>
      <c r="AA111" s="398" t="s">
        <v>1639</v>
      </c>
      <c r="AB111" s="399" t="s">
        <v>1640</v>
      </c>
      <c r="AC111" s="398" t="s">
        <v>1641</v>
      </c>
      <c r="AD111" s="399" t="s">
        <v>1642</v>
      </c>
      <c r="AE111" s="398" t="s">
        <v>1643</v>
      </c>
      <c r="AF111" s="399" t="s">
        <v>1644</v>
      </c>
      <c r="AG111" s="398" t="s">
        <v>1645</v>
      </c>
      <c r="AH111" s="399" t="s">
        <v>1646</v>
      </c>
      <c r="AI111" s="398" t="s">
        <v>1647</v>
      </c>
      <c r="AJ111" s="399" t="s">
        <v>1648</v>
      </c>
      <c r="AK111" s="398" t="s">
        <v>1649</v>
      </c>
      <c r="AL111" s="399" t="s">
        <v>1650</v>
      </c>
      <c r="AM111" s="398" t="s">
        <v>1651</v>
      </c>
      <c r="AN111" s="399" t="s">
        <v>1652</v>
      </c>
      <c r="AO111" s="457" t="s">
        <v>1653</v>
      </c>
      <c r="AP111" s="650" t="s">
        <v>1654</v>
      </c>
      <c r="AQ111" s="398" t="s">
        <v>1655</v>
      </c>
      <c r="AR111" s="533" t="s">
        <v>1656</v>
      </c>
      <c r="AS111" s="465" t="s">
        <v>1657</v>
      </c>
      <c r="AT111" s="399" t="s">
        <v>1658</v>
      </c>
      <c r="AU111" s="399" t="s">
        <v>1659</v>
      </c>
      <c r="AV111" s="399" t="s">
        <v>1660</v>
      </c>
      <c r="AW111" s="399" t="s">
        <v>1661</v>
      </c>
      <c r="AX111" s="399" t="s">
        <v>1662</v>
      </c>
      <c r="AY111" s="399" t="s">
        <v>1663</v>
      </c>
      <c r="AZ111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1" s="108"/>
      <c r="CB111" s="191" t="str">
        <f t="shared" si="149"/>
        <v xml:space="preserve"> * La variable Gestantes no puede ser Mayor al Total Mujeres.</v>
      </c>
      <c r="CC111" s="191" t="str">
        <f t="shared" si="150"/>
        <v xml:space="preserve"> * La variable Madre de hijo menor de 5 años no puede ser Mayor al Total Mujeres.</v>
      </c>
      <c r="CD111" s="191" t="str">
        <f t="shared" si="148"/>
        <v xml:space="preserve"> * La variable Pueblos Originarios Hombres no puede ser Mayor al Total Hombres.</v>
      </c>
      <c r="CE111" s="191" t="str">
        <f t="shared" si="122"/>
        <v xml:space="preserve"> * La variable Pueblos Originarios Mujeres no puede ser Mayor al Total Mujeres.</v>
      </c>
      <c r="CF111" s="191" t="str">
        <f t="shared" si="123"/>
        <v xml:space="preserve"> * La variable Migrantes Hombres no puede ser Mayor al Total Hombres.</v>
      </c>
      <c r="CG111" s="191" t="str">
        <f t="shared" si="124"/>
        <v xml:space="preserve"> * La variable Migrantes Mujeres no puede ser Mayor al Total Mujeres.</v>
      </c>
      <c r="CH111" s="191" t="str">
        <f t="shared" si="157"/>
        <v xml:space="preserve"> * La variable Niños, Niñas, Adolescentes y Jóvenes SENAME no puede ser Mayor al Total ambos sexos.</v>
      </c>
      <c r="CI111" s="191" t="str">
        <f t="shared" si="158"/>
        <v xml:space="preserve"> * La variable Niños y niñas Mejor Niñez no puede ser Mayor al Total ambos sexos.</v>
      </c>
      <c r="CJ111" s="191" t="str">
        <f t="shared" si="125"/>
        <v xml:space="preserve">* La variable Plan Cuidado Integral Elaborado debe ser menor o igual al Total de Personas en control. </v>
      </c>
      <c r="CK111" s="191" t="str">
        <f t="shared" si="119"/>
        <v xml:space="preserve"> * La variable Trans Masculino no debe ser mayor al Total Mujeres.</v>
      </c>
      <c r="CL111" s="191" t="str">
        <f t="shared" si="126"/>
        <v xml:space="preserve"> * La variable Trans Femenino no debe ser mayor al Total Hombre.</v>
      </c>
      <c r="CO111" s="1047">
        <f t="shared" si="153"/>
        <v>1</v>
      </c>
      <c r="CP111" s="1047">
        <f t="shared" si="154"/>
        <v>1</v>
      </c>
      <c r="CQ111" s="1047">
        <f t="shared" si="141"/>
        <v>1</v>
      </c>
      <c r="CR111" s="1047">
        <f t="shared" si="142"/>
        <v>1</v>
      </c>
      <c r="CS111" s="1047">
        <f t="shared" si="143"/>
        <v>1</v>
      </c>
      <c r="CT111" s="1047">
        <f t="shared" si="144"/>
        <v>1</v>
      </c>
      <c r="CU111" s="1047">
        <f t="shared" si="155"/>
        <v>1</v>
      </c>
      <c r="CV111" s="1047">
        <f t="shared" si="156"/>
        <v>1</v>
      </c>
      <c r="CW111" s="1047">
        <f t="shared" si="147"/>
        <v>1</v>
      </c>
      <c r="CX111" s="1047">
        <f t="shared" si="115"/>
        <v>1</v>
      </c>
      <c r="CY111" s="1047">
        <f t="shared" si="130"/>
        <v>1</v>
      </c>
      <c r="CZ111" s="95"/>
      <c r="DN111" s="108"/>
      <c r="DO111" s="108"/>
      <c r="DP111" s="108"/>
    </row>
    <row r="112" spans="1:125" ht="15" customHeight="1" x14ac:dyDescent="0.25">
      <c r="A112" s="1585" t="s">
        <v>1408</v>
      </c>
      <c r="B112" s="2174" t="s">
        <v>668</v>
      </c>
      <c r="C112" s="2175"/>
      <c r="D112" s="1147" t="s">
        <v>1616</v>
      </c>
      <c r="E112" s="397" t="s">
        <v>1617</v>
      </c>
      <c r="F112" s="535" t="s">
        <v>1618</v>
      </c>
      <c r="G112" s="398" t="s">
        <v>1619</v>
      </c>
      <c r="H112" s="399" t="s">
        <v>1620</v>
      </c>
      <c r="I112" s="398" t="s">
        <v>1621</v>
      </c>
      <c r="J112" s="399" t="s">
        <v>1622</v>
      </c>
      <c r="K112" s="398" t="s">
        <v>1623</v>
      </c>
      <c r="L112" s="399" t="s">
        <v>1624</v>
      </c>
      <c r="M112" s="398" t="s">
        <v>1625</v>
      </c>
      <c r="N112" s="399" t="s">
        <v>1626</v>
      </c>
      <c r="O112" s="398" t="s">
        <v>1627</v>
      </c>
      <c r="P112" s="399" t="s">
        <v>1628</v>
      </c>
      <c r="Q112" s="398" t="s">
        <v>1629</v>
      </c>
      <c r="R112" s="399" t="s">
        <v>1630</v>
      </c>
      <c r="S112" s="398" t="s">
        <v>1631</v>
      </c>
      <c r="T112" s="399" t="s">
        <v>1632</v>
      </c>
      <c r="U112" s="398" t="s">
        <v>1633</v>
      </c>
      <c r="V112" s="399" t="s">
        <v>1634</v>
      </c>
      <c r="W112" s="398" t="s">
        <v>1635</v>
      </c>
      <c r="X112" s="399" t="s">
        <v>1636</v>
      </c>
      <c r="Y112" s="398" t="s">
        <v>1637</v>
      </c>
      <c r="Z112" s="399" t="s">
        <v>1638</v>
      </c>
      <c r="AA112" s="398" t="s">
        <v>1639</v>
      </c>
      <c r="AB112" s="399" t="s">
        <v>1640</v>
      </c>
      <c r="AC112" s="398" t="s">
        <v>1641</v>
      </c>
      <c r="AD112" s="399" t="s">
        <v>1642</v>
      </c>
      <c r="AE112" s="398" t="s">
        <v>1643</v>
      </c>
      <c r="AF112" s="399" t="s">
        <v>1644</v>
      </c>
      <c r="AG112" s="398" t="s">
        <v>1645</v>
      </c>
      <c r="AH112" s="399" t="s">
        <v>1646</v>
      </c>
      <c r="AI112" s="398" t="s">
        <v>1647</v>
      </c>
      <c r="AJ112" s="399" t="s">
        <v>1648</v>
      </c>
      <c r="AK112" s="398" t="s">
        <v>1649</v>
      </c>
      <c r="AL112" s="399" t="s">
        <v>1650</v>
      </c>
      <c r="AM112" s="398" t="s">
        <v>1651</v>
      </c>
      <c r="AN112" s="399" t="s">
        <v>1652</v>
      </c>
      <c r="AO112" s="457" t="s">
        <v>1653</v>
      </c>
      <c r="AP112" s="650" t="s">
        <v>1654</v>
      </c>
      <c r="AQ112" s="398" t="s">
        <v>1655</v>
      </c>
      <c r="AR112" s="533" t="s">
        <v>1656</v>
      </c>
      <c r="AS112" s="465" t="s">
        <v>1657</v>
      </c>
      <c r="AT112" s="399" t="s">
        <v>1658</v>
      </c>
      <c r="AU112" s="399" t="s">
        <v>1659</v>
      </c>
      <c r="AV112" s="399" t="s">
        <v>1660</v>
      </c>
      <c r="AW112" s="399" t="s">
        <v>1661</v>
      </c>
      <c r="AX112" s="399" t="s">
        <v>1662</v>
      </c>
      <c r="AY112" s="399" t="s">
        <v>1663</v>
      </c>
      <c r="AZ112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2" s="108"/>
      <c r="CB112" s="191" t="str">
        <f t="shared" si="149"/>
        <v xml:space="preserve"> * La variable Gestantes no puede ser Mayor al Total Mujeres.</v>
      </c>
      <c r="CC112" s="191" t="str">
        <f t="shared" si="150"/>
        <v xml:space="preserve"> * La variable Madre de hijo menor de 5 años no puede ser Mayor al Total Mujeres.</v>
      </c>
      <c r="CD112" s="191" t="str">
        <f t="shared" si="148"/>
        <v xml:space="preserve"> * La variable Pueblos Originarios Hombres no puede ser Mayor al Total Hombres.</v>
      </c>
      <c r="CE112" s="191" t="str">
        <f t="shared" si="122"/>
        <v xml:space="preserve"> * La variable Pueblos Originarios Mujeres no puede ser Mayor al Total Mujeres.</v>
      </c>
      <c r="CF112" s="191" t="str">
        <f t="shared" si="123"/>
        <v xml:space="preserve"> * La variable Migrantes Hombres no puede ser Mayor al Total Hombres.</v>
      </c>
      <c r="CG112" s="191" t="str">
        <f t="shared" si="124"/>
        <v xml:space="preserve"> * La variable Migrantes Mujeres no puede ser Mayor al Total Mujeres.</v>
      </c>
      <c r="CH112" s="191" t="str">
        <f t="shared" si="157"/>
        <v xml:space="preserve"> * La variable Niños, Niñas, Adolescentes y Jóvenes SENAME no puede ser Mayor al Total ambos sexos.</v>
      </c>
      <c r="CI112" s="191" t="str">
        <f t="shared" si="158"/>
        <v xml:space="preserve"> * La variable Niños y niñas Mejor Niñez no puede ser Mayor al Total ambos sexos.</v>
      </c>
      <c r="CJ112" s="191" t="str">
        <f t="shared" si="125"/>
        <v xml:space="preserve">* La variable Plan Cuidado Integral Elaborado debe ser menor o igual al Total de Personas en control. </v>
      </c>
      <c r="CK112" s="191" t="str">
        <f t="shared" si="119"/>
        <v xml:space="preserve"> * La variable Trans Masculino no debe ser mayor al Total Mujeres.</v>
      </c>
      <c r="CL112" s="191" t="str">
        <f t="shared" si="126"/>
        <v xml:space="preserve"> * La variable Trans Femenino no debe ser mayor al Total Hombre.</v>
      </c>
      <c r="CO112" s="1047">
        <f t="shared" si="153"/>
        <v>1</v>
      </c>
      <c r="CP112" s="1047">
        <f t="shared" si="154"/>
        <v>1</v>
      </c>
      <c r="CQ112" s="1047">
        <f t="shared" si="141"/>
        <v>1</v>
      </c>
      <c r="CR112" s="1047">
        <f t="shared" si="142"/>
        <v>1</v>
      </c>
      <c r="CS112" s="1047">
        <f t="shared" si="143"/>
        <v>1</v>
      </c>
      <c r="CT112" s="1047">
        <f t="shared" si="144"/>
        <v>1</v>
      </c>
      <c r="CU112" s="1047">
        <f t="shared" si="155"/>
        <v>1</v>
      </c>
      <c r="CV112" s="1047">
        <f t="shared" si="156"/>
        <v>1</v>
      </c>
      <c r="CW112" s="1047">
        <f t="shared" si="147"/>
        <v>1</v>
      </c>
      <c r="CX112" s="1047">
        <f t="shared" si="115"/>
        <v>1</v>
      </c>
      <c r="CY112" s="1047">
        <f t="shared" si="130"/>
        <v>1</v>
      </c>
      <c r="CZ112" s="95"/>
      <c r="DN112" s="108"/>
      <c r="DO112" s="108"/>
      <c r="DP112" s="108"/>
    </row>
    <row r="113" spans="1:120" ht="15" customHeight="1" x14ac:dyDescent="0.25">
      <c r="A113" s="1585" t="s">
        <v>1409</v>
      </c>
      <c r="B113" s="2176" t="s">
        <v>669</v>
      </c>
      <c r="C113" s="2177"/>
      <c r="D113" s="1143" t="s">
        <v>1616</v>
      </c>
      <c r="E113" s="391" t="s">
        <v>1617</v>
      </c>
      <c r="F113" s="532" t="s">
        <v>1618</v>
      </c>
      <c r="G113" s="403" t="s">
        <v>1619</v>
      </c>
      <c r="H113" s="404" t="s">
        <v>1620</v>
      </c>
      <c r="I113" s="403" t="s">
        <v>1621</v>
      </c>
      <c r="J113" s="404" t="s">
        <v>1622</v>
      </c>
      <c r="K113" s="403" t="s">
        <v>1623</v>
      </c>
      <c r="L113" s="404" t="s">
        <v>1624</v>
      </c>
      <c r="M113" s="403" t="s">
        <v>1625</v>
      </c>
      <c r="N113" s="404" t="s">
        <v>1626</v>
      </c>
      <c r="O113" s="403" t="s">
        <v>1627</v>
      </c>
      <c r="P113" s="404" t="s">
        <v>1628</v>
      </c>
      <c r="Q113" s="403" t="s">
        <v>1629</v>
      </c>
      <c r="R113" s="404" t="s">
        <v>1630</v>
      </c>
      <c r="S113" s="403" t="s">
        <v>1631</v>
      </c>
      <c r="T113" s="404" t="s">
        <v>1632</v>
      </c>
      <c r="U113" s="403" t="s">
        <v>1633</v>
      </c>
      <c r="V113" s="404" t="s">
        <v>1634</v>
      </c>
      <c r="W113" s="403" t="s">
        <v>1635</v>
      </c>
      <c r="X113" s="404" t="s">
        <v>1636</v>
      </c>
      <c r="Y113" s="403" t="s">
        <v>1637</v>
      </c>
      <c r="Z113" s="404" t="s">
        <v>1638</v>
      </c>
      <c r="AA113" s="403" t="s">
        <v>1639</v>
      </c>
      <c r="AB113" s="404" t="s">
        <v>1640</v>
      </c>
      <c r="AC113" s="403" t="s">
        <v>1641</v>
      </c>
      <c r="AD113" s="404" t="s">
        <v>1642</v>
      </c>
      <c r="AE113" s="403" t="s">
        <v>1643</v>
      </c>
      <c r="AF113" s="404" t="s">
        <v>1644</v>
      </c>
      <c r="AG113" s="403" t="s">
        <v>1645</v>
      </c>
      <c r="AH113" s="404" t="s">
        <v>1646</v>
      </c>
      <c r="AI113" s="403" t="s">
        <v>1647</v>
      </c>
      <c r="AJ113" s="404" t="s">
        <v>1648</v>
      </c>
      <c r="AK113" s="403" t="s">
        <v>1649</v>
      </c>
      <c r="AL113" s="404" t="s">
        <v>1650</v>
      </c>
      <c r="AM113" s="403" t="s">
        <v>1651</v>
      </c>
      <c r="AN113" s="404" t="s">
        <v>1652</v>
      </c>
      <c r="AO113" s="651" t="s">
        <v>1653</v>
      </c>
      <c r="AP113" s="652" t="s">
        <v>1654</v>
      </c>
      <c r="AQ113" s="403" t="s">
        <v>1655</v>
      </c>
      <c r="AR113" s="442" t="s">
        <v>1656</v>
      </c>
      <c r="AS113" s="464" t="s">
        <v>1657</v>
      </c>
      <c r="AT113" s="404" t="s">
        <v>1658</v>
      </c>
      <c r="AU113" s="404" t="s">
        <v>1659</v>
      </c>
      <c r="AV113" s="404" t="s">
        <v>1660</v>
      </c>
      <c r="AW113" s="404" t="s">
        <v>1661</v>
      </c>
      <c r="AX113" s="404" t="s">
        <v>1662</v>
      </c>
      <c r="AY113" s="404" t="s">
        <v>1663</v>
      </c>
      <c r="AZ113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3" s="108"/>
      <c r="CB113" s="191" t="str">
        <f t="shared" si="149"/>
        <v xml:space="preserve"> * La variable Gestantes no puede ser Mayor al Total Mujeres.</v>
      </c>
      <c r="CC113" s="191" t="str">
        <f t="shared" si="150"/>
        <v xml:space="preserve"> * La variable Madre de hijo menor de 5 años no puede ser Mayor al Total Mujeres.</v>
      </c>
      <c r="CD113" s="191" t="str">
        <f t="shared" si="148"/>
        <v xml:space="preserve"> * La variable Pueblos Originarios Hombres no puede ser Mayor al Total Hombres.</v>
      </c>
      <c r="CE113" s="191" t="str">
        <f t="shared" si="122"/>
        <v xml:space="preserve"> * La variable Pueblos Originarios Mujeres no puede ser Mayor al Total Mujeres.</v>
      </c>
      <c r="CF113" s="191" t="str">
        <f t="shared" si="123"/>
        <v xml:space="preserve"> * La variable Migrantes Hombres no puede ser Mayor al Total Hombres.</v>
      </c>
      <c r="CG113" s="191" t="str">
        <f t="shared" si="124"/>
        <v xml:space="preserve"> * La variable Migrantes Mujeres no puede ser Mayor al Total Mujeres.</v>
      </c>
      <c r="CH113" s="191" t="str">
        <f t="shared" si="157"/>
        <v xml:space="preserve"> * La variable Niños, Niñas, Adolescentes y Jóvenes SENAME no puede ser Mayor al Total ambos sexos.</v>
      </c>
      <c r="CI113" s="191" t="str">
        <f t="shared" si="158"/>
        <v xml:space="preserve"> * La variable Niños y niñas Mejor Niñez no puede ser Mayor al Total ambos sexos.</v>
      </c>
      <c r="CJ113" s="191" t="str">
        <f t="shared" si="125"/>
        <v xml:space="preserve">* La variable Plan Cuidado Integral Elaborado debe ser menor o igual al Total de Personas en control. </v>
      </c>
      <c r="CK113" s="191" t="str">
        <f t="shared" si="119"/>
        <v xml:space="preserve"> * La variable Trans Masculino no debe ser mayor al Total Mujeres.</v>
      </c>
      <c r="CL113" s="191" t="str">
        <f t="shared" si="126"/>
        <v xml:space="preserve"> * La variable Trans Femenino no debe ser mayor al Total Hombre.</v>
      </c>
      <c r="CO113" s="1047">
        <f t="shared" si="153"/>
        <v>1</v>
      </c>
      <c r="CP113" s="1047">
        <f t="shared" si="154"/>
        <v>1</v>
      </c>
      <c r="CQ113" s="1047">
        <f t="shared" si="141"/>
        <v>1</v>
      </c>
      <c r="CR113" s="1047">
        <f t="shared" si="142"/>
        <v>1</v>
      </c>
      <c r="CS113" s="1047">
        <f t="shared" si="143"/>
        <v>1</v>
      </c>
      <c r="CT113" s="1047">
        <f t="shared" si="144"/>
        <v>1</v>
      </c>
      <c r="CU113" s="1047">
        <f t="shared" si="155"/>
        <v>1</v>
      </c>
      <c r="CV113" s="1047">
        <f t="shared" si="156"/>
        <v>1</v>
      </c>
      <c r="CW113" s="1047">
        <f t="shared" si="147"/>
        <v>1</v>
      </c>
      <c r="CX113" s="1047">
        <f t="shared" si="115"/>
        <v>1</v>
      </c>
      <c r="CY113" s="1047">
        <f t="shared" si="130"/>
        <v>1</v>
      </c>
      <c r="CZ113" s="95"/>
      <c r="DN113" s="108"/>
      <c r="DO113" s="108"/>
      <c r="DP113" s="108"/>
    </row>
    <row r="114" spans="1:120" ht="15" customHeight="1" x14ac:dyDescent="0.25">
      <c r="A114" s="1585" t="s">
        <v>1410</v>
      </c>
      <c r="B114" s="2178" t="s">
        <v>670</v>
      </c>
      <c r="C114" s="708" t="s">
        <v>420</v>
      </c>
      <c r="D114" s="1376" t="s">
        <v>1616</v>
      </c>
      <c r="E114" s="389" t="s">
        <v>1617</v>
      </c>
      <c r="F114" s="582" t="s">
        <v>1618</v>
      </c>
      <c r="G114" s="417" t="s">
        <v>1619</v>
      </c>
      <c r="H114" s="418" t="s">
        <v>1620</v>
      </c>
      <c r="I114" s="417" t="s">
        <v>1621</v>
      </c>
      <c r="J114" s="418" t="s">
        <v>1622</v>
      </c>
      <c r="K114" s="417" t="s">
        <v>1623</v>
      </c>
      <c r="L114" s="418" t="s">
        <v>1624</v>
      </c>
      <c r="M114" s="417" t="s">
        <v>1625</v>
      </c>
      <c r="N114" s="418" t="s">
        <v>1626</v>
      </c>
      <c r="O114" s="417" t="s">
        <v>1627</v>
      </c>
      <c r="P114" s="418" t="s">
        <v>1628</v>
      </c>
      <c r="Q114" s="417" t="s">
        <v>1629</v>
      </c>
      <c r="R114" s="418" t="s">
        <v>1630</v>
      </c>
      <c r="S114" s="417" t="s">
        <v>1631</v>
      </c>
      <c r="T114" s="418" t="s">
        <v>1632</v>
      </c>
      <c r="U114" s="417" t="s">
        <v>1633</v>
      </c>
      <c r="V114" s="418" t="s">
        <v>1634</v>
      </c>
      <c r="W114" s="417" t="s">
        <v>1635</v>
      </c>
      <c r="X114" s="418" t="s">
        <v>1636</v>
      </c>
      <c r="Y114" s="417" t="s">
        <v>1637</v>
      </c>
      <c r="Z114" s="418" t="s">
        <v>1638</v>
      </c>
      <c r="AA114" s="417" t="s">
        <v>1639</v>
      </c>
      <c r="AB114" s="418" t="s">
        <v>1640</v>
      </c>
      <c r="AC114" s="417" t="s">
        <v>1641</v>
      </c>
      <c r="AD114" s="418" t="s">
        <v>1642</v>
      </c>
      <c r="AE114" s="417" t="s">
        <v>1643</v>
      </c>
      <c r="AF114" s="418" t="s">
        <v>1644</v>
      </c>
      <c r="AG114" s="417" t="s">
        <v>1645</v>
      </c>
      <c r="AH114" s="418" t="s">
        <v>1646</v>
      </c>
      <c r="AI114" s="417" t="s">
        <v>1647</v>
      </c>
      <c r="AJ114" s="418" t="s">
        <v>1648</v>
      </c>
      <c r="AK114" s="417" t="s">
        <v>1649</v>
      </c>
      <c r="AL114" s="418" t="s">
        <v>1650</v>
      </c>
      <c r="AM114" s="417" t="s">
        <v>1651</v>
      </c>
      <c r="AN114" s="418" t="s">
        <v>1652</v>
      </c>
      <c r="AO114" s="456" t="s">
        <v>1653</v>
      </c>
      <c r="AP114" s="655" t="s">
        <v>1654</v>
      </c>
      <c r="AQ114" s="417" t="s">
        <v>1655</v>
      </c>
      <c r="AR114" s="432" t="s">
        <v>1656</v>
      </c>
      <c r="AS114" s="468" t="s">
        <v>1657</v>
      </c>
      <c r="AT114" s="418" t="s">
        <v>1658</v>
      </c>
      <c r="AU114" s="418" t="s">
        <v>1659</v>
      </c>
      <c r="AV114" s="418" t="s">
        <v>1660</v>
      </c>
      <c r="AW114" s="418" t="s">
        <v>1661</v>
      </c>
      <c r="AX114" s="418" t="s">
        <v>1662</v>
      </c>
      <c r="AY114" s="418" t="s">
        <v>1663</v>
      </c>
      <c r="AZ114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4" s="108"/>
      <c r="CB114" s="191" t="str">
        <f t="shared" si="149"/>
        <v xml:space="preserve"> * La variable Gestantes no puede ser Mayor al Total Mujeres.</v>
      </c>
      <c r="CC114" s="191" t="str">
        <f t="shared" si="150"/>
        <v xml:space="preserve"> * La variable Madre de hijo menor de 5 años no puede ser Mayor al Total Mujeres.</v>
      </c>
      <c r="CD114" s="191" t="str">
        <f t="shared" si="148"/>
        <v xml:space="preserve"> * La variable Pueblos Originarios Hombres no puede ser Mayor al Total Hombres.</v>
      </c>
      <c r="CE114" s="191" t="str">
        <f t="shared" si="122"/>
        <v xml:space="preserve"> * La variable Pueblos Originarios Mujeres no puede ser Mayor al Total Mujeres.</v>
      </c>
      <c r="CF114" s="191" t="str">
        <f t="shared" si="123"/>
        <v xml:space="preserve"> * La variable Migrantes Hombres no puede ser Mayor al Total Hombres.</v>
      </c>
      <c r="CG114" s="191" t="str">
        <f t="shared" si="124"/>
        <v xml:space="preserve"> * La variable Migrantes Mujeres no puede ser Mayor al Total Mujeres.</v>
      </c>
      <c r="CH114" s="191" t="str">
        <f t="shared" si="157"/>
        <v xml:space="preserve"> * La variable Niños, Niñas, Adolescentes y Jóvenes SENAME no puede ser Mayor al Total ambos sexos.</v>
      </c>
      <c r="CI114" s="191" t="str">
        <f t="shared" si="158"/>
        <v xml:space="preserve"> * La variable Niños y niñas Mejor Niñez no puede ser Mayor al Total ambos sexos.</v>
      </c>
      <c r="CJ114" s="191" t="str">
        <f t="shared" si="125"/>
        <v xml:space="preserve">* La variable Plan Cuidado Integral Elaborado debe ser menor o igual al Total de Personas en control. </v>
      </c>
      <c r="CK114" s="191" t="str">
        <f t="shared" si="119"/>
        <v xml:space="preserve"> * La variable Trans Masculino no debe ser mayor al Total Mujeres.</v>
      </c>
      <c r="CL114" s="191" t="str">
        <f t="shared" si="126"/>
        <v xml:space="preserve"> * La variable Trans Femenino no debe ser mayor al Total Hombre.</v>
      </c>
      <c r="CO114" s="1047">
        <f t="shared" si="153"/>
        <v>1</v>
      </c>
      <c r="CP114" s="1047">
        <f t="shared" si="154"/>
        <v>1</v>
      </c>
      <c r="CQ114" s="1047">
        <f t="shared" si="141"/>
        <v>1</v>
      </c>
      <c r="CR114" s="1047">
        <f t="shared" si="142"/>
        <v>1</v>
      </c>
      <c r="CS114" s="1047">
        <f t="shared" si="143"/>
        <v>1</v>
      </c>
      <c r="CT114" s="1047">
        <f t="shared" si="144"/>
        <v>1</v>
      </c>
      <c r="CU114" s="1047">
        <f t="shared" si="155"/>
        <v>1</v>
      </c>
      <c r="CV114" s="1047">
        <f t="shared" si="156"/>
        <v>1</v>
      </c>
      <c r="CW114" s="1047">
        <f t="shared" si="147"/>
        <v>1</v>
      </c>
      <c r="CX114" s="1047">
        <f t="shared" si="115"/>
        <v>1</v>
      </c>
      <c r="CY114" s="1047">
        <f t="shared" si="130"/>
        <v>1</v>
      </c>
      <c r="CZ114" s="95"/>
      <c r="DN114" s="108"/>
      <c r="DO114" s="108"/>
      <c r="DP114" s="108"/>
    </row>
    <row r="115" spans="1:120" ht="15" customHeight="1" x14ac:dyDescent="0.25">
      <c r="A115" s="1585" t="s">
        <v>1411</v>
      </c>
      <c r="B115" s="1951"/>
      <c r="C115" s="709" t="s">
        <v>422</v>
      </c>
      <c r="D115" s="1146" t="s">
        <v>1616</v>
      </c>
      <c r="E115" s="401" t="s">
        <v>1617</v>
      </c>
      <c r="F115" s="537" t="s">
        <v>1618</v>
      </c>
      <c r="G115" s="398" t="s">
        <v>1619</v>
      </c>
      <c r="H115" s="399" t="s">
        <v>1620</v>
      </c>
      <c r="I115" s="398" t="s">
        <v>1621</v>
      </c>
      <c r="J115" s="399" t="s">
        <v>1622</v>
      </c>
      <c r="K115" s="398" t="s">
        <v>1623</v>
      </c>
      <c r="L115" s="399" t="s">
        <v>1624</v>
      </c>
      <c r="M115" s="398" t="s">
        <v>1625</v>
      </c>
      <c r="N115" s="399" t="s">
        <v>1626</v>
      </c>
      <c r="O115" s="398" t="s">
        <v>1627</v>
      </c>
      <c r="P115" s="399" t="s">
        <v>1628</v>
      </c>
      <c r="Q115" s="398" t="s">
        <v>1629</v>
      </c>
      <c r="R115" s="399" t="s">
        <v>1630</v>
      </c>
      <c r="S115" s="398" t="s">
        <v>1631</v>
      </c>
      <c r="T115" s="399" t="s">
        <v>1632</v>
      </c>
      <c r="U115" s="398" t="s">
        <v>1633</v>
      </c>
      <c r="V115" s="399" t="s">
        <v>1634</v>
      </c>
      <c r="W115" s="398" t="s">
        <v>1635</v>
      </c>
      <c r="X115" s="399" t="s">
        <v>1636</v>
      </c>
      <c r="Y115" s="398" t="s">
        <v>1637</v>
      </c>
      <c r="Z115" s="399" t="s">
        <v>1638</v>
      </c>
      <c r="AA115" s="398" t="s">
        <v>1639</v>
      </c>
      <c r="AB115" s="399" t="s">
        <v>1640</v>
      </c>
      <c r="AC115" s="398" t="s">
        <v>1641</v>
      </c>
      <c r="AD115" s="399" t="s">
        <v>1642</v>
      </c>
      <c r="AE115" s="398" t="s">
        <v>1643</v>
      </c>
      <c r="AF115" s="399" t="s">
        <v>1644</v>
      </c>
      <c r="AG115" s="398" t="s">
        <v>1645</v>
      </c>
      <c r="AH115" s="399" t="s">
        <v>1646</v>
      </c>
      <c r="AI115" s="398" t="s">
        <v>1647</v>
      </c>
      <c r="AJ115" s="399" t="s">
        <v>1648</v>
      </c>
      <c r="AK115" s="398" t="s">
        <v>1649</v>
      </c>
      <c r="AL115" s="399" t="s">
        <v>1650</v>
      </c>
      <c r="AM115" s="398" t="s">
        <v>1651</v>
      </c>
      <c r="AN115" s="399" t="s">
        <v>1652</v>
      </c>
      <c r="AO115" s="457" t="s">
        <v>1653</v>
      </c>
      <c r="AP115" s="650" t="s">
        <v>1654</v>
      </c>
      <c r="AQ115" s="398" t="s">
        <v>1655</v>
      </c>
      <c r="AR115" s="533" t="s">
        <v>1656</v>
      </c>
      <c r="AS115" s="465" t="s">
        <v>1657</v>
      </c>
      <c r="AT115" s="399" t="s">
        <v>1658</v>
      </c>
      <c r="AU115" s="399" t="s">
        <v>1659</v>
      </c>
      <c r="AV115" s="399" t="s">
        <v>1660</v>
      </c>
      <c r="AW115" s="399" t="s">
        <v>1661</v>
      </c>
      <c r="AX115" s="399" t="s">
        <v>1662</v>
      </c>
      <c r="AY115" s="399" t="s">
        <v>1663</v>
      </c>
      <c r="AZ115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5" s="108"/>
      <c r="CB115" s="191" t="str">
        <f t="shared" si="149"/>
        <v xml:space="preserve"> * La variable Gestantes no puede ser Mayor al Total Mujeres.</v>
      </c>
      <c r="CC115" s="191" t="str">
        <f t="shared" si="150"/>
        <v xml:space="preserve"> * La variable Madre de hijo menor de 5 años no puede ser Mayor al Total Mujeres.</v>
      </c>
      <c r="CD115" s="191" t="str">
        <f t="shared" si="148"/>
        <v xml:space="preserve"> * La variable Pueblos Originarios Hombres no puede ser Mayor al Total Hombres.</v>
      </c>
      <c r="CE115" s="191" t="str">
        <f t="shared" si="122"/>
        <v xml:space="preserve"> * La variable Pueblos Originarios Mujeres no puede ser Mayor al Total Mujeres.</v>
      </c>
      <c r="CF115" s="191" t="str">
        <f t="shared" si="123"/>
        <v xml:space="preserve"> * La variable Migrantes Hombres no puede ser Mayor al Total Hombres.</v>
      </c>
      <c r="CG115" s="191" t="str">
        <f t="shared" si="124"/>
        <v xml:space="preserve"> * La variable Migrantes Mujeres no puede ser Mayor al Total Mujeres.</v>
      </c>
      <c r="CH115" s="191" t="str">
        <f t="shared" si="157"/>
        <v xml:space="preserve"> * La variable Niños, Niñas, Adolescentes y Jóvenes SENAME no puede ser Mayor al Total ambos sexos.</v>
      </c>
      <c r="CI115" s="191" t="str">
        <f t="shared" si="158"/>
        <v xml:space="preserve"> * La variable Niños y niñas Mejor Niñez no puede ser Mayor al Total ambos sexos.</v>
      </c>
      <c r="CJ115" s="191" t="str">
        <f t="shared" si="125"/>
        <v xml:space="preserve">* La variable Plan Cuidado Integral Elaborado debe ser menor o igual al Total de Personas en control. </v>
      </c>
      <c r="CK115" s="191" t="str">
        <f t="shared" si="119"/>
        <v xml:space="preserve"> * La variable Trans Masculino no debe ser mayor al Total Mujeres.</v>
      </c>
      <c r="CL115" s="191" t="str">
        <f t="shared" si="126"/>
        <v xml:space="preserve"> * La variable Trans Femenino no debe ser mayor al Total Hombre.</v>
      </c>
      <c r="CO115" s="1047">
        <f t="shared" si="153"/>
        <v>1</v>
      </c>
      <c r="CP115" s="1047">
        <f t="shared" si="154"/>
        <v>1</v>
      </c>
      <c r="CQ115" s="1047">
        <f t="shared" si="141"/>
        <v>1</v>
      </c>
      <c r="CR115" s="1047">
        <f t="shared" si="142"/>
        <v>1</v>
      </c>
      <c r="CS115" s="1047">
        <f t="shared" si="143"/>
        <v>1</v>
      </c>
      <c r="CT115" s="1047">
        <f t="shared" si="144"/>
        <v>1</v>
      </c>
      <c r="CU115" s="1047">
        <f t="shared" si="155"/>
        <v>1</v>
      </c>
      <c r="CV115" s="1047">
        <f t="shared" si="156"/>
        <v>1</v>
      </c>
      <c r="CW115" s="1047">
        <f t="shared" si="147"/>
        <v>1</v>
      </c>
      <c r="CX115" s="1047">
        <f t="shared" si="115"/>
        <v>1</v>
      </c>
      <c r="CY115" s="1047">
        <f t="shared" si="130"/>
        <v>1</v>
      </c>
      <c r="CZ115" s="95"/>
      <c r="DN115" s="108"/>
      <c r="DO115" s="108"/>
      <c r="DP115" s="108"/>
    </row>
    <row r="116" spans="1:120" ht="15" customHeight="1" x14ac:dyDescent="0.25">
      <c r="A116" s="1585" t="s">
        <v>1412</v>
      </c>
      <c r="B116" s="1951"/>
      <c r="C116" s="709" t="s">
        <v>671</v>
      </c>
      <c r="D116" s="1146" t="s">
        <v>1616</v>
      </c>
      <c r="E116" s="401" t="s">
        <v>1617</v>
      </c>
      <c r="F116" s="537" t="s">
        <v>1618</v>
      </c>
      <c r="G116" s="398" t="s">
        <v>1619</v>
      </c>
      <c r="H116" s="399" t="s">
        <v>1620</v>
      </c>
      <c r="I116" s="398" t="s">
        <v>1621</v>
      </c>
      <c r="J116" s="399" t="s">
        <v>1622</v>
      </c>
      <c r="K116" s="398" t="s">
        <v>1623</v>
      </c>
      <c r="L116" s="399" t="s">
        <v>1624</v>
      </c>
      <c r="M116" s="398" t="s">
        <v>1625</v>
      </c>
      <c r="N116" s="399" t="s">
        <v>1626</v>
      </c>
      <c r="O116" s="398" t="s">
        <v>1627</v>
      </c>
      <c r="P116" s="399" t="s">
        <v>1628</v>
      </c>
      <c r="Q116" s="398" t="s">
        <v>1629</v>
      </c>
      <c r="R116" s="399" t="s">
        <v>1630</v>
      </c>
      <c r="S116" s="398" t="s">
        <v>1631</v>
      </c>
      <c r="T116" s="399" t="s">
        <v>1632</v>
      </c>
      <c r="U116" s="398" t="s">
        <v>1633</v>
      </c>
      <c r="V116" s="399" t="s">
        <v>1634</v>
      </c>
      <c r="W116" s="398" t="s">
        <v>1635</v>
      </c>
      <c r="X116" s="399" t="s">
        <v>1636</v>
      </c>
      <c r="Y116" s="398" t="s">
        <v>1637</v>
      </c>
      <c r="Z116" s="399" t="s">
        <v>1638</v>
      </c>
      <c r="AA116" s="398" t="s">
        <v>1639</v>
      </c>
      <c r="AB116" s="399" t="s">
        <v>1640</v>
      </c>
      <c r="AC116" s="398" t="s">
        <v>1641</v>
      </c>
      <c r="AD116" s="399" t="s">
        <v>1642</v>
      </c>
      <c r="AE116" s="398" t="s">
        <v>1643</v>
      </c>
      <c r="AF116" s="399" t="s">
        <v>1644</v>
      </c>
      <c r="AG116" s="398" t="s">
        <v>1645</v>
      </c>
      <c r="AH116" s="399" t="s">
        <v>1646</v>
      </c>
      <c r="AI116" s="398" t="s">
        <v>1647</v>
      </c>
      <c r="AJ116" s="399" t="s">
        <v>1648</v>
      </c>
      <c r="AK116" s="398" t="s">
        <v>1649</v>
      </c>
      <c r="AL116" s="399" t="s">
        <v>1650</v>
      </c>
      <c r="AM116" s="398" t="s">
        <v>1651</v>
      </c>
      <c r="AN116" s="399" t="s">
        <v>1652</v>
      </c>
      <c r="AO116" s="457" t="s">
        <v>1653</v>
      </c>
      <c r="AP116" s="650" t="s">
        <v>1654</v>
      </c>
      <c r="AQ116" s="398" t="s">
        <v>1655</v>
      </c>
      <c r="AR116" s="533" t="s">
        <v>1656</v>
      </c>
      <c r="AS116" s="465" t="s">
        <v>1657</v>
      </c>
      <c r="AT116" s="399" t="s">
        <v>1658</v>
      </c>
      <c r="AU116" s="399" t="s">
        <v>1659</v>
      </c>
      <c r="AV116" s="399" t="s">
        <v>1660</v>
      </c>
      <c r="AW116" s="399" t="s">
        <v>1661</v>
      </c>
      <c r="AX116" s="399" t="s">
        <v>1662</v>
      </c>
      <c r="AY116" s="399" t="s">
        <v>1663</v>
      </c>
      <c r="AZ116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6" s="108"/>
      <c r="CB116" s="191" t="str">
        <f t="shared" si="149"/>
        <v xml:space="preserve"> * La variable Gestantes no puede ser Mayor al Total Mujeres.</v>
      </c>
      <c r="CC116" s="191" t="str">
        <f t="shared" si="150"/>
        <v xml:space="preserve"> * La variable Madre de hijo menor de 5 años no puede ser Mayor al Total Mujeres.</v>
      </c>
      <c r="CD116" s="191" t="str">
        <f t="shared" si="148"/>
        <v xml:space="preserve"> * La variable Pueblos Originarios Hombres no puede ser Mayor al Total Hombres.</v>
      </c>
      <c r="CE116" s="191" t="str">
        <f t="shared" si="122"/>
        <v xml:space="preserve"> * La variable Pueblos Originarios Mujeres no puede ser Mayor al Total Mujeres.</v>
      </c>
      <c r="CF116" s="191" t="str">
        <f t="shared" si="123"/>
        <v xml:space="preserve"> * La variable Migrantes Hombres no puede ser Mayor al Total Hombres.</v>
      </c>
      <c r="CG116" s="191" t="str">
        <f t="shared" si="124"/>
        <v xml:space="preserve"> * La variable Migrantes Mujeres no puede ser Mayor al Total Mujeres.</v>
      </c>
      <c r="CH116" s="191" t="str">
        <f t="shared" si="157"/>
        <v xml:space="preserve"> * La variable Niños, Niñas, Adolescentes y Jóvenes SENAME no puede ser Mayor al Total ambos sexos.</v>
      </c>
      <c r="CI116" s="191" t="str">
        <f t="shared" si="158"/>
        <v xml:space="preserve"> * La variable Niños y niñas Mejor Niñez no puede ser Mayor al Total ambos sexos.</v>
      </c>
      <c r="CJ116" s="191" t="str">
        <f t="shared" si="125"/>
        <v xml:space="preserve">* La variable Plan Cuidado Integral Elaborado debe ser menor o igual al Total de Personas en control. </v>
      </c>
      <c r="CK116" s="191" t="str">
        <f t="shared" si="119"/>
        <v xml:space="preserve"> * La variable Trans Masculino no debe ser mayor al Total Mujeres.</v>
      </c>
      <c r="CL116" s="191" t="str">
        <f t="shared" si="126"/>
        <v xml:space="preserve"> * La variable Trans Femenino no debe ser mayor al Total Hombre.</v>
      </c>
      <c r="CO116" s="1047">
        <f t="shared" si="153"/>
        <v>1</v>
      </c>
      <c r="CP116" s="1047">
        <f t="shared" si="154"/>
        <v>1</v>
      </c>
      <c r="CQ116" s="1047">
        <f t="shared" si="141"/>
        <v>1</v>
      </c>
      <c r="CR116" s="1047">
        <f t="shared" si="142"/>
        <v>1</v>
      </c>
      <c r="CS116" s="1047">
        <f t="shared" si="143"/>
        <v>1</v>
      </c>
      <c r="CT116" s="1047">
        <f t="shared" si="144"/>
        <v>1</v>
      </c>
      <c r="CU116" s="1047">
        <f t="shared" si="155"/>
        <v>1</v>
      </c>
      <c r="CV116" s="1047">
        <f t="shared" si="156"/>
        <v>1</v>
      </c>
      <c r="CW116" s="1047">
        <f t="shared" si="147"/>
        <v>1</v>
      </c>
      <c r="CX116" s="1047">
        <f t="shared" si="115"/>
        <v>1</v>
      </c>
      <c r="CY116" s="1047">
        <f t="shared" si="130"/>
        <v>1</v>
      </c>
      <c r="CZ116" s="95"/>
      <c r="DN116" s="108"/>
      <c r="DO116" s="108"/>
      <c r="DP116" s="108"/>
    </row>
    <row r="117" spans="1:120" ht="15" customHeight="1" x14ac:dyDescent="0.25">
      <c r="A117" s="1585" t="s">
        <v>1413</v>
      </c>
      <c r="B117" s="1951"/>
      <c r="C117" s="709" t="s">
        <v>672</v>
      </c>
      <c r="D117" s="1146" t="s">
        <v>1616</v>
      </c>
      <c r="E117" s="401" t="s">
        <v>1617</v>
      </c>
      <c r="F117" s="537" t="s">
        <v>1618</v>
      </c>
      <c r="G117" s="398" t="s">
        <v>1619</v>
      </c>
      <c r="H117" s="399" t="s">
        <v>1620</v>
      </c>
      <c r="I117" s="398" t="s">
        <v>1621</v>
      </c>
      <c r="J117" s="399" t="s">
        <v>1622</v>
      </c>
      <c r="K117" s="398" t="s">
        <v>1623</v>
      </c>
      <c r="L117" s="399" t="s">
        <v>1624</v>
      </c>
      <c r="M117" s="398" t="s">
        <v>1625</v>
      </c>
      <c r="N117" s="399" t="s">
        <v>1626</v>
      </c>
      <c r="O117" s="398" t="s">
        <v>1627</v>
      </c>
      <c r="P117" s="399" t="s">
        <v>1628</v>
      </c>
      <c r="Q117" s="398" t="s">
        <v>1629</v>
      </c>
      <c r="R117" s="399" t="s">
        <v>1630</v>
      </c>
      <c r="S117" s="398" t="s">
        <v>1631</v>
      </c>
      <c r="T117" s="399" t="s">
        <v>1632</v>
      </c>
      <c r="U117" s="398" t="s">
        <v>1633</v>
      </c>
      <c r="V117" s="399" t="s">
        <v>1634</v>
      </c>
      <c r="W117" s="398" t="s">
        <v>1635</v>
      </c>
      <c r="X117" s="399" t="s">
        <v>1636</v>
      </c>
      <c r="Y117" s="398" t="s">
        <v>1637</v>
      </c>
      <c r="Z117" s="399" t="s">
        <v>1638</v>
      </c>
      <c r="AA117" s="398" t="s">
        <v>1639</v>
      </c>
      <c r="AB117" s="399" t="s">
        <v>1640</v>
      </c>
      <c r="AC117" s="398" t="s">
        <v>1641</v>
      </c>
      <c r="AD117" s="399" t="s">
        <v>1642</v>
      </c>
      <c r="AE117" s="398" t="s">
        <v>1643</v>
      </c>
      <c r="AF117" s="399" t="s">
        <v>1644</v>
      </c>
      <c r="AG117" s="398" t="s">
        <v>1645</v>
      </c>
      <c r="AH117" s="399" t="s">
        <v>1646</v>
      </c>
      <c r="AI117" s="398" t="s">
        <v>1647</v>
      </c>
      <c r="AJ117" s="399" t="s">
        <v>1648</v>
      </c>
      <c r="AK117" s="398" t="s">
        <v>1649</v>
      </c>
      <c r="AL117" s="399" t="s">
        <v>1650</v>
      </c>
      <c r="AM117" s="398" t="s">
        <v>1651</v>
      </c>
      <c r="AN117" s="399" t="s">
        <v>1652</v>
      </c>
      <c r="AO117" s="457" t="s">
        <v>1653</v>
      </c>
      <c r="AP117" s="650" t="s">
        <v>1654</v>
      </c>
      <c r="AQ117" s="398" t="s">
        <v>1655</v>
      </c>
      <c r="AR117" s="533" t="s">
        <v>1656</v>
      </c>
      <c r="AS117" s="465" t="s">
        <v>1657</v>
      </c>
      <c r="AT117" s="399" t="s">
        <v>1658</v>
      </c>
      <c r="AU117" s="399" t="s">
        <v>1659</v>
      </c>
      <c r="AV117" s="399" t="s">
        <v>1660</v>
      </c>
      <c r="AW117" s="399" t="s">
        <v>1661</v>
      </c>
      <c r="AX117" s="399" t="s">
        <v>1662</v>
      </c>
      <c r="AY117" s="399" t="s">
        <v>1663</v>
      </c>
      <c r="AZ117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7" s="108"/>
      <c r="CB117" s="191" t="str">
        <f t="shared" si="149"/>
        <v xml:space="preserve"> * La variable Gestantes no puede ser Mayor al Total Mujeres.</v>
      </c>
      <c r="CC117" s="191" t="str">
        <f t="shared" si="150"/>
        <v xml:space="preserve"> * La variable Madre de hijo menor de 5 años no puede ser Mayor al Total Mujeres.</v>
      </c>
      <c r="CD117" s="191" t="str">
        <f t="shared" si="148"/>
        <v xml:space="preserve"> * La variable Pueblos Originarios Hombres no puede ser Mayor al Total Hombres.</v>
      </c>
      <c r="CE117" s="191" t="str">
        <f t="shared" si="122"/>
        <v xml:space="preserve"> * La variable Pueblos Originarios Mujeres no puede ser Mayor al Total Mujeres.</v>
      </c>
      <c r="CF117" s="191" t="str">
        <f t="shared" si="123"/>
        <v xml:space="preserve"> * La variable Migrantes Hombres no puede ser Mayor al Total Hombres.</v>
      </c>
      <c r="CG117" s="191" t="str">
        <f t="shared" si="124"/>
        <v xml:space="preserve"> * La variable Migrantes Mujeres no puede ser Mayor al Total Mujeres.</v>
      </c>
      <c r="CH117" s="191" t="str">
        <f t="shared" si="157"/>
        <v xml:space="preserve"> * La variable Niños, Niñas, Adolescentes y Jóvenes SENAME no puede ser Mayor al Total ambos sexos.</v>
      </c>
      <c r="CI117" s="191" t="str">
        <f t="shared" si="158"/>
        <v xml:space="preserve"> * La variable Niños y niñas Mejor Niñez no puede ser Mayor al Total ambos sexos.</v>
      </c>
      <c r="CJ117" s="191" t="str">
        <f t="shared" si="125"/>
        <v xml:space="preserve">* La variable Plan Cuidado Integral Elaborado debe ser menor o igual al Total de Personas en control. </v>
      </c>
      <c r="CK117" s="191" t="str">
        <f t="shared" si="119"/>
        <v xml:space="preserve"> * La variable Trans Masculino no debe ser mayor al Total Mujeres.</v>
      </c>
      <c r="CL117" s="191" t="str">
        <f t="shared" si="126"/>
        <v xml:space="preserve"> * La variable Trans Femenino no debe ser mayor al Total Hombre.</v>
      </c>
      <c r="CO117" s="1047">
        <f t="shared" si="153"/>
        <v>1</v>
      </c>
      <c r="CP117" s="1047">
        <f t="shared" si="154"/>
        <v>1</v>
      </c>
      <c r="CQ117" s="1047">
        <f t="shared" si="141"/>
        <v>1</v>
      </c>
      <c r="CR117" s="1047">
        <f t="shared" si="142"/>
        <v>1</v>
      </c>
      <c r="CS117" s="1047">
        <f t="shared" si="143"/>
        <v>1</v>
      </c>
      <c r="CT117" s="1047">
        <f t="shared" si="144"/>
        <v>1</v>
      </c>
      <c r="CU117" s="1047">
        <f t="shared" si="155"/>
        <v>1</v>
      </c>
      <c r="CV117" s="1047">
        <f t="shared" si="156"/>
        <v>1</v>
      </c>
      <c r="CW117" s="1047">
        <f t="shared" si="147"/>
        <v>1</v>
      </c>
      <c r="CX117" s="1047">
        <f t="shared" si="115"/>
        <v>1</v>
      </c>
      <c r="CY117" s="1047">
        <f t="shared" si="130"/>
        <v>1</v>
      </c>
      <c r="CZ117" s="95"/>
      <c r="DN117" s="108"/>
      <c r="DO117" s="108"/>
      <c r="DP117" s="108"/>
    </row>
    <row r="118" spans="1:120" ht="15" customHeight="1" x14ac:dyDescent="0.25">
      <c r="A118" s="1585" t="s">
        <v>1414</v>
      </c>
      <c r="B118" s="1952"/>
      <c r="C118" s="710" t="s">
        <v>695</v>
      </c>
      <c r="D118" s="1143" t="s">
        <v>1616</v>
      </c>
      <c r="E118" s="391" t="s">
        <v>1617</v>
      </c>
      <c r="F118" s="532" t="s">
        <v>1618</v>
      </c>
      <c r="G118" s="403" t="s">
        <v>1619</v>
      </c>
      <c r="H118" s="404" t="s">
        <v>1620</v>
      </c>
      <c r="I118" s="403" t="s">
        <v>1621</v>
      </c>
      <c r="J118" s="404" t="s">
        <v>1622</v>
      </c>
      <c r="K118" s="403" t="s">
        <v>1623</v>
      </c>
      <c r="L118" s="404" t="s">
        <v>1624</v>
      </c>
      <c r="M118" s="403" t="s">
        <v>1625</v>
      </c>
      <c r="N118" s="404" t="s">
        <v>1626</v>
      </c>
      <c r="O118" s="403" t="s">
        <v>1627</v>
      </c>
      <c r="P118" s="404" t="s">
        <v>1628</v>
      </c>
      <c r="Q118" s="403" t="s">
        <v>1629</v>
      </c>
      <c r="R118" s="404" t="s">
        <v>1630</v>
      </c>
      <c r="S118" s="403" t="s">
        <v>1631</v>
      </c>
      <c r="T118" s="404" t="s">
        <v>1632</v>
      </c>
      <c r="U118" s="403" t="s">
        <v>1633</v>
      </c>
      <c r="V118" s="404" t="s">
        <v>1634</v>
      </c>
      <c r="W118" s="403" t="s">
        <v>1635</v>
      </c>
      <c r="X118" s="404" t="s">
        <v>1636</v>
      </c>
      <c r="Y118" s="403" t="s">
        <v>1637</v>
      </c>
      <c r="Z118" s="404" t="s">
        <v>1638</v>
      </c>
      <c r="AA118" s="403" t="s">
        <v>1639</v>
      </c>
      <c r="AB118" s="404" t="s">
        <v>1640</v>
      </c>
      <c r="AC118" s="403" t="s">
        <v>1641</v>
      </c>
      <c r="AD118" s="404" t="s">
        <v>1642</v>
      </c>
      <c r="AE118" s="403" t="s">
        <v>1643</v>
      </c>
      <c r="AF118" s="404" t="s">
        <v>1644</v>
      </c>
      <c r="AG118" s="403" t="s">
        <v>1645</v>
      </c>
      <c r="AH118" s="404" t="s">
        <v>1646</v>
      </c>
      <c r="AI118" s="403" t="s">
        <v>1647</v>
      </c>
      <c r="AJ118" s="404" t="s">
        <v>1648</v>
      </c>
      <c r="AK118" s="403" t="s">
        <v>1649</v>
      </c>
      <c r="AL118" s="404" t="s">
        <v>1650</v>
      </c>
      <c r="AM118" s="403" t="s">
        <v>1651</v>
      </c>
      <c r="AN118" s="404" t="s">
        <v>1652</v>
      </c>
      <c r="AO118" s="651" t="s">
        <v>1653</v>
      </c>
      <c r="AP118" s="652" t="s">
        <v>1654</v>
      </c>
      <c r="AQ118" s="403" t="s">
        <v>1655</v>
      </c>
      <c r="AR118" s="442" t="s">
        <v>1656</v>
      </c>
      <c r="AS118" s="464" t="s">
        <v>1657</v>
      </c>
      <c r="AT118" s="404" t="s">
        <v>1658</v>
      </c>
      <c r="AU118" s="404" t="s">
        <v>1659</v>
      </c>
      <c r="AV118" s="404" t="s">
        <v>1660</v>
      </c>
      <c r="AW118" s="404" t="s">
        <v>1661</v>
      </c>
      <c r="AX118" s="404" t="s">
        <v>1662</v>
      </c>
      <c r="AY118" s="404" t="s">
        <v>1663</v>
      </c>
      <c r="AZ118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8" s="108"/>
      <c r="CB118" s="191" t="str">
        <f t="shared" si="149"/>
        <v xml:space="preserve"> * La variable Gestantes no puede ser Mayor al Total Mujeres.</v>
      </c>
      <c r="CC118" s="191" t="str">
        <f t="shared" si="150"/>
        <v xml:space="preserve"> * La variable Madre de hijo menor de 5 años no puede ser Mayor al Total Mujeres.</v>
      </c>
      <c r="CD118" s="191" t="str">
        <f t="shared" si="148"/>
        <v xml:space="preserve"> * La variable Pueblos Originarios Hombres no puede ser Mayor al Total Hombres.</v>
      </c>
      <c r="CE118" s="191" t="str">
        <f t="shared" si="122"/>
        <v xml:space="preserve"> * La variable Pueblos Originarios Mujeres no puede ser Mayor al Total Mujeres.</v>
      </c>
      <c r="CF118" s="191" t="str">
        <f t="shared" si="123"/>
        <v xml:space="preserve"> * La variable Migrantes Hombres no puede ser Mayor al Total Hombres.</v>
      </c>
      <c r="CG118" s="191" t="str">
        <f t="shared" si="124"/>
        <v xml:space="preserve"> * La variable Migrantes Mujeres no puede ser Mayor al Total Mujeres.</v>
      </c>
      <c r="CH118" s="191" t="str">
        <f t="shared" si="157"/>
        <v xml:space="preserve"> * La variable Niños, Niñas, Adolescentes y Jóvenes SENAME no puede ser Mayor al Total ambos sexos.</v>
      </c>
      <c r="CI118" s="191" t="str">
        <f t="shared" si="158"/>
        <v xml:space="preserve"> * La variable Niños y niñas Mejor Niñez no puede ser Mayor al Total ambos sexos.</v>
      </c>
      <c r="CJ118" s="191" t="str">
        <f t="shared" si="125"/>
        <v xml:space="preserve">* La variable Plan Cuidado Integral Elaborado debe ser menor o igual al Total de Personas en control. </v>
      </c>
      <c r="CK118" s="191" t="str">
        <f t="shared" si="119"/>
        <v xml:space="preserve"> * La variable Trans Masculino no debe ser mayor al Total Mujeres.</v>
      </c>
      <c r="CL118" s="191" t="str">
        <f t="shared" si="126"/>
        <v xml:space="preserve"> * La variable Trans Femenino no debe ser mayor al Total Hombre.</v>
      </c>
      <c r="CO118" s="1047">
        <f t="shared" si="153"/>
        <v>1</v>
      </c>
      <c r="CP118" s="1047">
        <f t="shared" si="154"/>
        <v>1</v>
      </c>
      <c r="CQ118" s="1047">
        <f t="shared" si="141"/>
        <v>1</v>
      </c>
      <c r="CR118" s="1047">
        <f t="shared" si="142"/>
        <v>1</v>
      </c>
      <c r="CS118" s="1047">
        <f t="shared" si="143"/>
        <v>1</v>
      </c>
      <c r="CT118" s="1047">
        <f t="shared" si="144"/>
        <v>1</v>
      </c>
      <c r="CU118" s="1047">
        <f t="shared" si="155"/>
        <v>1</v>
      </c>
      <c r="CV118" s="1047">
        <f t="shared" si="156"/>
        <v>1</v>
      </c>
      <c r="CW118" s="1047">
        <f t="shared" si="147"/>
        <v>1</v>
      </c>
      <c r="CX118" s="1047">
        <f t="shared" si="115"/>
        <v>1</v>
      </c>
      <c r="CY118" s="1047">
        <f t="shared" si="130"/>
        <v>1</v>
      </c>
      <c r="CZ118" s="95"/>
      <c r="DN118" s="108"/>
      <c r="DO118" s="108"/>
      <c r="DP118" s="108"/>
    </row>
    <row r="119" spans="1:120" ht="15" customHeight="1" x14ac:dyDescent="0.25">
      <c r="A119" s="1585" t="s">
        <v>1415</v>
      </c>
      <c r="B119" s="2119" t="s">
        <v>674</v>
      </c>
      <c r="C119" s="2120"/>
      <c r="D119" s="1376" t="s">
        <v>1616</v>
      </c>
      <c r="E119" s="389" t="s">
        <v>1617</v>
      </c>
      <c r="F119" s="582" t="s">
        <v>1618</v>
      </c>
      <c r="G119" s="450" t="s">
        <v>1619</v>
      </c>
      <c r="H119" s="451" t="s">
        <v>1620</v>
      </c>
      <c r="I119" s="450" t="s">
        <v>1621</v>
      </c>
      <c r="J119" s="451" t="s">
        <v>1622</v>
      </c>
      <c r="K119" s="450" t="s">
        <v>1623</v>
      </c>
      <c r="L119" s="451" t="s">
        <v>1624</v>
      </c>
      <c r="M119" s="450" t="s">
        <v>1625</v>
      </c>
      <c r="N119" s="451" t="s">
        <v>1626</v>
      </c>
      <c r="O119" s="450" t="s">
        <v>1627</v>
      </c>
      <c r="P119" s="451" t="s">
        <v>1628</v>
      </c>
      <c r="Q119" s="450" t="s">
        <v>1629</v>
      </c>
      <c r="R119" s="451" t="s">
        <v>1630</v>
      </c>
      <c r="S119" s="450" t="s">
        <v>1631</v>
      </c>
      <c r="T119" s="451" t="s">
        <v>1632</v>
      </c>
      <c r="U119" s="450" t="s">
        <v>1633</v>
      </c>
      <c r="V119" s="451" t="s">
        <v>1634</v>
      </c>
      <c r="W119" s="450" t="s">
        <v>1635</v>
      </c>
      <c r="X119" s="451" t="s">
        <v>1636</v>
      </c>
      <c r="Y119" s="450" t="s">
        <v>1637</v>
      </c>
      <c r="Z119" s="451" t="s">
        <v>1638</v>
      </c>
      <c r="AA119" s="450" t="s">
        <v>1639</v>
      </c>
      <c r="AB119" s="451" t="s">
        <v>1640</v>
      </c>
      <c r="AC119" s="450" t="s">
        <v>1641</v>
      </c>
      <c r="AD119" s="451" t="s">
        <v>1642</v>
      </c>
      <c r="AE119" s="450" t="s">
        <v>1643</v>
      </c>
      <c r="AF119" s="451" t="s">
        <v>1644</v>
      </c>
      <c r="AG119" s="450" t="s">
        <v>1645</v>
      </c>
      <c r="AH119" s="451" t="s">
        <v>1646</v>
      </c>
      <c r="AI119" s="450" t="s">
        <v>1647</v>
      </c>
      <c r="AJ119" s="451" t="s">
        <v>1648</v>
      </c>
      <c r="AK119" s="450" t="s">
        <v>1649</v>
      </c>
      <c r="AL119" s="451" t="s">
        <v>1650</v>
      </c>
      <c r="AM119" s="450" t="s">
        <v>1651</v>
      </c>
      <c r="AN119" s="451" t="s">
        <v>1652</v>
      </c>
      <c r="AO119" s="654" t="s">
        <v>1653</v>
      </c>
      <c r="AP119" s="1382" t="s">
        <v>1654</v>
      </c>
      <c r="AQ119" s="450" t="s">
        <v>1655</v>
      </c>
      <c r="AR119" s="668" t="s">
        <v>1656</v>
      </c>
      <c r="AS119" s="666" t="s">
        <v>1657</v>
      </c>
      <c r="AT119" s="451" t="s">
        <v>1658</v>
      </c>
      <c r="AU119" s="451" t="s">
        <v>1659</v>
      </c>
      <c r="AV119" s="451" t="s">
        <v>1660</v>
      </c>
      <c r="AW119" s="451" t="s">
        <v>1661</v>
      </c>
      <c r="AX119" s="451" t="s">
        <v>1662</v>
      </c>
      <c r="AY119" s="451" t="s">
        <v>1663</v>
      </c>
      <c r="AZ119" s="1056" t="str">
        <f>$CB119&amp;CC119&amp;CD119&amp;CE119&amp;CF119&amp;CG119&amp;CH119&amp;CI119&amp;CJ119&amp;CK119&amp;CL119</f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9" s="108"/>
      <c r="CB119" s="191" t="str">
        <f t="shared" si="149"/>
        <v xml:space="preserve"> * La variable Gestantes no puede ser Mayor al Total Mujeres.</v>
      </c>
      <c r="CC119" s="191" t="str">
        <f t="shared" si="150"/>
        <v xml:space="preserve"> * La variable Madre de hijo menor de 5 años no puede ser Mayor al Total Mujeres.</v>
      </c>
      <c r="CD119" s="191" t="str">
        <f t="shared" si="148"/>
        <v xml:space="preserve"> * La variable Pueblos Originarios Hombres no puede ser Mayor al Total Hombres.</v>
      </c>
      <c r="CE119" s="191" t="str">
        <f t="shared" si="122"/>
        <v xml:space="preserve"> * La variable Pueblos Originarios Mujeres no puede ser Mayor al Total Mujeres.</v>
      </c>
      <c r="CF119" s="191" t="str">
        <f t="shared" si="123"/>
        <v xml:space="preserve"> * La variable Migrantes Hombres no puede ser Mayor al Total Hombres.</v>
      </c>
      <c r="CG119" s="191" t="str">
        <f t="shared" si="124"/>
        <v xml:space="preserve"> * La variable Migrantes Mujeres no puede ser Mayor al Total Mujeres.</v>
      </c>
      <c r="CH119" s="191" t="str">
        <f t="shared" si="157"/>
        <v xml:space="preserve"> * La variable Niños, Niñas, Adolescentes y Jóvenes SENAME no puede ser Mayor al Total ambos sexos.</v>
      </c>
      <c r="CI119" s="191" t="str">
        <f t="shared" si="158"/>
        <v xml:space="preserve"> * La variable Niños y niñas Mejor Niñez no puede ser Mayor al Total ambos sexos.</v>
      </c>
      <c r="CJ119" s="191" t="str">
        <f t="shared" si="125"/>
        <v xml:space="preserve">* La variable Plan Cuidado Integral Elaborado debe ser menor o igual al Total de Personas en control. </v>
      </c>
      <c r="CK119" s="191" t="str">
        <f t="shared" si="119"/>
        <v xml:space="preserve"> * La variable Trans Masculino no debe ser mayor al Total Mujeres.</v>
      </c>
      <c r="CL119" s="191" t="str">
        <f t="shared" si="126"/>
        <v xml:space="preserve"> * La variable Trans Femenino no debe ser mayor al Total Hombre.</v>
      </c>
      <c r="CO119" s="1047">
        <f t="shared" si="153"/>
        <v>1</v>
      </c>
      <c r="CP119" s="1047">
        <f t="shared" si="154"/>
        <v>1</v>
      </c>
      <c r="CQ119" s="1047">
        <f t="shared" si="141"/>
        <v>1</v>
      </c>
      <c r="CR119" s="1047">
        <f t="shared" si="142"/>
        <v>1</v>
      </c>
      <c r="CS119" s="1047">
        <f t="shared" si="143"/>
        <v>1</v>
      </c>
      <c r="CT119" s="1047">
        <f t="shared" si="144"/>
        <v>1</v>
      </c>
      <c r="CU119" s="1047">
        <f t="shared" si="155"/>
        <v>1</v>
      </c>
      <c r="CV119" s="1047">
        <f t="shared" si="156"/>
        <v>1</v>
      </c>
      <c r="CW119" s="1047">
        <f t="shared" si="147"/>
        <v>1</v>
      </c>
      <c r="CX119" s="1047">
        <f t="shared" si="115"/>
        <v>1</v>
      </c>
      <c r="CY119" s="1047">
        <f t="shared" si="130"/>
        <v>1</v>
      </c>
      <c r="CZ119" s="95"/>
      <c r="DN119" s="108"/>
      <c r="DO119" s="108"/>
      <c r="DP119" s="108"/>
    </row>
    <row r="120" spans="1:120" ht="15" customHeight="1" x14ac:dyDescent="0.25">
      <c r="A120" s="1585" t="s">
        <v>1416</v>
      </c>
      <c r="B120" s="2176" t="s">
        <v>696</v>
      </c>
      <c r="C120" s="2177"/>
      <c r="D120" s="1143" t="s">
        <v>1616</v>
      </c>
      <c r="E120" s="391" t="s">
        <v>1617</v>
      </c>
      <c r="F120" s="386" t="s">
        <v>1618</v>
      </c>
      <c r="G120" s="403" t="s">
        <v>1619</v>
      </c>
      <c r="H120" s="404" t="s">
        <v>1620</v>
      </c>
      <c r="I120" s="403" t="s">
        <v>1621</v>
      </c>
      <c r="J120" s="404" t="s">
        <v>1622</v>
      </c>
      <c r="K120" s="403" t="s">
        <v>1623</v>
      </c>
      <c r="L120" s="404" t="s">
        <v>1624</v>
      </c>
      <c r="M120" s="403" t="s">
        <v>1625</v>
      </c>
      <c r="N120" s="404" t="s">
        <v>1626</v>
      </c>
      <c r="O120" s="403" t="s">
        <v>1627</v>
      </c>
      <c r="P120" s="404" t="s">
        <v>1628</v>
      </c>
      <c r="Q120" s="403" t="s">
        <v>1629</v>
      </c>
      <c r="R120" s="404" t="s">
        <v>1630</v>
      </c>
      <c r="S120" s="403" t="s">
        <v>1631</v>
      </c>
      <c r="T120" s="404" t="s">
        <v>1632</v>
      </c>
      <c r="U120" s="403" t="s">
        <v>1633</v>
      </c>
      <c r="V120" s="404" t="s">
        <v>1634</v>
      </c>
      <c r="W120" s="403" t="s">
        <v>1635</v>
      </c>
      <c r="X120" s="404" t="s">
        <v>1636</v>
      </c>
      <c r="Y120" s="403" t="s">
        <v>1637</v>
      </c>
      <c r="Z120" s="404" t="s">
        <v>1638</v>
      </c>
      <c r="AA120" s="403" t="s">
        <v>1639</v>
      </c>
      <c r="AB120" s="404" t="s">
        <v>1640</v>
      </c>
      <c r="AC120" s="403" t="s">
        <v>1641</v>
      </c>
      <c r="AD120" s="404" t="s">
        <v>1642</v>
      </c>
      <c r="AE120" s="403" t="s">
        <v>1643</v>
      </c>
      <c r="AF120" s="404" t="s">
        <v>1644</v>
      </c>
      <c r="AG120" s="403" t="s">
        <v>1645</v>
      </c>
      <c r="AH120" s="404" t="s">
        <v>1646</v>
      </c>
      <c r="AI120" s="403" t="s">
        <v>1647</v>
      </c>
      <c r="AJ120" s="404" t="s">
        <v>1648</v>
      </c>
      <c r="AK120" s="403" t="s">
        <v>1649</v>
      </c>
      <c r="AL120" s="404" t="s">
        <v>1650</v>
      </c>
      <c r="AM120" s="403" t="s">
        <v>1651</v>
      </c>
      <c r="AN120" s="404" t="s">
        <v>1652</v>
      </c>
      <c r="AO120" s="651" t="s">
        <v>1653</v>
      </c>
      <c r="AP120" s="652" t="s">
        <v>1654</v>
      </c>
      <c r="AQ120" s="403" t="s">
        <v>1655</v>
      </c>
      <c r="AR120" s="442" t="s">
        <v>1656</v>
      </c>
      <c r="AS120" s="464" t="s">
        <v>1657</v>
      </c>
      <c r="AT120" s="404" t="s">
        <v>1658</v>
      </c>
      <c r="AU120" s="404" t="s">
        <v>1659</v>
      </c>
      <c r="AV120" s="404" t="s">
        <v>1660</v>
      </c>
      <c r="AW120" s="404" t="s">
        <v>1661</v>
      </c>
      <c r="AX120" s="404" t="s">
        <v>1662</v>
      </c>
      <c r="AY120" s="404" t="s">
        <v>1663</v>
      </c>
      <c r="AZ120" s="1056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20" s="108"/>
      <c r="CB120" s="191" t="str">
        <f t="shared" si="149"/>
        <v xml:space="preserve"> * La variable Gestantes no puede ser Mayor al Total Mujeres.</v>
      </c>
      <c r="CC120" s="191" t="str">
        <f t="shared" si="150"/>
        <v xml:space="preserve"> * La variable Madre de hijo menor de 5 años no puede ser Mayor al Total Mujeres.</v>
      </c>
      <c r="CD120" s="191" t="str">
        <f t="shared" si="148"/>
        <v xml:space="preserve"> * La variable Pueblos Originarios Hombres no puede ser Mayor al Total Hombres.</v>
      </c>
      <c r="CE120" s="191" t="str">
        <f t="shared" si="122"/>
        <v xml:space="preserve"> * La variable Pueblos Originarios Mujeres no puede ser Mayor al Total Mujeres.</v>
      </c>
      <c r="CF120" s="191" t="str">
        <f t="shared" si="123"/>
        <v xml:space="preserve"> * La variable Migrantes Hombres no puede ser Mayor al Total Hombres.</v>
      </c>
      <c r="CG120" s="191" t="str">
        <f t="shared" si="124"/>
        <v xml:space="preserve"> * La variable Migrantes Mujeres no puede ser Mayor al Total Mujeres.</v>
      </c>
      <c r="CH120" s="191" t="str">
        <f t="shared" si="157"/>
        <v xml:space="preserve"> * La variable Niños, Niñas, Adolescentes y Jóvenes SENAME no puede ser Mayor al Total ambos sexos.</v>
      </c>
      <c r="CI120" s="191" t="str">
        <f t="shared" si="158"/>
        <v xml:space="preserve"> * La variable Niños y niñas Mejor Niñez no puede ser Mayor al Total ambos sexos.</v>
      </c>
      <c r="CJ120" s="191" t="str">
        <f t="shared" si="125"/>
        <v xml:space="preserve">* La variable Plan Cuidado Integral Elaborado debe ser menor o igual al Total de Personas en control. </v>
      </c>
      <c r="CK120" s="191" t="str">
        <f t="shared" si="119"/>
        <v xml:space="preserve"> * La variable Trans Masculino no debe ser mayor al Total Mujeres.</v>
      </c>
      <c r="CL120" s="191" t="str">
        <f t="shared" si="126"/>
        <v xml:space="preserve"> * La variable Trans Femenino no debe ser mayor al Total Hombre.</v>
      </c>
      <c r="CO120" s="1047">
        <f t="shared" si="153"/>
        <v>1</v>
      </c>
      <c r="CP120" s="1047">
        <f t="shared" si="154"/>
        <v>1</v>
      </c>
      <c r="CQ120" s="1047">
        <f t="shared" si="141"/>
        <v>1</v>
      </c>
      <c r="CR120" s="1047">
        <f t="shared" si="142"/>
        <v>1</v>
      </c>
      <c r="CS120" s="1047">
        <f t="shared" si="143"/>
        <v>1</v>
      </c>
      <c r="CT120" s="1047">
        <f t="shared" si="144"/>
        <v>1</v>
      </c>
      <c r="CU120" s="1047">
        <f t="shared" si="155"/>
        <v>1</v>
      </c>
      <c r="CV120" s="1047">
        <f t="shared" si="156"/>
        <v>1</v>
      </c>
      <c r="CW120" s="1047">
        <f t="shared" si="147"/>
        <v>1</v>
      </c>
      <c r="CX120" s="1047">
        <f t="shared" si="115"/>
        <v>1</v>
      </c>
      <c r="CY120" s="1047">
        <f t="shared" si="130"/>
        <v>1</v>
      </c>
      <c r="CZ120" s="95"/>
      <c r="DN120" s="108"/>
      <c r="DO120" s="108"/>
      <c r="DP120" s="108"/>
    </row>
    <row r="121" spans="1:120" ht="17.100000000000001" customHeight="1" x14ac:dyDescent="0.25">
      <c r="B121" s="1088" t="s">
        <v>697</v>
      </c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P121" s="227"/>
      <c r="W121" s="34"/>
      <c r="AU121" s="220"/>
    </row>
    <row r="122" spans="1:120" x14ac:dyDescent="0.25">
      <c r="B122" s="2153" t="s">
        <v>677</v>
      </c>
      <c r="C122" s="2153" t="s">
        <v>678</v>
      </c>
      <c r="D122" s="1998" t="s">
        <v>612</v>
      </c>
      <c r="E122" s="1998"/>
      <c r="F122" s="1998"/>
      <c r="G122" s="2187" t="s">
        <v>376</v>
      </c>
      <c r="H122" s="1998"/>
      <c r="I122" s="1998"/>
      <c r="J122" s="1998"/>
      <c r="K122" s="1998"/>
      <c r="L122" s="1998"/>
      <c r="M122" s="1998"/>
      <c r="N122" s="1998"/>
      <c r="O122" s="1998"/>
      <c r="P122" s="1998"/>
      <c r="Q122" s="1998"/>
      <c r="R122" s="1998"/>
      <c r="S122" s="1998"/>
      <c r="T122" s="1998"/>
      <c r="U122" s="1998"/>
      <c r="V122" s="1998"/>
      <c r="W122" s="1998"/>
      <c r="X122" s="1998"/>
      <c r="Y122" s="1998"/>
      <c r="Z122" s="1998"/>
      <c r="AA122" s="1998"/>
      <c r="AB122" s="1998"/>
      <c r="AC122" s="1998"/>
      <c r="AD122" s="1998"/>
      <c r="AE122" s="1998"/>
      <c r="AF122" s="1998"/>
      <c r="AG122" s="1998"/>
      <c r="AH122" s="1998"/>
      <c r="AI122" s="1998"/>
      <c r="AJ122" s="1998"/>
      <c r="AK122" s="1998"/>
      <c r="AL122" s="1998"/>
      <c r="AM122" s="1998"/>
      <c r="AN122" s="1998"/>
      <c r="AU122" s="220"/>
    </row>
    <row r="123" spans="1:120" ht="17.25" customHeight="1" x14ac:dyDescent="0.25">
      <c r="B123" s="2153"/>
      <c r="C123" s="2153"/>
      <c r="D123" s="1998"/>
      <c r="E123" s="1998"/>
      <c r="F123" s="1998"/>
      <c r="G123" s="1998" t="s">
        <v>404</v>
      </c>
      <c r="H123" s="1998"/>
      <c r="I123" s="1998" t="s">
        <v>405</v>
      </c>
      <c r="J123" s="1998"/>
      <c r="K123" s="1854" t="s">
        <v>317</v>
      </c>
      <c r="L123" s="1854"/>
      <c r="M123" s="1854" t="s">
        <v>57</v>
      </c>
      <c r="N123" s="1854"/>
      <c r="O123" s="1854" t="s">
        <v>58</v>
      </c>
      <c r="P123" s="1854"/>
      <c r="Q123" s="1854" t="s">
        <v>59</v>
      </c>
      <c r="R123" s="1854"/>
      <c r="S123" s="1854" t="s">
        <v>60</v>
      </c>
      <c r="T123" s="1854"/>
      <c r="U123" s="1854" t="s">
        <v>61</v>
      </c>
      <c r="V123" s="1854"/>
      <c r="W123" s="1854" t="s">
        <v>62</v>
      </c>
      <c r="X123" s="1854"/>
      <c r="Y123" s="1854" t="s">
        <v>63</v>
      </c>
      <c r="Z123" s="1854"/>
      <c r="AA123" s="1854" t="s">
        <v>64</v>
      </c>
      <c r="AB123" s="1854"/>
      <c r="AC123" s="1854" t="s">
        <v>65</v>
      </c>
      <c r="AD123" s="1854"/>
      <c r="AE123" s="1854" t="s">
        <v>66</v>
      </c>
      <c r="AF123" s="1854"/>
      <c r="AG123" s="2190" t="s">
        <v>67</v>
      </c>
      <c r="AH123" s="2190"/>
      <c r="AI123" s="2190" t="s">
        <v>406</v>
      </c>
      <c r="AJ123" s="2190"/>
      <c r="AK123" s="2190" t="s">
        <v>407</v>
      </c>
      <c r="AL123" s="2190"/>
      <c r="AM123" s="2079" t="s">
        <v>408</v>
      </c>
      <c r="AN123" s="2079"/>
    </row>
    <row r="124" spans="1:120" x14ac:dyDescent="0.25">
      <c r="B124" s="2153"/>
      <c r="C124" s="2153"/>
      <c r="D124" s="1493" t="s">
        <v>226</v>
      </c>
      <c r="E124" s="1404" t="s">
        <v>86</v>
      </c>
      <c r="F124" s="993" t="s">
        <v>227</v>
      </c>
      <c r="G124" s="1259" t="s">
        <v>86</v>
      </c>
      <c r="H124" s="993" t="s">
        <v>227</v>
      </c>
      <c r="I124" s="1259" t="s">
        <v>86</v>
      </c>
      <c r="J124" s="993" t="s">
        <v>227</v>
      </c>
      <c r="K124" s="1259" t="s">
        <v>86</v>
      </c>
      <c r="L124" s="993" t="s">
        <v>227</v>
      </c>
      <c r="M124" s="1259" t="s">
        <v>86</v>
      </c>
      <c r="N124" s="993" t="s">
        <v>227</v>
      </c>
      <c r="O124" s="1259" t="s">
        <v>86</v>
      </c>
      <c r="P124" s="993" t="s">
        <v>227</v>
      </c>
      <c r="Q124" s="1259" t="s">
        <v>86</v>
      </c>
      <c r="R124" s="993" t="s">
        <v>227</v>
      </c>
      <c r="S124" s="1259" t="s">
        <v>86</v>
      </c>
      <c r="T124" s="993" t="s">
        <v>227</v>
      </c>
      <c r="U124" s="1259" t="s">
        <v>86</v>
      </c>
      <c r="V124" s="993" t="s">
        <v>227</v>
      </c>
      <c r="W124" s="1259" t="s">
        <v>86</v>
      </c>
      <c r="X124" s="993" t="s">
        <v>227</v>
      </c>
      <c r="Y124" s="1259" t="s">
        <v>86</v>
      </c>
      <c r="Z124" s="993" t="s">
        <v>227</v>
      </c>
      <c r="AA124" s="1259" t="s">
        <v>86</v>
      </c>
      <c r="AB124" s="993" t="s">
        <v>227</v>
      </c>
      <c r="AC124" s="1259" t="s">
        <v>86</v>
      </c>
      <c r="AD124" s="993" t="s">
        <v>227</v>
      </c>
      <c r="AE124" s="1259" t="s">
        <v>86</v>
      </c>
      <c r="AF124" s="993" t="s">
        <v>227</v>
      </c>
      <c r="AG124" s="1259" t="s">
        <v>86</v>
      </c>
      <c r="AH124" s="993" t="s">
        <v>227</v>
      </c>
      <c r="AI124" s="1259" t="s">
        <v>86</v>
      </c>
      <c r="AJ124" s="993" t="s">
        <v>227</v>
      </c>
      <c r="AK124" s="1259" t="s">
        <v>86</v>
      </c>
      <c r="AL124" s="993" t="s">
        <v>227</v>
      </c>
      <c r="AM124" s="1259" t="s">
        <v>86</v>
      </c>
      <c r="AN124" s="993" t="s">
        <v>227</v>
      </c>
    </row>
    <row r="125" spans="1:120" ht="15" customHeight="1" x14ac:dyDescent="0.25">
      <c r="A125" s="1585" t="s">
        <v>1417</v>
      </c>
      <c r="B125" s="1074" t="s">
        <v>679</v>
      </c>
      <c r="C125" s="1074" t="s">
        <v>628</v>
      </c>
      <c r="D125" s="1150" t="s">
        <v>1616</v>
      </c>
      <c r="E125" s="1148" t="s">
        <v>1617</v>
      </c>
      <c r="F125" s="1075" t="s">
        <v>1618</v>
      </c>
      <c r="G125" s="1076" t="s">
        <v>1619</v>
      </c>
      <c r="H125" s="1077" t="s">
        <v>1620</v>
      </c>
      <c r="I125" s="1076" t="s">
        <v>1621</v>
      </c>
      <c r="J125" s="1077" t="s">
        <v>1622</v>
      </c>
      <c r="K125" s="1076" t="s">
        <v>1623</v>
      </c>
      <c r="L125" s="1084" t="s">
        <v>1624</v>
      </c>
      <c r="M125" s="1076" t="s">
        <v>1625</v>
      </c>
      <c r="N125" s="1084" t="s">
        <v>1626</v>
      </c>
      <c r="O125" s="1076" t="s">
        <v>1627</v>
      </c>
      <c r="P125" s="1084" t="s">
        <v>1628</v>
      </c>
      <c r="Q125" s="1076" t="s">
        <v>1629</v>
      </c>
      <c r="R125" s="1077" t="s">
        <v>1630</v>
      </c>
      <c r="S125" s="1076" t="s">
        <v>1631</v>
      </c>
      <c r="T125" s="1077" t="s">
        <v>1632</v>
      </c>
      <c r="U125" s="1076" t="s">
        <v>1633</v>
      </c>
      <c r="V125" s="1084" t="s">
        <v>1634</v>
      </c>
      <c r="W125" s="1076" t="s">
        <v>1635</v>
      </c>
      <c r="X125" s="1084" t="s">
        <v>1636</v>
      </c>
      <c r="Y125" s="1076" t="s">
        <v>1637</v>
      </c>
      <c r="Z125" s="1084" t="s">
        <v>1638</v>
      </c>
      <c r="AA125" s="1076" t="s">
        <v>1639</v>
      </c>
      <c r="AB125" s="1077" t="s">
        <v>1640</v>
      </c>
      <c r="AC125" s="1076" t="s">
        <v>1641</v>
      </c>
      <c r="AD125" s="1077" t="s">
        <v>1642</v>
      </c>
      <c r="AE125" s="1076" t="s">
        <v>1643</v>
      </c>
      <c r="AF125" s="1084" t="s">
        <v>1644</v>
      </c>
      <c r="AG125" s="1076" t="s">
        <v>1645</v>
      </c>
      <c r="AH125" s="1084" t="s">
        <v>1646</v>
      </c>
      <c r="AI125" s="1076" t="s">
        <v>1647</v>
      </c>
      <c r="AJ125" s="1084" t="s">
        <v>1648</v>
      </c>
      <c r="AK125" s="1076" t="s">
        <v>1649</v>
      </c>
      <c r="AL125" s="1084" t="s">
        <v>1650</v>
      </c>
      <c r="AM125" s="1076" t="s">
        <v>1651</v>
      </c>
      <c r="AN125" s="1078" t="s">
        <v>1652</v>
      </c>
      <c r="AO125" s="220"/>
    </row>
    <row r="126" spans="1:120" ht="15" customHeight="1" x14ac:dyDescent="0.25">
      <c r="A126" s="1585" t="s">
        <v>1418</v>
      </c>
      <c r="B126" s="1079" t="s">
        <v>680</v>
      </c>
      <c r="C126" s="1079" t="s">
        <v>628</v>
      </c>
      <c r="D126" s="1151" t="s">
        <v>1616</v>
      </c>
      <c r="E126" s="1149" t="s">
        <v>1617</v>
      </c>
      <c r="F126" s="1080" t="s">
        <v>1618</v>
      </c>
      <c r="G126" s="1081" t="s">
        <v>1619</v>
      </c>
      <c r="H126" s="1082" t="s">
        <v>1620</v>
      </c>
      <c r="I126" s="1081" t="s">
        <v>1621</v>
      </c>
      <c r="J126" s="1082" t="s">
        <v>1622</v>
      </c>
      <c r="K126" s="1081" t="s">
        <v>1623</v>
      </c>
      <c r="L126" s="1085" t="s">
        <v>1624</v>
      </c>
      <c r="M126" s="1081" t="s">
        <v>1625</v>
      </c>
      <c r="N126" s="1085" t="s">
        <v>1626</v>
      </c>
      <c r="O126" s="1081" t="s">
        <v>1627</v>
      </c>
      <c r="P126" s="1085" t="s">
        <v>1628</v>
      </c>
      <c r="Q126" s="1081" t="s">
        <v>1629</v>
      </c>
      <c r="R126" s="1082" t="s">
        <v>1630</v>
      </c>
      <c r="S126" s="1081" t="s">
        <v>1631</v>
      </c>
      <c r="T126" s="1082" t="s">
        <v>1632</v>
      </c>
      <c r="U126" s="1081" t="s">
        <v>1633</v>
      </c>
      <c r="V126" s="1085" t="s">
        <v>1634</v>
      </c>
      <c r="W126" s="1081" t="s">
        <v>1635</v>
      </c>
      <c r="X126" s="1085" t="s">
        <v>1636</v>
      </c>
      <c r="Y126" s="1081" t="s">
        <v>1637</v>
      </c>
      <c r="Z126" s="1085" t="s">
        <v>1638</v>
      </c>
      <c r="AA126" s="1081" t="s">
        <v>1639</v>
      </c>
      <c r="AB126" s="1082" t="s">
        <v>1640</v>
      </c>
      <c r="AC126" s="1081" t="s">
        <v>1641</v>
      </c>
      <c r="AD126" s="1082" t="s">
        <v>1642</v>
      </c>
      <c r="AE126" s="1081" t="s">
        <v>1643</v>
      </c>
      <c r="AF126" s="1085" t="s">
        <v>1644</v>
      </c>
      <c r="AG126" s="1081" t="s">
        <v>1645</v>
      </c>
      <c r="AH126" s="1085" t="s">
        <v>1646</v>
      </c>
      <c r="AI126" s="1081" t="s">
        <v>1647</v>
      </c>
      <c r="AJ126" s="1085" t="s">
        <v>1648</v>
      </c>
      <c r="AK126" s="1081" t="s">
        <v>1649</v>
      </c>
      <c r="AL126" s="1085" t="s">
        <v>1650</v>
      </c>
      <c r="AM126" s="1081" t="s">
        <v>1651</v>
      </c>
      <c r="AN126" s="1083" t="s">
        <v>1652</v>
      </c>
      <c r="AO126" s="220"/>
    </row>
    <row r="129" spans="1:235" x14ac:dyDescent="0.25">
      <c r="A129" s="108" t="s">
        <v>1292</v>
      </c>
    </row>
    <row r="130" spans="1:235" x14ac:dyDescent="0.25">
      <c r="A130" s="1589" t="s">
        <v>1419</v>
      </c>
    </row>
    <row r="131" spans="1:235" x14ac:dyDescent="0.25">
      <c r="A131" s="1589" t="s">
        <v>1420</v>
      </c>
    </row>
    <row r="132" spans="1:235" s="193" customFormat="1" x14ac:dyDescent="0.25">
      <c r="A132" s="1589" t="s">
        <v>1421</v>
      </c>
      <c r="B132" s="108"/>
      <c r="C132" s="108"/>
      <c r="D132" s="108"/>
      <c r="E132" s="108"/>
      <c r="F132" s="108"/>
      <c r="G132" s="108"/>
      <c r="H132" s="108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108"/>
      <c r="Y132" s="108"/>
      <c r="Z132" s="108"/>
      <c r="AA132" s="108"/>
      <c r="AB132" s="108"/>
      <c r="AC132" s="108"/>
      <c r="AD132" s="108"/>
      <c r="AE132" s="108"/>
      <c r="AF132" s="108"/>
      <c r="AG132" s="108"/>
      <c r="AH132" s="108"/>
      <c r="AI132" s="108"/>
      <c r="AJ132" s="108"/>
      <c r="AK132" s="108"/>
      <c r="AL132" s="108"/>
      <c r="AM132" s="108"/>
      <c r="AN132" s="108"/>
      <c r="AO132" s="108"/>
      <c r="AP132" s="108"/>
      <c r="AQ132" s="108"/>
      <c r="AR132" s="108"/>
      <c r="AS132" s="108"/>
      <c r="AT132" s="108"/>
      <c r="AU132" s="108"/>
      <c r="AV132" s="108"/>
      <c r="AW132" s="108"/>
      <c r="AX132" s="108"/>
      <c r="AY132" s="108"/>
      <c r="AZ132" s="108"/>
      <c r="BA132" s="108"/>
      <c r="BB132" s="108"/>
      <c r="BC132" s="108"/>
      <c r="BD132" s="606"/>
      <c r="BE132" s="606"/>
      <c r="BF132" s="606"/>
      <c r="BG132" s="606"/>
      <c r="BH132" s="606"/>
      <c r="BI132" s="606"/>
      <c r="BJ132" s="606"/>
      <c r="BK132" s="606"/>
      <c r="BL132" s="606"/>
      <c r="BM132" s="606"/>
      <c r="BN132" s="606"/>
      <c r="BO132" s="606"/>
      <c r="BP132" s="606"/>
      <c r="BQ132" s="606"/>
      <c r="BR132" s="606"/>
      <c r="BS132" s="606"/>
      <c r="BT132" s="606"/>
      <c r="BU132" s="606"/>
      <c r="BV132" s="606"/>
      <c r="BW132" s="606"/>
      <c r="BX132" s="606"/>
      <c r="BY132" s="606"/>
      <c r="BZ132" s="606"/>
      <c r="CA132" s="606"/>
      <c r="CB132" s="606"/>
      <c r="CC132" s="606"/>
      <c r="CD132" s="606"/>
      <c r="CE132" s="606"/>
      <c r="CF132" s="606"/>
      <c r="CG132" s="606"/>
      <c r="CH132" s="606"/>
      <c r="CI132" s="606"/>
      <c r="CJ132" s="606"/>
      <c r="CK132" s="606"/>
      <c r="CL132" s="606"/>
      <c r="CM132" s="606"/>
      <c r="CN132" s="606"/>
      <c r="CO132" s="606"/>
      <c r="CP132" s="606"/>
      <c r="CQ132" s="606"/>
      <c r="CR132" s="606"/>
      <c r="CS132" s="606"/>
      <c r="CT132" s="606"/>
      <c r="CU132" s="606"/>
      <c r="CV132" s="606"/>
      <c r="CW132" s="606"/>
      <c r="CX132" s="606"/>
      <c r="CY132" s="606"/>
      <c r="CZ132" s="606"/>
      <c r="DA132" s="606"/>
      <c r="DB132" s="606"/>
      <c r="DC132" s="606"/>
      <c r="DD132" s="606"/>
      <c r="DE132" s="606"/>
      <c r="DF132" s="606"/>
      <c r="DG132" s="606"/>
      <c r="DH132" s="606"/>
      <c r="DI132" s="606"/>
      <c r="DJ132" s="606"/>
      <c r="DK132" s="606"/>
      <c r="DL132" s="606"/>
      <c r="DM132" s="606"/>
      <c r="DN132" s="606"/>
      <c r="DO132" s="606"/>
      <c r="DP132" s="606"/>
      <c r="DQ132" s="606"/>
      <c r="DR132" s="606"/>
      <c r="DS132" s="606"/>
      <c r="DT132" s="606"/>
      <c r="DU132" s="606"/>
      <c r="DV132" s="606"/>
      <c r="DW132" s="606"/>
      <c r="DX132" s="606"/>
      <c r="DY132" s="606"/>
      <c r="DZ132" s="606"/>
      <c r="EA132" s="606"/>
      <c r="EB132" s="606"/>
      <c r="EC132" s="606"/>
      <c r="ED132" s="606"/>
      <c r="EE132" s="606"/>
      <c r="EF132" s="606"/>
      <c r="EG132" s="606"/>
      <c r="EH132" s="606"/>
      <c r="EI132" s="606"/>
      <c r="EJ132" s="606"/>
      <c r="EK132" s="606"/>
      <c r="EL132" s="606"/>
      <c r="EM132" s="606"/>
      <c r="EN132" s="606"/>
      <c r="EO132" s="606"/>
      <c r="EP132" s="606"/>
      <c r="EQ132" s="606"/>
      <c r="ER132" s="606"/>
      <c r="ES132" s="606"/>
      <c r="ET132" s="606"/>
      <c r="EU132" s="606"/>
      <c r="EV132" s="606"/>
      <c r="EW132" s="606"/>
      <c r="EX132" s="606"/>
      <c r="EY132" s="606"/>
      <c r="EZ132" s="606"/>
      <c r="FA132" s="606"/>
      <c r="FB132" s="606"/>
      <c r="FC132" s="606"/>
      <c r="FD132" s="606"/>
      <c r="FE132" s="606"/>
      <c r="FF132" s="606"/>
      <c r="FG132" s="606"/>
      <c r="FH132" s="606"/>
      <c r="FI132" s="606"/>
      <c r="FJ132" s="606"/>
      <c r="FK132" s="606"/>
      <c r="FL132" s="606"/>
      <c r="FM132" s="606"/>
      <c r="FN132" s="606"/>
      <c r="FO132" s="606"/>
      <c r="FP132" s="606"/>
      <c r="FQ132" s="606"/>
      <c r="FR132" s="606"/>
      <c r="FS132" s="606"/>
      <c r="FT132" s="606"/>
      <c r="FU132" s="606"/>
      <c r="FV132" s="606"/>
      <c r="FW132" s="606"/>
      <c r="FX132" s="606"/>
      <c r="FY132" s="606"/>
      <c r="FZ132" s="606"/>
      <c r="GA132" s="606"/>
      <c r="GB132" s="606"/>
      <c r="GC132" s="606"/>
      <c r="GD132" s="606"/>
      <c r="GE132" s="606"/>
      <c r="GF132" s="606"/>
      <c r="GG132" s="606"/>
      <c r="GH132" s="606"/>
      <c r="GI132" s="606"/>
      <c r="GJ132" s="606"/>
      <c r="GK132" s="606"/>
      <c r="GL132" s="606"/>
      <c r="GM132" s="606"/>
      <c r="GN132" s="606"/>
      <c r="GO132" s="606"/>
      <c r="GP132" s="606"/>
      <c r="GQ132" s="606"/>
      <c r="GR132" s="606"/>
      <c r="GS132" s="606"/>
      <c r="GT132" s="606"/>
      <c r="GU132" s="606"/>
      <c r="GV132" s="606"/>
      <c r="GW132" s="606"/>
      <c r="GX132" s="606"/>
      <c r="GY132" s="606"/>
      <c r="GZ132" s="606"/>
      <c r="HA132" s="606"/>
      <c r="HB132" s="606"/>
      <c r="HC132" s="606"/>
      <c r="HD132" s="606"/>
      <c r="HE132" s="606"/>
      <c r="HF132" s="606"/>
      <c r="HG132" s="606"/>
      <c r="HH132" s="606"/>
      <c r="HI132" s="606"/>
      <c r="HJ132" s="606"/>
      <c r="HK132" s="606"/>
      <c r="HL132" s="606"/>
      <c r="HM132" s="606"/>
      <c r="HN132" s="606"/>
      <c r="HO132" s="606"/>
      <c r="HP132" s="606"/>
      <c r="HQ132" s="606"/>
      <c r="HR132" s="606"/>
      <c r="HS132" s="606"/>
      <c r="HT132" s="606"/>
      <c r="HU132" s="606"/>
      <c r="HV132" s="606"/>
      <c r="HW132" s="606"/>
      <c r="HX132" s="606"/>
      <c r="HY132" s="606"/>
      <c r="HZ132" s="606"/>
      <c r="IA132" s="606"/>
    </row>
    <row r="133" spans="1:235" s="193" customFormat="1" x14ac:dyDescent="0.25">
      <c r="A133" s="1589" t="s">
        <v>1422</v>
      </c>
      <c r="B133" s="108"/>
      <c r="C133" s="108"/>
      <c r="D133" s="108"/>
      <c r="E133" s="108"/>
      <c r="F133" s="108"/>
      <c r="G133" s="108"/>
      <c r="H133" s="108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108"/>
      <c r="Y133" s="108"/>
      <c r="Z133" s="108"/>
      <c r="AA133" s="108"/>
      <c r="AB133" s="108"/>
      <c r="AC133" s="108"/>
      <c r="AD133" s="108"/>
      <c r="AE133" s="108"/>
      <c r="AF133" s="108"/>
      <c r="AG133" s="108"/>
      <c r="AH133" s="108"/>
      <c r="AI133" s="108"/>
      <c r="AJ133" s="108"/>
      <c r="AK133" s="108"/>
      <c r="AL133" s="108"/>
      <c r="AM133" s="108"/>
      <c r="AN133" s="108"/>
      <c r="AO133" s="108"/>
      <c r="AP133" s="108"/>
      <c r="AQ133" s="108"/>
      <c r="AR133" s="108"/>
      <c r="AS133" s="108"/>
      <c r="AT133" s="108"/>
      <c r="AU133" s="108"/>
      <c r="AV133" s="108"/>
      <c r="AW133" s="108"/>
      <c r="AX133" s="108"/>
      <c r="AY133" s="108"/>
      <c r="AZ133" s="108"/>
      <c r="BA133" s="108"/>
      <c r="BB133" s="108"/>
      <c r="BC133" s="108"/>
      <c r="BD133" s="606"/>
      <c r="BE133" s="606"/>
      <c r="BF133" s="606"/>
      <c r="BG133" s="606"/>
      <c r="BH133" s="606"/>
      <c r="BI133" s="606"/>
      <c r="BJ133" s="606"/>
      <c r="BK133" s="606"/>
      <c r="BL133" s="606"/>
      <c r="BM133" s="606"/>
      <c r="BN133" s="606"/>
      <c r="BO133" s="606"/>
      <c r="BP133" s="606"/>
      <c r="BQ133" s="606"/>
      <c r="BR133" s="606"/>
      <c r="BS133" s="606"/>
      <c r="BT133" s="606"/>
      <c r="BU133" s="606"/>
      <c r="BV133" s="606"/>
      <c r="BW133" s="606"/>
      <c r="BX133" s="606"/>
      <c r="BY133" s="606"/>
      <c r="BZ133" s="606"/>
      <c r="CA133" s="606"/>
      <c r="CB133" s="606"/>
      <c r="CC133" s="606"/>
      <c r="CD133" s="606"/>
      <c r="CE133" s="606"/>
      <c r="CF133" s="606"/>
      <c r="CG133" s="606"/>
      <c r="CH133" s="606"/>
      <c r="CI133" s="606"/>
      <c r="CJ133" s="606"/>
      <c r="CK133" s="606"/>
      <c r="CL133" s="606"/>
      <c r="CM133" s="606"/>
      <c r="CN133" s="606"/>
      <c r="CO133" s="606"/>
      <c r="CP133" s="606"/>
      <c r="CQ133" s="606"/>
      <c r="CR133" s="606"/>
      <c r="CS133" s="606"/>
      <c r="CT133" s="606"/>
      <c r="CU133" s="606"/>
      <c r="CV133" s="606"/>
      <c r="CW133" s="606"/>
      <c r="CX133" s="606"/>
      <c r="CY133" s="606"/>
      <c r="CZ133" s="606"/>
      <c r="DA133" s="606"/>
      <c r="DB133" s="606"/>
      <c r="DC133" s="606"/>
      <c r="DD133" s="606"/>
      <c r="DE133" s="606"/>
      <c r="DF133" s="606"/>
      <c r="DG133" s="606"/>
      <c r="DH133" s="606"/>
      <c r="DI133" s="606"/>
      <c r="DJ133" s="606"/>
      <c r="DK133" s="606"/>
      <c r="DL133" s="606"/>
      <c r="DM133" s="606"/>
      <c r="DN133" s="606"/>
      <c r="DO133" s="606"/>
      <c r="DP133" s="606"/>
      <c r="DQ133" s="606"/>
      <c r="DR133" s="606"/>
      <c r="DS133" s="606"/>
      <c r="DT133" s="606"/>
      <c r="DU133" s="606"/>
      <c r="DV133" s="606"/>
      <c r="DW133" s="606"/>
      <c r="DX133" s="606"/>
      <c r="DY133" s="606"/>
      <c r="DZ133" s="606"/>
      <c r="EA133" s="606"/>
      <c r="EB133" s="606"/>
      <c r="EC133" s="606"/>
      <c r="ED133" s="606"/>
      <c r="EE133" s="606"/>
      <c r="EF133" s="606"/>
      <c r="EG133" s="606"/>
      <c r="EH133" s="606"/>
      <c r="EI133" s="606"/>
      <c r="EJ133" s="606"/>
      <c r="EK133" s="606"/>
      <c r="EL133" s="606"/>
      <c r="EM133" s="606"/>
      <c r="EN133" s="606"/>
      <c r="EO133" s="606"/>
      <c r="EP133" s="606"/>
      <c r="EQ133" s="606"/>
      <c r="ER133" s="606"/>
      <c r="ES133" s="606"/>
      <c r="ET133" s="606"/>
      <c r="EU133" s="606"/>
      <c r="EV133" s="606"/>
      <c r="EW133" s="606"/>
      <c r="EX133" s="606"/>
      <c r="EY133" s="606"/>
      <c r="EZ133" s="606"/>
      <c r="FA133" s="606"/>
      <c r="FB133" s="606"/>
      <c r="FC133" s="606"/>
      <c r="FD133" s="606"/>
      <c r="FE133" s="606"/>
      <c r="FF133" s="606"/>
      <c r="FG133" s="606"/>
      <c r="FH133" s="606"/>
      <c r="FI133" s="606"/>
      <c r="FJ133" s="606"/>
      <c r="FK133" s="606"/>
      <c r="FL133" s="606"/>
      <c r="FM133" s="606"/>
      <c r="FN133" s="606"/>
      <c r="FO133" s="606"/>
      <c r="FP133" s="606"/>
      <c r="FQ133" s="606"/>
      <c r="FR133" s="606"/>
      <c r="FS133" s="606"/>
      <c r="FT133" s="606"/>
      <c r="FU133" s="606"/>
      <c r="FV133" s="606"/>
      <c r="FW133" s="606"/>
      <c r="FX133" s="606"/>
      <c r="FY133" s="606"/>
      <c r="FZ133" s="606"/>
      <c r="GA133" s="606"/>
      <c r="GB133" s="606"/>
      <c r="GC133" s="606"/>
      <c r="GD133" s="606"/>
      <c r="GE133" s="606"/>
      <c r="GF133" s="606"/>
      <c r="GG133" s="606"/>
      <c r="GH133" s="606"/>
      <c r="GI133" s="606"/>
      <c r="GJ133" s="606"/>
      <c r="GK133" s="606"/>
      <c r="GL133" s="606"/>
      <c r="GM133" s="606"/>
      <c r="GN133" s="606"/>
      <c r="GO133" s="606"/>
      <c r="GP133" s="606"/>
      <c r="GQ133" s="606"/>
      <c r="GR133" s="606"/>
      <c r="GS133" s="606"/>
      <c r="GT133" s="606"/>
      <c r="GU133" s="606"/>
      <c r="GV133" s="606"/>
      <c r="GW133" s="606"/>
      <c r="GX133" s="606"/>
      <c r="GY133" s="606"/>
      <c r="GZ133" s="606"/>
      <c r="HA133" s="606"/>
      <c r="HB133" s="606"/>
      <c r="HC133" s="606"/>
      <c r="HD133" s="606"/>
      <c r="HE133" s="606"/>
      <c r="HF133" s="606"/>
      <c r="HG133" s="606"/>
      <c r="HH133" s="606"/>
      <c r="HI133" s="606"/>
      <c r="HJ133" s="606"/>
      <c r="HK133" s="606"/>
      <c r="HL133" s="606"/>
      <c r="HM133" s="606"/>
      <c r="HN133" s="606"/>
      <c r="HO133" s="606"/>
      <c r="HP133" s="606"/>
      <c r="HQ133" s="606"/>
      <c r="HR133" s="606"/>
      <c r="HS133" s="606"/>
      <c r="HT133" s="606"/>
      <c r="HU133" s="606"/>
      <c r="HV133" s="606"/>
      <c r="HW133" s="606"/>
      <c r="HX133" s="606"/>
      <c r="HY133" s="606"/>
      <c r="HZ133" s="606"/>
      <c r="IA133" s="606"/>
    </row>
    <row r="134" spans="1:235" x14ac:dyDescent="0.25">
      <c r="A134" s="108" t="s">
        <v>1017</v>
      </c>
    </row>
    <row r="135" spans="1:235" x14ac:dyDescent="0.25">
      <c r="A135" s="1593" t="s">
        <v>1325</v>
      </c>
    </row>
    <row r="136" spans="1:235" x14ac:dyDescent="0.25">
      <c r="A136" s="1593" t="s">
        <v>1326</v>
      </c>
    </row>
    <row r="137" spans="1:235" x14ac:dyDescent="0.25">
      <c r="A137" s="1593" t="s">
        <v>1327</v>
      </c>
    </row>
    <row r="138" spans="1:235" x14ac:dyDescent="0.25">
      <c r="A138" s="1593" t="s">
        <v>1328</v>
      </c>
    </row>
    <row r="139" spans="1:235" x14ac:dyDescent="0.25">
      <c r="A139" s="1593" t="s">
        <v>1329</v>
      </c>
    </row>
    <row r="140" spans="1:235" x14ac:dyDescent="0.25">
      <c r="A140" s="1593" t="s">
        <v>1330</v>
      </c>
    </row>
    <row r="141" spans="1:235" x14ac:dyDescent="0.25">
      <c r="A141" s="1593" t="s">
        <v>1373</v>
      </c>
    </row>
    <row r="142" spans="1:235" x14ac:dyDescent="0.25">
      <c r="A142" s="1593" t="s">
        <v>1374</v>
      </c>
    </row>
    <row r="143" spans="1:235" ht="19.5" customHeight="1" x14ac:dyDescent="0.25">
      <c r="A143" s="1593" t="s">
        <v>1375</v>
      </c>
    </row>
    <row r="144" spans="1:235" x14ac:dyDescent="0.25">
      <c r="A144" s="1593" t="s">
        <v>1376</v>
      </c>
    </row>
    <row r="145" spans="1:3" ht="15" customHeight="1" x14ac:dyDescent="0.25">
      <c r="A145" s="1593" t="s">
        <v>1377</v>
      </c>
    </row>
    <row r="146" spans="1:3" x14ac:dyDescent="0.25">
      <c r="A146" s="1593" t="s">
        <v>1378</v>
      </c>
      <c r="B146" s="1475">
        <f>SUM(D13:D58,D63:D64,D69,D75:D120,D125:D126)</f>
        <v>0</v>
      </c>
      <c r="C146" s="193" t="s">
        <v>206</v>
      </c>
    </row>
    <row r="147" spans="1:3" x14ac:dyDescent="0.25">
      <c r="B147" s="1475">
        <f>SUM(CO13:CY120)</f>
        <v>952</v>
      </c>
      <c r="C147" s="193" t="s">
        <v>207</v>
      </c>
    </row>
    <row r="148" spans="1:3" ht="15" customHeight="1" x14ac:dyDescent="0.25"/>
    <row r="149" spans="1:3" ht="15" customHeight="1" x14ac:dyDescent="0.25"/>
    <row r="150" spans="1:3" ht="15" customHeight="1" x14ac:dyDescent="0.25"/>
    <row r="151" spans="1:3" ht="15" customHeight="1" x14ac:dyDescent="0.25"/>
    <row r="152" spans="1:3" ht="15" customHeight="1" x14ac:dyDescent="0.25"/>
    <row r="153" spans="1:3" ht="15" customHeight="1" x14ac:dyDescent="0.25"/>
    <row r="154" spans="1:3" ht="15" customHeight="1" x14ac:dyDescent="0.25"/>
    <row r="155" spans="1:3" ht="15" customHeight="1" x14ac:dyDescent="0.25"/>
  </sheetData>
  <dataConsolidate/>
  <mergeCells count="184">
    <mergeCell ref="DU11:DU12"/>
    <mergeCell ref="DU73:DU74"/>
    <mergeCell ref="O67:P67"/>
    <mergeCell ref="AX10:AY11"/>
    <mergeCell ref="AO10:AO12"/>
    <mergeCell ref="AU10:AU12"/>
    <mergeCell ref="AS10:AT11"/>
    <mergeCell ref="AW10:AW12"/>
    <mergeCell ref="AC11:AD11"/>
    <mergeCell ref="Y11:Z11"/>
    <mergeCell ref="S11:T11"/>
    <mergeCell ref="W61:X61"/>
    <mergeCell ref="AV10:AV12"/>
    <mergeCell ref="AQ10:AR11"/>
    <mergeCell ref="Y61:Z61"/>
    <mergeCell ref="AA61:AB61"/>
    <mergeCell ref="AC61:AD61"/>
    <mergeCell ref="AA11:AB11"/>
    <mergeCell ref="AS72:AT73"/>
    <mergeCell ref="AO72:AO74"/>
    <mergeCell ref="AP72:AP74"/>
    <mergeCell ref="AQ72:AR73"/>
    <mergeCell ref="AW72:AW74"/>
    <mergeCell ref="O11:P11"/>
    <mergeCell ref="U123:V123"/>
    <mergeCell ref="W123:X123"/>
    <mergeCell ref="AX72:AY73"/>
    <mergeCell ref="AU72:AU74"/>
    <mergeCell ref="CJ11:CJ12"/>
    <mergeCell ref="CI11:CI12"/>
    <mergeCell ref="AP10:AP12"/>
    <mergeCell ref="AK9:AL9"/>
    <mergeCell ref="AK61:AL61"/>
    <mergeCell ref="AG73:AH73"/>
    <mergeCell ref="AA73:AB73"/>
    <mergeCell ref="AI73:AJ73"/>
    <mergeCell ref="AM73:AN73"/>
    <mergeCell ref="W73:X73"/>
    <mergeCell ref="AV72:AV74"/>
    <mergeCell ref="AC9:AD9"/>
    <mergeCell ref="AA9:AB9"/>
    <mergeCell ref="AE9:AF9"/>
    <mergeCell ref="AI9:AJ9"/>
    <mergeCell ref="G60:AN60"/>
    <mergeCell ref="G61:H61"/>
    <mergeCell ref="I61:J61"/>
    <mergeCell ref="K61:L61"/>
    <mergeCell ref="AM61:AN61"/>
    <mergeCell ref="K11:L11"/>
    <mergeCell ref="S73:T73"/>
    <mergeCell ref="Q73:R73"/>
    <mergeCell ref="Y73:Z73"/>
    <mergeCell ref="U73:V73"/>
    <mergeCell ref="G11:H11"/>
    <mergeCell ref="I11:J11"/>
    <mergeCell ref="Q61:R61"/>
    <mergeCell ref="AG61:AH61"/>
    <mergeCell ref="M67:N67"/>
    <mergeCell ref="AI61:AJ61"/>
    <mergeCell ref="O123:P123"/>
    <mergeCell ref="Q66:R67"/>
    <mergeCell ref="G72:AN72"/>
    <mergeCell ref="M123:N123"/>
    <mergeCell ref="Q123:R123"/>
    <mergeCell ref="S123:T123"/>
    <mergeCell ref="AM123:AN123"/>
    <mergeCell ref="AA123:AB123"/>
    <mergeCell ref="AC123:AD123"/>
    <mergeCell ref="AE123:AF123"/>
    <mergeCell ref="AG123:AH123"/>
    <mergeCell ref="AI123:AJ123"/>
    <mergeCell ref="AK123:AL123"/>
    <mergeCell ref="AC73:AD73"/>
    <mergeCell ref="G122:AN122"/>
    <mergeCell ref="Y123:Z123"/>
    <mergeCell ref="I123:J123"/>
    <mergeCell ref="G123:H123"/>
    <mergeCell ref="K123:L123"/>
    <mergeCell ref="G73:H73"/>
    <mergeCell ref="I73:J73"/>
    <mergeCell ref="AK73:AL73"/>
    <mergeCell ref="AE73:AF73"/>
    <mergeCell ref="B7:V7"/>
    <mergeCell ref="I9:J9"/>
    <mergeCell ref="K9:L9"/>
    <mergeCell ref="M9:N9"/>
    <mergeCell ref="B10:C12"/>
    <mergeCell ref="D10:F11"/>
    <mergeCell ref="B9:H9"/>
    <mergeCell ref="O9:P9"/>
    <mergeCell ref="Q9:R9"/>
    <mergeCell ref="S9:T9"/>
    <mergeCell ref="G10:AN10"/>
    <mergeCell ref="U11:V11"/>
    <mergeCell ref="U9:V9"/>
    <mergeCell ref="M11:N11"/>
    <mergeCell ref="W9:X9"/>
    <mergeCell ref="Y9:Z9"/>
    <mergeCell ref="AK11:AL11"/>
    <mergeCell ref="AE11:AF11"/>
    <mergeCell ref="AG11:AH11"/>
    <mergeCell ref="AI11:AJ11"/>
    <mergeCell ref="AG9:AH9"/>
    <mergeCell ref="AM9:AN9"/>
    <mergeCell ref="AM11:AN11"/>
    <mergeCell ref="Q11:R11"/>
    <mergeCell ref="D66:F67"/>
    <mergeCell ref="B17:B18"/>
    <mergeCell ref="B69:C69"/>
    <mergeCell ref="B75:C75"/>
    <mergeCell ref="K73:L73"/>
    <mergeCell ref="B71:P71"/>
    <mergeCell ref="B72:C74"/>
    <mergeCell ref="D72:F73"/>
    <mergeCell ref="C122:C124"/>
    <mergeCell ref="B97:B100"/>
    <mergeCell ref="B86:C86"/>
    <mergeCell ref="B92:B96"/>
    <mergeCell ref="B106:B108"/>
    <mergeCell ref="B111:C111"/>
    <mergeCell ref="B113:C113"/>
    <mergeCell ref="B87:B91"/>
    <mergeCell ref="B101:B105"/>
    <mergeCell ref="B120:C120"/>
    <mergeCell ref="B122:B124"/>
    <mergeCell ref="B114:B118"/>
    <mergeCell ref="B112:C112"/>
    <mergeCell ref="B109:C109"/>
    <mergeCell ref="B84:B85"/>
    <mergeCell ref="D122:F123"/>
    <mergeCell ref="B14:C14"/>
    <mergeCell ref="B19:B20"/>
    <mergeCell ref="B22:B23"/>
    <mergeCell ref="B50:C50"/>
    <mergeCell ref="B51:C51"/>
    <mergeCell ref="B49:C49"/>
    <mergeCell ref="B52:B56"/>
    <mergeCell ref="B60:B62"/>
    <mergeCell ref="C60:C62"/>
    <mergeCell ref="B58:C58"/>
    <mergeCell ref="B24:C24"/>
    <mergeCell ref="B30:B34"/>
    <mergeCell ref="B35:B38"/>
    <mergeCell ref="B44:B46"/>
    <mergeCell ref="B39:B43"/>
    <mergeCell ref="B25:B29"/>
    <mergeCell ref="B119:C119"/>
    <mergeCell ref="B110:C110"/>
    <mergeCell ref="B15:B16"/>
    <mergeCell ref="B79:B80"/>
    <mergeCell ref="B77:B78"/>
    <mergeCell ref="AE61:AF61"/>
    <mergeCell ref="S61:T61"/>
    <mergeCell ref="U61:V61"/>
    <mergeCell ref="W11:X11"/>
    <mergeCell ref="B21:C21"/>
    <mergeCell ref="G66:P66"/>
    <mergeCell ref="G67:H67"/>
    <mergeCell ref="I67:J67"/>
    <mergeCell ref="K67:L67"/>
    <mergeCell ref="M73:N73"/>
    <mergeCell ref="O73:P73"/>
    <mergeCell ref="M61:N61"/>
    <mergeCell ref="O61:P61"/>
    <mergeCell ref="B81:B82"/>
    <mergeCell ref="B76:C76"/>
    <mergeCell ref="B66:C68"/>
    <mergeCell ref="D60:F61"/>
    <mergeCell ref="B47:C47"/>
    <mergeCell ref="B13:C13"/>
    <mergeCell ref="CO11:CO12"/>
    <mergeCell ref="CU11:CU12"/>
    <mergeCell ref="CV11:CV12"/>
    <mergeCell ref="CP11:CP12"/>
    <mergeCell ref="CW11:CW12"/>
    <mergeCell ref="CX11:CY11"/>
    <mergeCell ref="CB11:CB12"/>
    <mergeCell ref="CC11:CC12"/>
    <mergeCell ref="CD11:CE11"/>
    <mergeCell ref="CF11:CG11"/>
    <mergeCell ref="CH11:CH12"/>
    <mergeCell ref="CK11:CL11"/>
    <mergeCell ref="CQ11:CR11"/>
    <mergeCell ref="CS11:CT11"/>
  </mergeCells>
  <phoneticPr fontId="25" type="noConversion"/>
  <dataValidations count="2">
    <dataValidation type="whole" operator="greaterThanOrEqual" allowBlank="1" showInputMessage="1" showErrorMessage="1" sqref="G125:AN126 G13:AY58 G63:AN64 G69:R70 G75:AY120" xr:uid="{00000000-0002-0000-0600-000000000000}">
      <formula1>0</formula1>
    </dataValidation>
    <dataValidation allowBlank="1" showInputMessage="1" showErrorMessage="1" errorTitle=" Error de ingreso" error="Debe ingresar sólo números enteros positivos." sqref="V69:V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2" max="92" man="1"/>
  </colBreaks>
  <ignoredErrors>
    <ignoredError sqref="CR13 CR15:CR29 CR30:CR39 CR41:CR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U50"/>
  <sheetViews>
    <sheetView showGridLines="0" zoomScaleNormal="100" workbookViewId="0"/>
  </sheetViews>
  <sheetFormatPr baseColWidth="10" defaultColWidth="11.42578125" defaultRowHeight="12" customHeight="1" x14ac:dyDescent="0.15"/>
  <cols>
    <col min="1" max="1" width="18.42578125" style="108" customWidth="1"/>
    <col min="2" max="2" width="44.5703125" style="108" customWidth="1"/>
    <col min="3" max="3" width="19.7109375" style="108" customWidth="1"/>
    <col min="4" max="13" width="11.5703125" style="108" customWidth="1"/>
    <col min="14" max="14" width="11.42578125" style="108" customWidth="1"/>
    <col min="15" max="27" width="11.42578125" style="108"/>
    <col min="28" max="53" width="11.42578125" style="108" customWidth="1"/>
    <col min="54" max="73" width="11.42578125" style="108" hidden="1" customWidth="1"/>
    <col min="74" max="79" width="11.42578125" style="108" customWidth="1"/>
    <col min="80" max="16384" width="11.42578125" style="108"/>
  </cols>
  <sheetData>
    <row r="1" spans="1:73" s="34" customFormat="1" ht="13.5" customHeight="1" x14ac:dyDescent="0.15">
      <c r="B1" s="33" t="s">
        <v>0</v>
      </c>
    </row>
    <row r="2" spans="1:73" s="34" customFormat="1" ht="13.5" customHeight="1" x14ac:dyDescent="0.15">
      <c r="B2" s="33" t="str">
        <f>CONCATENATE("COMUNA: ",NOMBRE!$B$2,"   ","( ",NOMBRE!$C$2,NOMBRE!$D$2,NOMBRE!$E$2,NOMBRE!$F$2,NOMBRE!$G$2," )")</f>
        <v>COMUNA:    (  )</v>
      </c>
    </row>
    <row r="3" spans="1:73" s="34" customFormat="1" ht="13.5" customHeight="1" x14ac:dyDescent="0.15">
      <c r="B3" s="33" t="str">
        <f>CONCATENATE("ESTABLECIMIENTO/ESTRATEGIA: ",NOMBRE!$B$3,"   ","( ",NOMBRE!$C$3,NOMBRE!$D$3,NOMBRE!$E$3,NOMBRE!$F$3,NOMBRE!$G$3,NOMBRE!$H$3," )")</f>
        <v>ESTABLECIMIENTO/ESTRATEGIA:    (  )</v>
      </c>
      <c r="E3" s="83"/>
    </row>
    <row r="4" spans="1:73" s="34" customFormat="1" ht="13.5" customHeight="1" x14ac:dyDescent="0.15">
      <c r="B4" s="33" t="str">
        <f>CONCATENATE("MES: ",NOMBRE!$B$6,"   ","( ",NOMBRE!$C$6,NOMBRE!$D$6," )")</f>
        <v>MES:    (  )</v>
      </c>
    </row>
    <row r="5" spans="1:73" s="34" customFormat="1" ht="13.5" customHeight="1" x14ac:dyDescent="0.15">
      <c r="B5" s="33" t="str">
        <f>CONCATENATE("AÑO: ",NOMBRE!$B$7)</f>
        <v>AÑO: 2025</v>
      </c>
    </row>
    <row r="6" spans="1:73" s="34" customFormat="1" ht="15" customHeight="1" x14ac:dyDescent="0.15">
      <c r="B6" s="82"/>
    </row>
    <row r="7" spans="1:73" s="36" customFormat="1" ht="21.95" customHeight="1" x14ac:dyDescent="0.15">
      <c r="B7" s="2206" t="s">
        <v>698</v>
      </c>
      <c r="C7" s="2206"/>
      <c r="D7" s="2206"/>
      <c r="E7" s="2206"/>
      <c r="F7" s="2206"/>
      <c r="G7" s="2206"/>
      <c r="H7" s="2206"/>
      <c r="I7" s="2206"/>
      <c r="J7" s="2206"/>
      <c r="K7" s="2206"/>
      <c r="L7" s="1115"/>
      <c r="M7" s="1100"/>
      <c r="N7" s="108"/>
    </row>
    <row r="8" spans="1:73" ht="17.100000000000001" customHeight="1" x14ac:dyDescent="0.15">
      <c r="B8" s="2220" t="s">
        <v>699</v>
      </c>
      <c r="C8" s="2220"/>
      <c r="D8" s="2220"/>
      <c r="E8" s="2220"/>
      <c r="F8" s="2220"/>
      <c r="G8" s="2220"/>
      <c r="H8" s="2220"/>
      <c r="I8" s="2220"/>
      <c r="J8" s="2220"/>
      <c r="K8" s="2220"/>
    </row>
    <row r="9" spans="1:73" ht="20.100000000000001" customHeight="1" x14ac:dyDescent="0.15">
      <c r="B9" s="1515" t="s">
        <v>700</v>
      </c>
      <c r="C9" s="1480" t="s">
        <v>49</v>
      </c>
      <c r="D9" s="1404" t="s">
        <v>701</v>
      </c>
      <c r="E9" s="821" t="s">
        <v>702</v>
      </c>
      <c r="F9" s="821" t="s">
        <v>703</v>
      </c>
      <c r="G9" s="821" t="s">
        <v>704</v>
      </c>
      <c r="H9" s="821" t="s">
        <v>705</v>
      </c>
      <c r="I9" s="821" t="s">
        <v>706</v>
      </c>
      <c r="J9" s="821" t="s">
        <v>707</v>
      </c>
      <c r="K9" s="993" t="s">
        <v>708</v>
      </c>
    </row>
    <row r="10" spans="1:73" ht="15" customHeight="1" x14ac:dyDescent="0.2">
      <c r="A10" s="1585" t="s">
        <v>1423</v>
      </c>
      <c r="B10" s="196" t="s">
        <v>709</v>
      </c>
      <c r="C10" s="553" t="s">
        <v>1616</v>
      </c>
      <c r="D10" s="262" t="s">
        <v>1617</v>
      </c>
      <c r="E10" s="263" t="s">
        <v>1618</v>
      </c>
      <c r="F10" s="263" t="s">
        <v>1619</v>
      </c>
      <c r="G10" s="263" t="s">
        <v>1620</v>
      </c>
      <c r="H10" s="263" t="s">
        <v>1621</v>
      </c>
      <c r="I10" s="263" t="s">
        <v>1622</v>
      </c>
      <c r="J10" s="263" t="s">
        <v>1623</v>
      </c>
      <c r="K10" s="309" t="s">
        <v>1624</v>
      </c>
      <c r="L10" s="74" t="str">
        <f>BB10&amp;BC10&amp;BD10&amp;BE10&amp;BF10&amp;BG10&amp;BH10&amp;BI10</f>
        <v/>
      </c>
    </row>
    <row r="11" spans="1:73" ht="15" customHeight="1" x14ac:dyDescent="0.2">
      <c r="A11" s="1585" t="s">
        <v>1424</v>
      </c>
      <c r="B11" s="197" t="s">
        <v>710</v>
      </c>
      <c r="C11" s="554" t="s">
        <v>1616</v>
      </c>
      <c r="D11" s="277" t="s">
        <v>1617</v>
      </c>
      <c r="E11" s="278" t="s">
        <v>1618</v>
      </c>
      <c r="F11" s="278" t="s">
        <v>1619</v>
      </c>
      <c r="G11" s="278" t="s">
        <v>1620</v>
      </c>
      <c r="H11" s="278" t="s">
        <v>1621</v>
      </c>
      <c r="I11" s="278" t="s">
        <v>1622</v>
      </c>
      <c r="J11" s="278" t="s">
        <v>1623</v>
      </c>
      <c r="K11" s="311" t="s">
        <v>1624</v>
      </c>
      <c r="L11" s="74" t="str">
        <f>BB11&amp;BC11&amp;BD11&amp;BE11&amp;BF11&amp;BG11&amp;BH11&amp;BI11</f>
        <v/>
      </c>
      <c r="BB11" s="191" t="str">
        <f>IF(D10&lt;SUM(D11), "* El Número de Familias evaluadas en el sector 1 no puede ser mayor al N° de Familias inscritas del mismo sector.","")</f>
        <v/>
      </c>
      <c r="BC11" s="191" t="str">
        <f>IF(E10&lt;SUM(E11),"* El Número de Familias evalauadas en el sector 2 no puede ser mayor al N° de Familias inscritas del mismo sector.","")</f>
        <v/>
      </c>
      <c r="BD11" s="191" t="str">
        <f>IF(F10&lt;SUM(F11), "* El Número de Familias evalauadas en el sector 3 no puede ser mayor al N° de Familias inscritas del mismo sector.","")</f>
        <v/>
      </c>
      <c r="BE11" s="191" t="str">
        <f>IF(G10&lt;SUM(G11), "* El Número de Familias evalauadas en el sector 4 no puede ser mayor al N° de Familias inscritas del mismo sector.","")</f>
        <v/>
      </c>
      <c r="BF11" s="191" t="str">
        <f>IF(H10&lt;SUM(H11), "* El Número de Familias evalauadas en el sector 5 no puede ser mayor al N° de Familias inscritas del mismo sector.","")</f>
        <v/>
      </c>
      <c r="BG11" s="191" t="str">
        <f>IF(I10&lt;SUM(I11), "* El Número de Familias evalauadas en el sector 6 no puede ser mayor al N° de Familias inscritas del mismo sector.","")</f>
        <v/>
      </c>
      <c r="BH11" s="191" t="str">
        <f>IF(J10&lt;SUM(J11), "* El Número de Familias evalauadas en el sector 7 no puede ser mayor al N° de Familias inscritas del mismo sector.","")</f>
        <v/>
      </c>
      <c r="BI11" s="191" t="str">
        <f>IF(K10&lt;SUM(K11), "* El Número de Familias evalauadas en el sector 8 no puede ser mayor al N° de Familias inscritas del mismo sector.","")</f>
        <v/>
      </c>
      <c r="BN11" s="1047">
        <f>IF(D$10 &lt;(D$11), 1,0)</f>
        <v>0</v>
      </c>
      <c r="BO11" s="1047">
        <f t="shared" ref="BO11:BU11" si="0">IF(E$10 &lt;(E$11), 1,0)</f>
        <v>0</v>
      </c>
      <c r="BP11" s="1047">
        <f t="shared" si="0"/>
        <v>0</v>
      </c>
      <c r="BQ11" s="1047">
        <f t="shared" si="0"/>
        <v>0</v>
      </c>
      <c r="BR11" s="1047">
        <f t="shared" si="0"/>
        <v>0</v>
      </c>
      <c r="BS11" s="1047">
        <f t="shared" si="0"/>
        <v>0</v>
      </c>
      <c r="BT11" s="1047">
        <f t="shared" si="0"/>
        <v>0</v>
      </c>
      <c r="BU11" s="1047">
        <f t="shared" si="0"/>
        <v>0</v>
      </c>
    </row>
    <row r="12" spans="1:73" ht="15" customHeight="1" x14ac:dyDescent="0.2">
      <c r="A12" s="1585" t="s">
        <v>1425</v>
      </c>
      <c r="B12" s="199" t="s">
        <v>711</v>
      </c>
      <c r="C12" s="554" t="s">
        <v>1616</v>
      </c>
      <c r="D12" s="277" t="s">
        <v>1617</v>
      </c>
      <c r="E12" s="278" t="s">
        <v>1618</v>
      </c>
      <c r="F12" s="278" t="s">
        <v>1619</v>
      </c>
      <c r="G12" s="278" t="s">
        <v>1620</v>
      </c>
      <c r="H12" s="278" t="s">
        <v>1621</v>
      </c>
      <c r="I12" s="278" t="s">
        <v>1622</v>
      </c>
      <c r="J12" s="278" t="s">
        <v>1623</v>
      </c>
      <c r="K12" s="311" t="s">
        <v>1624</v>
      </c>
      <c r="L12" s="74"/>
    </row>
    <row r="13" spans="1:73" ht="15" customHeight="1" x14ac:dyDescent="0.2">
      <c r="A13" s="1585" t="s">
        <v>1426</v>
      </c>
      <c r="B13" s="199" t="s">
        <v>712</v>
      </c>
      <c r="C13" s="554" t="s">
        <v>1616</v>
      </c>
      <c r="D13" s="277" t="s">
        <v>1617</v>
      </c>
      <c r="E13" s="278" t="s">
        <v>1618</v>
      </c>
      <c r="F13" s="278" t="s">
        <v>1619</v>
      </c>
      <c r="G13" s="278" t="s">
        <v>1620</v>
      </c>
      <c r="H13" s="278" t="s">
        <v>1621</v>
      </c>
      <c r="I13" s="278" t="s">
        <v>1622</v>
      </c>
      <c r="J13" s="278" t="s">
        <v>1623</v>
      </c>
      <c r="K13" s="311" t="s">
        <v>1624</v>
      </c>
      <c r="L13" s="74"/>
    </row>
    <row r="14" spans="1:73" ht="15" customHeight="1" x14ac:dyDescent="0.2">
      <c r="A14" s="1585" t="s">
        <v>1427</v>
      </c>
      <c r="B14" s="200" t="s">
        <v>713</v>
      </c>
      <c r="C14" s="308" t="s">
        <v>1616</v>
      </c>
      <c r="D14" s="268" t="s">
        <v>1617</v>
      </c>
      <c r="E14" s="269" t="s">
        <v>1618</v>
      </c>
      <c r="F14" s="269" t="s">
        <v>1619</v>
      </c>
      <c r="G14" s="269" t="s">
        <v>1620</v>
      </c>
      <c r="H14" s="269" t="s">
        <v>1621</v>
      </c>
      <c r="I14" s="269" t="s">
        <v>1622</v>
      </c>
      <c r="J14" s="269" t="s">
        <v>1623</v>
      </c>
      <c r="K14" s="312" t="s">
        <v>1624</v>
      </c>
      <c r="L14" s="74"/>
    </row>
    <row r="15" spans="1:73" ht="17.100000000000001" customHeight="1" x14ac:dyDescent="0.15">
      <c r="B15" s="2221" t="s">
        <v>714</v>
      </c>
      <c r="C15" s="2221"/>
      <c r="D15" s="2221"/>
      <c r="E15" s="2221"/>
      <c r="F15" s="2221"/>
      <c r="G15" s="2221"/>
      <c r="H15" s="2221"/>
      <c r="I15" s="2221"/>
      <c r="J15" s="2221"/>
      <c r="K15" s="2221"/>
      <c r="L15" s="74"/>
    </row>
    <row r="16" spans="1:73" ht="15.75" customHeight="1" x14ac:dyDescent="0.15">
      <c r="B16" s="1515" t="s">
        <v>700</v>
      </c>
      <c r="C16" s="1480" t="s">
        <v>49</v>
      </c>
      <c r="D16" s="1404" t="s">
        <v>701</v>
      </c>
      <c r="E16" s="821" t="s">
        <v>702</v>
      </c>
      <c r="F16" s="821" t="s">
        <v>703</v>
      </c>
      <c r="G16" s="821" t="s">
        <v>704</v>
      </c>
      <c r="H16" s="821" t="s">
        <v>705</v>
      </c>
      <c r="I16" s="821" t="s">
        <v>706</v>
      </c>
      <c r="J16" s="821" t="s">
        <v>707</v>
      </c>
      <c r="K16" s="1420" t="s">
        <v>708</v>
      </c>
      <c r="L16" s="74"/>
    </row>
    <row r="17" spans="1:73" ht="15" customHeight="1" x14ac:dyDescent="0.2">
      <c r="A17" s="1585" t="s">
        <v>1428</v>
      </c>
      <c r="B17" s="196" t="s">
        <v>709</v>
      </c>
      <c r="C17" s="553" t="s">
        <v>1616</v>
      </c>
      <c r="D17" s="262" t="s">
        <v>1617</v>
      </c>
      <c r="E17" s="263" t="s">
        <v>1618</v>
      </c>
      <c r="F17" s="263" t="s">
        <v>1619</v>
      </c>
      <c r="G17" s="263" t="s">
        <v>1620</v>
      </c>
      <c r="H17" s="263" t="s">
        <v>1621</v>
      </c>
      <c r="I17" s="263" t="s">
        <v>1622</v>
      </c>
      <c r="J17" s="263" t="s">
        <v>1623</v>
      </c>
      <c r="K17" s="309" t="s">
        <v>1624</v>
      </c>
      <c r="L17" s="74" t="str">
        <f t="shared" ref="L17" si="1">BB17&amp;BC17&amp;BD17&amp;BE17&amp;BF17&amp;BG17&amp;BH17&amp;BI17</f>
        <v/>
      </c>
    </row>
    <row r="18" spans="1:73" ht="15" customHeight="1" x14ac:dyDescent="0.2">
      <c r="A18" s="1585" t="s">
        <v>1429</v>
      </c>
      <c r="B18" s="197" t="s">
        <v>710</v>
      </c>
      <c r="C18" s="554" t="s">
        <v>1616</v>
      </c>
      <c r="D18" s="277" t="s">
        <v>1617</v>
      </c>
      <c r="E18" s="278" t="s">
        <v>1618</v>
      </c>
      <c r="F18" s="278" t="s">
        <v>1619</v>
      </c>
      <c r="G18" s="278" t="s">
        <v>1620</v>
      </c>
      <c r="H18" s="278" t="s">
        <v>1621</v>
      </c>
      <c r="I18" s="278" t="s">
        <v>1622</v>
      </c>
      <c r="J18" s="278" t="s">
        <v>1623</v>
      </c>
      <c r="K18" s="280" t="s">
        <v>1624</v>
      </c>
      <c r="L18" s="74" t="str">
        <f>BB18&amp;BC18&amp;BD18&amp;BE18&amp;BF18&amp;BG18&amp;BH18&amp;BI18</f>
        <v/>
      </c>
      <c r="BB18" s="191" t="str">
        <f>IF(D17&lt;SUM(D18), " *El Número de Familias evalauadas en el sector 1 no puede ser mayor al N° de Familias inscritas del mismo sector.","")</f>
        <v/>
      </c>
      <c r="BC18" s="191" t="str">
        <f>IF(E17&lt;SUM(E18), " *El Número de Familias evalauadas en el sector 2 no puede ser mayor al N° de Familias inscritas del mismo sector.","")</f>
        <v/>
      </c>
      <c r="BD18" s="191" t="str">
        <f>IF(F17&lt;SUM(F18), " *El Número de Familias evalauadas en el sector 3 no puede ser mayor al N° de Familias inscritas del mismo sector.","")</f>
        <v/>
      </c>
      <c r="BE18" s="191" t="str">
        <f>IF(G17&lt;SUM(G18), " *El Número de Familias evalauadas en el sector 4 no puede ser mayor al N° de Familias inscritas del mismo sector.","")</f>
        <v/>
      </c>
      <c r="BF18" s="191" t="str">
        <f>IF(H17&lt;SUM(H18), " *El Número de Familias evalauadas en el sector 5 no puede ser mayor al N° de Familias inscritas del mismo sector.","")</f>
        <v/>
      </c>
      <c r="BG18" s="191" t="str">
        <f>IF(I17&lt;SUM(I18), " *El Número de Familias evalauadas en el sector 6 no puede ser mayor al N° de Familias inscritas del mismo sector.","")</f>
        <v/>
      </c>
      <c r="BH18" s="191" t="str">
        <f>IF(J17&lt;SUM(J18), " *El Número de Familias evalauadas en el sector 7 no puede ser mayor al N° de Familias inscritas del mismo sector.","")</f>
        <v/>
      </c>
      <c r="BI18" s="191" t="str">
        <f>IF(K17&lt;SUM(K18), " *El Número de Familias evalauadas en el sector 8 no puede ser mayor al N° de Familias inscritas del mismo sector.","")</f>
        <v/>
      </c>
      <c r="BN18" s="1047">
        <f>IF(D$17 &lt;(D$18), 1,0)</f>
        <v>0</v>
      </c>
      <c r="BO18" s="1047">
        <f t="shared" ref="BO18:BT18" si="2">IF(E17 &lt;(E18), 1,0)</f>
        <v>0</v>
      </c>
      <c r="BP18" s="1047">
        <f t="shared" si="2"/>
        <v>0</v>
      </c>
      <c r="BQ18" s="1047">
        <f t="shared" si="2"/>
        <v>0</v>
      </c>
      <c r="BR18" s="1047">
        <f t="shared" si="2"/>
        <v>0</v>
      </c>
      <c r="BS18" s="1047">
        <f t="shared" si="2"/>
        <v>0</v>
      </c>
      <c r="BT18" s="1047">
        <f t="shared" si="2"/>
        <v>0</v>
      </c>
      <c r="BU18" s="1047">
        <f>IF(K17 &lt;(K18), 1,0)</f>
        <v>0</v>
      </c>
    </row>
    <row r="19" spans="1:73" ht="15" customHeight="1" x14ac:dyDescent="0.2">
      <c r="A19" s="1585" t="s">
        <v>1430</v>
      </c>
      <c r="B19" s="199" t="s">
        <v>711</v>
      </c>
      <c r="C19" s="554" t="s">
        <v>1616</v>
      </c>
      <c r="D19" s="277" t="s">
        <v>1617</v>
      </c>
      <c r="E19" s="278" t="s">
        <v>1618</v>
      </c>
      <c r="F19" s="278" t="s">
        <v>1619</v>
      </c>
      <c r="G19" s="278" t="s">
        <v>1620</v>
      </c>
      <c r="H19" s="278" t="s">
        <v>1621</v>
      </c>
      <c r="I19" s="278" t="s">
        <v>1622</v>
      </c>
      <c r="J19" s="278" t="s">
        <v>1623</v>
      </c>
      <c r="K19" s="280" t="s">
        <v>1624</v>
      </c>
      <c r="L19" s="74"/>
    </row>
    <row r="20" spans="1:73" ht="15" customHeight="1" x14ac:dyDescent="0.2">
      <c r="A20" s="1585" t="s">
        <v>1431</v>
      </c>
      <c r="B20" s="199" t="s">
        <v>712</v>
      </c>
      <c r="C20" s="554" t="s">
        <v>1616</v>
      </c>
      <c r="D20" s="277" t="s">
        <v>1617</v>
      </c>
      <c r="E20" s="278" t="s">
        <v>1618</v>
      </c>
      <c r="F20" s="278" t="s">
        <v>1619</v>
      </c>
      <c r="G20" s="278" t="s">
        <v>1620</v>
      </c>
      <c r="H20" s="278" t="s">
        <v>1621</v>
      </c>
      <c r="I20" s="278" t="s">
        <v>1622</v>
      </c>
      <c r="J20" s="278" t="s">
        <v>1623</v>
      </c>
      <c r="K20" s="280" t="s">
        <v>1624</v>
      </c>
      <c r="L20" s="74"/>
    </row>
    <row r="21" spans="1:73" ht="15" customHeight="1" x14ac:dyDescent="0.2">
      <c r="A21" s="1585" t="s">
        <v>1432</v>
      </c>
      <c r="B21" s="200" t="s">
        <v>713</v>
      </c>
      <c r="C21" s="308" t="s">
        <v>1616</v>
      </c>
      <c r="D21" s="268" t="s">
        <v>1617</v>
      </c>
      <c r="E21" s="269" t="s">
        <v>1618</v>
      </c>
      <c r="F21" s="269" t="s">
        <v>1619</v>
      </c>
      <c r="G21" s="269" t="s">
        <v>1620</v>
      </c>
      <c r="H21" s="269" t="s">
        <v>1621</v>
      </c>
      <c r="I21" s="269" t="s">
        <v>1622</v>
      </c>
      <c r="J21" s="269" t="s">
        <v>1623</v>
      </c>
      <c r="K21" s="284" t="s">
        <v>1624</v>
      </c>
      <c r="L21" s="74"/>
    </row>
    <row r="22" spans="1:73" ht="17.100000000000001" customHeight="1" x14ac:dyDescent="0.15">
      <c r="B22" s="2220" t="s">
        <v>715</v>
      </c>
      <c r="C22" s="2220"/>
      <c r="D22" s="2220"/>
      <c r="E22" s="2220"/>
      <c r="F22" s="2220"/>
      <c r="G22" s="2220"/>
      <c r="H22" s="2220"/>
      <c r="I22" s="2220"/>
      <c r="J22" s="2220"/>
      <c r="K22" s="2220"/>
      <c r="L22" s="2220"/>
      <c r="M22" s="2220"/>
    </row>
    <row r="23" spans="1:73" ht="20.100000000000001" customHeight="1" x14ac:dyDescent="0.15">
      <c r="A23" s="1612"/>
      <c r="B23" s="2207" t="s">
        <v>716</v>
      </c>
      <c r="C23" s="2208"/>
      <c r="D23" s="2209"/>
      <c r="E23" s="1516" t="s">
        <v>49</v>
      </c>
      <c r="F23" s="1290" t="s">
        <v>701</v>
      </c>
      <c r="G23" s="1045" t="s">
        <v>702</v>
      </c>
      <c r="H23" s="1045" t="s">
        <v>703</v>
      </c>
      <c r="I23" s="1045" t="s">
        <v>704</v>
      </c>
      <c r="J23" s="1045" t="s">
        <v>705</v>
      </c>
      <c r="K23" s="1045" t="s">
        <v>706</v>
      </c>
      <c r="L23" s="1517" t="s">
        <v>707</v>
      </c>
      <c r="M23" s="1518" t="s">
        <v>708</v>
      </c>
      <c r="N23" s="34"/>
    </row>
    <row r="24" spans="1:73" ht="15" customHeight="1" x14ac:dyDescent="0.2">
      <c r="A24" s="1613" t="s">
        <v>1433</v>
      </c>
      <c r="B24" s="2216" t="s">
        <v>717</v>
      </c>
      <c r="C24" s="2216"/>
      <c r="D24" s="2217"/>
      <c r="E24" s="550" t="s">
        <v>1616</v>
      </c>
      <c r="F24" s="555" t="s">
        <v>1617</v>
      </c>
      <c r="G24" s="556" t="s">
        <v>1618</v>
      </c>
      <c r="H24" s="556" t="s">
        <v>1619</v>
      </c>
      <c r="I24" s="556" t="s">
        <v>1620</v>
      </c>
      <c r="J24" s="556" t="s">
        <v>1621</v>
      </c>
      <c r="K24" s="556" t="s">
        <v>1622</v>
      </c>
      <c r="L24" s="556" t="s">
        <v>1623</v>
      </c>
      <c r="M24" s="557" t="s">
        <v>1624</v>
      </c>
      <c r="N24" s="74"/>
    </row>
    <row r="25" spans="1:73" ht="15" customHeight="1" x14ac:dyDescent="0.2">
      <c r="A25" s="1585" t="s">
        <v>1434</v>
      </c>
      <c r="B25" s="2218" t="s">
        <v>718</v>
      </c>
      <c r="C25" s="2212" t="s">
        <v>540</v>
      </c>
      <c r="D25" s="2213"/>
      <c r="E25" s="551" t="s">
        <v>1616</v>
      </c>
      <c r="F25" s="558" t="s">
        <v>1617</v>
      </c>
      <c r="G25" s="559" t="s">
        <v>1618</v>
      </c>
      <c r="H25" s="559" t="s">
        <v>1619</v>
      </c>
      <c r="I25" s="559" t="s">
        <v>1620</v>
      </c>
      <c r="J25" s="559" t="s">
        <v>1621</v>
      </c>
      <c r="K25" s="559" t="s">
        <v>1622</v>
      </c>
      <c r="L25" s="559" t="s">
        <v>1623</v>
      </c>
      <c r="M25" s="560" t="s">
        <v>1624</v>
      </c>
      <c r="N25" s="74"/>
    </row>
    <row r="26" spans="1:73" ht="15" customHeight="1" x14ac:dyDescent="0.2">
      <c r="A26" s="1585" t="s">
        <v>1435</v>
      </c>
      <c r="B26" s="2219"/>
      <c r="C26" s="2210" t="s">
        <v>719</v>
      </c>
      <c r="D26" s="2211"/>
      <c r="E26" s="551" t="s">
        <v>1616</v>
      </c>
      <c r="F26" s="558" t="s">
        <v>1617</v>
      </c>
      <c r="G26" s="559" t="s">
        <v>1618</v>
      </c>
      <c r="H26" s="559" t="s">
        <v>1619</v>
      </c>
      <c r="I26" s="559" t="s">
        <v>1620</v>
      </c>
      <c r="J26" s="559" t="s">
        <v>1621</v>
      </c>
      <c r="K26" s="559" t="s">
        <v>1622</v>
      </c>
      <c r="L26" s="559" t="s">
        <v>1623</v>
      </c>
      <c r="M26" s="560" t="s">
        <v>1624</v>
      </c>
    </row>
    <row r="27" spans="1:73" ht="15" customHeight="1" x14ac:dyDescent="0.2">
      <c r="A27" s="1585" t="s">
        <v>1436</v>
      </c>
      <c r="B27" s="2217"/>
      <c r="C27" s="2214" t="s">
        <v>542</v>
      </c>
      <c r="D27" s="2215"/>
      <c r="E27" s="550" t="s">
        <v>1616</v>
      </c>
      <c r="F27" s="555" t="s">
        <v>1617</v>
      </c>
      <c r="G27" s="556" t="s">
        <v>1618</v>
      </c>
      <c r="H27" s="556" t="s">
        <v>1619</v>
      </c>
      <c r="I27" s="556" t="s">
        <v>1620</v>
      </c>
      <c r="J27" s="556" t="s">
        <v>1621</v>
      </c>
      <c r="K27" s="556" t="s">
        <v>1622</v>
      </c>
      <c r="L27" s="556" t="s">
        <v>1623</v>
      </c>
      <c r="M27" s="557" t="s">
        <v>1624</v>
      </c>
    </row>
    <row r="28" spans="1:73" ht="15" customHeight="1" x14ac:dyDescent="0.2">
      <c r="A28" s="1585" t="s">
        <v>1437</v>
      </c>
      <c r="B28" s="2218" t="s">
        <v>720</v>
      </c>
      <c r="C28" s="2212" t="s">
        <v>721</v>
      </c>
      <c r="D28" s="2213"/>
      <c r="E28" s="552" t="s">
        <v>1616</v>
      </c>
      <c r="F28" s="561" t="s">
        <v>1617</v>
      </c>
      <c r="G28" s="562" t="s">
        <v>1618</v>
      </c>
      <c r="H28" s="562" t="s">
        <v>1619</v>
      </c>
      <c r="I28" s="562" t="s">
        <v>1620</v>
      </c>
      <c r="J28" s="562" t="s">
        <v>1621</v>
      </c>
      <c r="K28" s="562" t="s">
        <v>1622</v>
      </c>
      <c r="L28" s="562" t="s">
        <v>1623</v>
      </c>
      <c r="M28" s="563" t="s">
        <v>1624</v>
      </c>
    </row>
    <row r="29" spans="1:73" ht="15" customHeight="1" x14ac:dyDescent="0.2">
      <c r="A29" s="1585" t="s">
        <v>1438</v>
      </c>
      <c r="B29" s="2219"/>
      <c r="C29" s="2210" t="s">
        <v>722</v>
      </c>
      <c r="D29" s="2211"/>
      <c r="E29" s="551" t="s">
        <v>1616</v>
      </c>
      <c r="F29" s="558" t="s">
        <v>1617</v>
      </c>
      <c r="G29" s="559" t="s">
        <v>1618</v>
      </c>
      <c r="H29" s="559" t="s">
        <v>1619</v>
      </c>
      <c r="I29" s="559" t="s">
        <v>1620</v>
      </c>
      <c r="J29" s="559" t="s">
        <v>1621</v>
      </c>
      <c r="K29" s="559" t="s">
        <v>1622</v>
      </c>
      <c r="L29" s="559" t="s">
        <v>1623</v>
      </c>
      <c r="M29" s="564" t="s">
        <v>1624</v>
      </c>
    </row>
    <row r="30" spans="1:73" ht="15" customHeight="1" x14ac:dyDescent="0.2">
      <c r="A30" s="1585" t="s">
        <v>1439</v>
      </c>
      <c r="B30" s="2219"/>
      <c r="C30" s="2210" t="s">
        <v>723</v>
      </c>
      <c r="D30" s="2211"/>
      <c r="E30" s="551" t="s">
        <v>1616</v>
      </c>
      <c r="F30" s="558" t="s">
        <v>1617</v>
      </c>
      <c r="G30" s="559" t="s">
        <v>1618</v>
      </c>
      <c r="H30" s="559" t="s">
        <v>1619</v>
      </c>
      <c r="I30" s="559" t="s">
        <v>1620</v>
      </c>
      <c r="J30" s="559" t="s">
        <v>1621</v>
      </c>
      <c r="K30" s="559" t="s">
        <v>1622</v>
      </c>
      <c r="L30" s="559" t="s">
        <v>1623</v>
      </c>
      <c r="M30" s="564" t="s">
        <v>1624</v>
      </c>
    </row>
    <row r="31" spans="1:73" ht="15" customHeight="1" x14ac:dyDescent="0.2">
      <c r="A31" s="1585" t="s">
        <v>1440</v>
      </c>
      <c r="B31" s="2219"/>
      <c r="C31" s="2210" t="s">
        <v>724</v>
      </c>
      <c r="D31" s="2211"/>
      <c r="E31" s="551" t="s">
        <v>1616</v>
      </c>
      <c r="F31" s="558" t="s">
        <v>1617</v>
      </c>
      <c r="G31" s="559" t="s">
        <v>1618</v>
      </c>
      <c r="H31" s="559" t="s">
        <v>1619</v>
      </c>
      <c r="I31" s="559" t="s">
        <v>1620</v>
      </c>
      <c r="J31" s="559" t="s">
        <v>1621</v>
      </c>
      <c r="K31" s="559" t="s">
        <v>1622</v>
      </c>
      <c r="L31" s="559" t="s">
        <v>1623</v>
      </c>
      <c r="M31" s="564" t="s">
        <v>1624</v>
      </c>
    </row>
    <row r="32" spans="1:73" ht="15" customHeight="1" x14ac:dyDescent="0.2">
      <c r="A32" s="1585" t="s">
        <v>1441</v>
      </c>
      <c r="B32" s="2217"/>
      <c r="C32" s="2214" t="s">
        <v>725</v>
      </c>
      <c r="D32" s="2215"/>
      <c r="E32" s="550" t="s">
        <v>1616</v>
      </c>
      <c r="F32" s="555" t="s">
        <v>1617</v>
      </c>
      <c r="G32" s="556" t="s">
        <v>1618</v>
      </c>
      <c r="H32" s="556" t="s">
        <v>1619</v>
      </c>
      <c r="I32" s="556" t="s">
        <v>1620</v>
      </c>
      <c r="J32" s="556" t="s">
        <v>1621</v>
      </c>
      <c r="K32" s="556" t="s">
        <v>1622</v>
      </c>
      <c r="L32" s="556" t="s">
        <v>1623</v>
      </c>
      <c r="M32" s="565" t="s">
        <v>1624</v>
      </c>
    </row>
    <row r="49" spans="2:3" ht="12" customHeight="1" x14ac:dyDescent="0.15">
      <c r="B49" s="1484">
        <f>SUM(C10:C14,C17:C21,E24:E32)</f>
        <v>0</v>
      </c>
      <c r="C49" s="189" t="s">
        <v>206</v>
      </c>
    </row>
    <row r="50" spans="2:3" ht="12" customHeight="1" x14ac:dyDescent="0.15">
      <c r="B50" s="1484">
        <f>SUM(BN11:BU18)</f>
        <v>0</v>
      </c>
      <c r="C50" s="189" t="s">
        <v>207</v>
      </c>
    </row>
  </sheetData>
  <mergeCells count="16">
    <mergeCell ref="B7:K7"/>
    <mergeCell ref="B23:D23"/>
    <mergeCell ref="C29:D29"/>
    <mergeCell ref="C28:D28"/>
    <mergeCell ref="C27:D27"/>
    <mergeCell ref="C26:D26"/>
    <mergeCell ref="B24:D24"/>
    <mergeCell ref="B28:B32"/>
    <mergeCell ref="C30:D30"/>
    <mergeCell ref="C31:D31"/>
    <mergeCell ref="C32:D32"/>
    <mergeCell ref="C25:D25"/>
    <mergeCell ref="B25:B27"/>
    <mergeCell ref="B22:M22"/>
    <mergeCell ref="B15:K15"/>
    <mergeCell ref="B8:K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C9:C14 BH12:XFD12 N22:XFD1048576 AD12 AD8:BU9 BV15:XFD21 N8:AC21 AD15:BU15 L8:M8 L15:M15 BV8:XFD11 M9:M14 D9:L9 BB12:BF12 BJ10:BU11 AX10:BA14 BB13:XFD14 B17:B22 M16:M21 AD18:AW21 D16:L16 AX16:BA21 BB16:BI17 BN18:BU18 BJ16:BU16 BB19:BU21 BJ17:BM18 F23:M23 B33:M1048576 E23:E32 B28 C25:C32 C16:C21 M7:XFD7 B10:B15 C1:XFD6 B6:B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D17:K21 D10:K14 F24:M32" xr:uid="{309BEAB4-4E6F-4083-8657-4DE78596C510}">
      <formula1>0</formula1>
    </dataValidation>
    <dataValidation allowBlank="1" showInputMessage="1" showErrorMessage="1" errorTitle="Error de ingreso" error="Debe ingresar sólo números enteros positivos." sqref="BB10:BI11 L10:L14 L17:L21 BB17:BI18 B9 B16 B23:D24 A10:A14 A17:A21 A24:A32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W113"/>
  <sheetViews>
    <sheetView showGridLines="0" zoomScaleNormal="100" workbookViewId="0"/>
  </sheetViews>
  <sheetFormatPr baseColWidth="10" defaultColWidth="11.42578125" defaultRowHeight="10.5" x14ac:dyDescent="0.15"/>
  <cols>
    <col min="1" max="1" width="19.85546875" style="108" customWidth="1"/>
    <col min="2" max="2" width="22.28515625" style="172" customWidth="1"/>
    <col min="3" max="3" width="36.85546875" style="172" customWidth="1"/>
    <col min="4" max="4" width="10.7109375" style="172" customWidth="1"/>
    <col min="5" max="6" width="10.5703125" style="172" customWidth="1"/>
    <col min="7" max="7" width="10.28515625" style="172" customWidth="1"/>
    <col min="8" max="9" width="10.5703125" style="172" customWidth="1"/>
    <col min="10" max="10" width="9.7109375" style="172" customWidth="1"/>
    <col min="11" max="12" width="10.5703125" style="172" customWidth="1"/>
    <col min="13" max="13" width="9.7109375" style="172" customWidth="1"/>
    <col min="14" max="18" width="10.5703125" style="172" customWidth="1"/>
    <col min="19" max="19" width="10.7109375" style="172" customWidth="1"/>
    <col min="20" max="20" width="11.42578125" style="172"/>
    <col min="21" max="25" width="11.42578125" style="172" customWidth="1"/>
    <col min="26" max="27" width="11.7109375" style="172" customWidth="1"/>
    <col min="28" max="36" width="11.7109375" style="108" customWidth="1"/>
    <col min="37" max="39" width="11.7109375" style="108" hidden="1" customWidth="1"/>
    <col min="40" max="49" width="11.42578125" style="108" hidden="1" customWidth="1"/>
    <col min="50" max="16384" width="11.42578125" style="108"/>
  </cols>
  <sheetData>
    <row r="1" spans="1:47" ht="13.5" customHeight="1" x14ac:dyDescent="0.15">
      <c r="B1" s="33" t="s">
        <v>0</v>
      </c>
    </row>
    <row r="2" spans="1:47" ht="13.5" customHeight="1" x14ac:dyDescent="0.15">
      <c r="B2" s="33" t="str">
        <f>CONCATENATE("COMUNA: ",NOMBRE!$B$2,"   ","( ",NOMBRE!$C$2,NOMBRE!$D$2,NOMBRE!$E$2,NOMBRE!$F$2,NOMBRE!$G$2," )")</f>
        <v>COMUNA:    (  )</v>
      </c>
    </row>
    <row r="3" spans="1:47" ht="13.5" customHeight="1" x14ac:dyDescent="0.15">
      <c r="B3" s="33" t="str">
        <f>CONCATENATE("ESTABLECIMIENTO/ESTRATEGIA: ",NOMBRE!$B$3,"   ","( ",NOMBRE!$C$3,NOMBRE!$D$3,NOMBRE!$E$3,NOMBRE!$F$3,NOMBRE!$G$3,NOMBRE!$H$3," )")</f>
        <v>ESTABLECIMIENTO/ESTRATEGIA:    (  )</v>
      </c>
    </row>
    <row r="4" spans="1:47" ht="13.5" customHeight="1" x14ac:dyDescent="0.15">
      <c r="B4" s="33" t="str">
        <f>CONCATENATE("MES: ",NOMBRE!$B$6,"   ","( ",NOMBRE!$C$6,NOMBRE!$D$6," )")</f>
        <v>MES:    (  )</v>
      </c>
    </row>
    <row r="5" spans="1:47" ht="13.5" customHeight="1" x14ac:dyDescent="0.15">
      <c r="B5" s="33" t="str">
        <f>CONCATENATE("AÑO: ",NOMBRE!$B$7)</f>
        <v>AÑO: 2025</v>
      </c>
    </row>
    <row r="6" spans="1:47" ht="15" customHeight="1" x14ac:dyDescent="0.15"/>
    <row r="7" spans="1:47" ht="26.25" customHeight="1" x14ac:dyDescent="0.15">
      <c r="B7" s="2229" t="s">
        <v>726</v>
      </c>
      <c r="C7" s="2229"/>
      <c r="D7" s="2229"/>
      <c r="E7" s="2229"/>
      <c r="F7" s="2229"/>
      <c r="G7" s="2229"/>
      <c r="H7" s="2229"/>
      <c r="I7" s="2229"/>
      <c r="J7" s="2229"/>
      <c r="K7" s="2229"/>
      <c r="L7" s="2229"/>
      <c r="M7" s="2229"/>
      <c r="N7" s="2229"/>
      <c r="O7" s="2229"/>
      <c r="P7" s="2229"/>
      <c r="Q7" s="2229"/>
      <c r="R7" s="2229"/>
      <c r="T7" s="566"/>
      <c r="U7" s="566"/>
    </row>
    <row r="9" spans="1:47" ht="17.100000000000001" customHeight="1" x14ac:dyDescent="0.15">
      <c r="B9" s="2230" t="s">
        <v>727</v>
      </c>
      <c r="C9" s="2230"/>
      <c r="D9" s="2230"/>
      <c r="E9" s="2230"/>
      <c r="F9" s="2230"/>
      <c r="G9" s="2230"/>
      <c r="H9" s="2230"/>
      <c r="I9" s="2230"/>
      <c r="J9" s="2230"/>
      <c r="K9" s="2230"/>
      <c r="L9" s="2230"/>
      <c r="M9" s="2230"/>
      <c r="N9" s="2230"/>
      <c r="O9" s="2230"/>
      <c r="P9" s="2230"/>
      <c r="Q9" s="2230"/>
      <c r="R9" s="2230"/>
      <c r="AK9" s="1937" t="s">
        <v>619</v>
      </c>
      <c r="AL9" s="1853"/>
      <c r="AM9" s="1763" t="s">
        <v>620</v>
      </c>
      <c r="AN9" s="1753"/>
    </row>
    <row r="10" spans="1:47" ht="21" customHeight="1" x14ac:dyDescent="0.15">
      <c r="B10" s="2237" t="s">
        <v>728</v>
      </c>
      <c r="C10" s="2238"/>
      <c r="D10" s="2234" t="s">
        <v>49</v>
      </c>
      <c r="E10" s="2234"/>
      <c r="F10" s="2234"/>
      <c r="G10" s="2234" t="s">
        <v>317</v>
      </c>
      <c r="H10" s="2234"/>
      <c r="I10" s="2234"/>
      <c r="J10" s="2234" t="s">
        <v>729</v>
      </c>
      <c r="K10" s="2234"/>
      <c r="L10" s="2241"/>
      <c r="M10" s="2244" t="s">
        <v>730</v>
      </c>
      <c r="N10" s="2234"/>
      <c r="O10" s="2234"/>
      <c r="P10" s="2234" t="s">
        <v>52</v>
      </c>
      <c r="Q10" s="2234"/>
      <c r="R10" s="2234"/>
      <c r="AK10" s="1456" t="s">
        <v>731</v>
      </c>
      <c r="AL10" s="1456" t="s">
        <v>732</v>
      </c>
      <c r="AM10" s="1456" t="s">
        <v>731</v>
      </c>
      <c r="AN10" s="1456" t="s">
        <v>732</v>
      </c>
    </row>
    <row r="11" spans="1:47" ht="21" x14ac:dyDescent="0.15">
      <c r="B11" s="2239"/>
      <c r="C11" s="2240"/>
      <c r="D11" s="1493" t="s">
        <v>226</v>
      </c>
      <c r="E11" s="1291" t="s">
        <v>86</v>
      </c>
      <c r="F11" s="1519" t="s">
        <v>227</v>
      </c>
      <c r="G11" s="1493" t="s">
        <v>409</v>
      </c>
      <c r="H11" s="1291" t="s">
        <v>86</v>
      </c>
      <c r="I11" s="1519" t="s">
        <v>227</v>
      </c>
      <c r="J11" s="1493" t="s">
        <v>409</v>
      </c>
      <c r="K11" s="1291" t="s">
        <v>86</v>
      </c>
      <c r="L11" s="1520" t="s">
        <v>227</v>
      </c>
      <c r="M11" s="1519" t="s">
        <v>409</v>
      </c>
      <c r="N11" s="1291" t="s">
        <v>86</v>
      </c>
      <c r="O11" s="1519" t="s">
        <v>227</v>
      </c>
      <c r="P11" s="1493" t="s">
        <v>409</v>
      </c>
      <c r="Q11" s="1291" t="s">
        <v>86</v>
      </c>
      <c r="R11" s="1519" t="s">
        <v>227</v>
      </c>
    </row>
    <row r="12" spans="1:47" ht="15" customHeight="1" x14ac:dyDescent="0.2">
      <c r="A12" s="1614" t="s">
        <v>1442</v>
      </c>
      <c r="B12" s="2235" t="s">
        <v>733</v>
      </c>
      <c r="C12" s="2236"/>
      <c r="D12" s="1521" t="s">
        <v>1616</v>
      </c>
      <c r="E12" s="1292" t="s">
        <v>1617</v>
      </c>
      <c r="F12" s="1522" t="s">
        <v>1618</v>
      </c>
      <c r="G12" s="1521" t="s">
        <v>1619</v>
      </c>
      <c r="H12" s="1293" t="s">
        <v>1620</v>
      </c>
      <c r="I12" s="1523" t="s">
        <v>1621</v>
      </c>
      <c r="J12" s="1521" t="s">
        <v>1622</v>
      </c>
      <c r="K12" s="1293" t="s">
        <v>1623</v>
      </c>
      <c r="L12" s="1524" t="s">
        <v>1624</v>
      </c>
      <c r="M12" s="1522" t="s">
        <v>1625</v>
      </c>
      <c r="N12" s="1293" t="s">
        <v>1626</v>
      </c>
      <c r="O12" s="1523" t="s">
        <v>1627</v>
      </c>
      <c r="P12" s="1521" t="s">
        <v>1628</v>
      </c>
      <c r="Q12" s="1293" t="s">
        <v>1629</v>
      </c>
      <c r="R12" s="1523" t="s">
        <v>1630</v>
      </c>
      <c r="S12" s="172" t="str">
        <f>AK12&amp;AL12&amp;AM12&amp;AN12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K12" s="191" t="str">
        <f>IF(AND(E12&gt;0,OR(N12=""))," * No olvide digitar la variable Pueblos Originarios Hombres. Digite Cero si no tiene.",IF(N12&gt;E12," * La variable Pueblos Originarios Hombres no puede ser Mayor al Total Hombres.",""))</f>
        <v xml:space="preserve"> * La variable Pueblos Originarios Hombres no puede ser Mayor al Total Hombres.</v>
      </c>
      <c r="AL12" s="191" t="str">
        <f>IF(AND(F12&gt;0,OR(O12=""))," * No olvide digitar la variable Pueblos Originarios Mujeres. Digite Cero si no tiene.",IF(O12&gt;F12," * La variable Pueblos Originarios Mujeres no puede ser Mayor al Total Mujeres.",""))</f>
        <v xml:space="preserve"> * La variable Pueblos Originarios Mujeres no puede ser Mayor al Total Mujeres.</v>
      </c>
      <c r="AM12" s="191" t="str">
        <f>IF(AND($E12&gt;0,OR(Q12=""))," * No olvide digitar la variable Migrantes Hombres. Digite Cero si no tiene.",IF(Q12&gt;$E12," * La variable Migrantes Hombres no puede ser Mayor al Total Hombres.",""))</f>
        <v xml:space="preserve"> * La variable Migrantes Hombres no puede ser Mayor al Total Hombres.</v>
      </c>
      <c r="AN12" s="191" t="str">
        <f>IF(AND($F12&gt;0,OR(R12=""))," * No olvide digitar la variable Migrantes Mujeres. Digite Cero si no tiene.",IF(R12&gt;$F12," * La variable Migrantes Mujeres no puede ser Mayor al Total Mujeres.",""))</f>
        <v xml:space="preserve"> * La variable Migrantes Mujeres no puede ser Mayor al Total Mujeres.</v>
      </c>
      <c r="AR12" s="1047">
        <f>IF(AND($E12&gt;0,OR(N12="")),1,IF(N12&gt;$E12,1,0))</f>
        <v>1</v>
      </c>
      <c r="AS12" s="1047">
        <f>IF(AND($F12&gt;0,OR(O12="")),1,IF(O12&gt;$F12,1,0))</f>
        <v>1</v>
      </c>
      <c r="AT12" s="1047">
        <f>IF(AND($E12&gt;0,OR(Q12="")),1,IF(Q12&gt;$E12,1,0))</f>
        <v>1</v>
      </c>
      <c r="AU12" s="1047">
        <f>IF(AND($F12&gt;0,OR(R12="")),1,IF(R12&gt;$F12,1,0))</f>
        <v>1</v>
      </c>
    </row>
    <row r="13" spans="1:47" ht="17.100000000000001" customHeight="1" x14ac:dyDescent="0.15">
      <c r="B13" s="2231" t="s">
        <v>734</v>
      </c>
      <c r="C13" s="2231"/>
      <c r="D13" s="2231"/>
      <c r="E13" s="2231"/>
      <c r="F13" s="2231"/>
      <c r="G13" s="2231"/>
      <c r="H13" s="2231"/>
      <c r="I13" s="2231"/>
      <c r="J13" s="2231"/>
      <c r="K13" s="2231"/>
      <c r="L13" s="2231"/>
      <c r="M13" s="2231"/>
      <c r="N13" s="2231"/>
      <c r="O13" s="2231"/>
      <c r="P13" s="2231"/>
      <c r="Q13" s="2231"/>
      <c r="R13" s="2231"/>
    </row>
    <row r="14" spans="1:47" s="172" customFormat="1" ht="27" customHeight="1" x14ac:dyDescent="0.15">
      <c r="B14" s="2271" t="s">
        <v>735</v>
      </c>
      <c r="C14" s="2272"/>
      <c r="D14" s="2242" t="s">
        <v>49</v>
      </c>
      <c r="E14" s="2243"/>
      <c r="F14" s="2244"/>
      <c r="G14" s="2242" t="s">
        <v>736</v>
      </c>
      <c r="H14" s="2243"/>
      <c r="I14" s="2244"/>
      <c r="J14" s="2242" t="s">
        <v>729</v>
      </c>
      <c r="K14" s="2243"/>
      <c r="L14" s="2243"/>
      <c r="M14" s="2251" t="s">
        <v>730</v>
      </c>
      <c r="N14" s="2243"/>
      <c r="O14" s="2244"/>
      <c r="P14" s="2243" t="s">
        <v>52</v>
      </c>
      <c r="Q14" s="2243"/>
      <c r="R14" s="2244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</row>
    <row r="15" spans="1:47" s="172" customFormat="1" ht="28.5" customHeight="1" x14ac:dyDescent="0.25">
      <c r="B15" s="2273"/>
      <c r="C15" s="2274"/>
      <c r="D15" s="1493" t="s">
        <v>226</v>
      </c>
      <c r="E15" s="1291" t="s">
        <v>86</v>
      </c>
      <c r="F15" s="1525" t="s">
        <v>227</v>
      </c>
      <c r="G15" s="1291" t="s">
        <v>409</v>
      </c>
      <c r="H15" s="1291" t="s">
        <v>86</v>
      </c>
      <c r="I15" s="1525" t="s">
        <v>227</v>
      </c>
      <c r="J15" s="1291" t="s">
        <v>409</v>
      </c>
      <c r="K15" s="1291" t="s">
        <v>86</v>
      </c>
      <c r="L15" s="1294" t="s">
        <v>227</v>
      </c>
      <c r="M15" s="169" t="s">
        <v>409</v>
      </c>
      <c r="N15" s="1291" t="s">
        <v>86</v>
      </c>
      <c r="O15" s="1519" t="s">
        <v>227</v>
      </c>
      <c r="P15" s="1525" t="s">
        <v>409</v>
      </c>
      <c r="Q15" s="1291" t="s">
        <v>86</v>
      </c>
      <c r="R15" s="1519" t="s">
        <v>227</v>
      </c>
      <c r="T15" s="606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</row>
    <row r="16" spans="1:47" s="172" customFormat="1" ht="15" customHeight="1" x14ac:dyDescent="0.2">
      <c r="A16" s="1615" t="s">
        <v>1443</v>
      </c>
      <c r="B16" s="1773" t="s">
        <v>253</v>
      </c>
      <c r="C16" s="1383" t="s">
        <v>737</v>
      </c>
      <c r="D16" s="235" t="s">
        <v>1616</v>
      </c>
      <c r="E16" s="236" t="s">
        <v>1617</v>
      </c>
      <c r="F16" s="237" t="s">
        <v>1618</v>
      </c>
      <c r="G16" s="235" t="s">
        <v>1619</v>
      </c>
      <c r="H16" s="145" t="s">
        <v>1620</v>
      </c>
      <c r="I16" s="146" t="s">
        <v>1621</v>
      </c>
      <c r="J16" s="235" t="s">
        <v>1622</v>
      </c>
      <c r="K16" s="145" t="s">
        <v>1623</v>
      </c>
      <c r="L16" s="146" t="s">
        <v>1624</v>
      </c>
      <c r="M16" s="238" t="s">
        <v>1625</v>
      </c>
      <c r="N16" s="145" t="s">
        <v>1626</v>
      </c>
      <c r="O16" s="146" t="s">
        <v>1627</v>
      </c>
      <c r="P16" s="239" t="s">
        <v>1628</v>
      </c>
      <c r="Q16" s="145" t="s">
        <v>1629</v>
      </c>
      <c r="R16" s="146" t="s">
        <v>1630</v>
      </c>
      <c r="S16" s="172" t="str">
        <f t="shared" ref="S16:S40" si="0">AK16&amp;AL16&amp;AM16&amp;AN16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91" t="str">
        <f>IF(AND(E16&gt;0,OR(N16=""))," * No olvide digitar la variable Pueblos Originarios Hombres. Digite Cero si no tiene.",IF(N16&gt;E16," * La variable Pueblos Originarios Hombres no puede ser Mayor al Total Hombres.",""))</f>
        <v xml:space="preserve"> * La variable Pueblos Originarios Hombres no puede ser Mayor al Total Hombres.</v>
      </c>
      <c r="AL16" s="191" t="str">
        <f t="shared" ref="AL16:AL18" si="1">IF(AND(F16&gt;0,OR(O16=""))," * No olvide digitar la variable Pueblos Originarios Mujeres. Digite Cero si no tiene.",IF(O16&gt;F16," * La variable Pueblos Originarios Mujeres no puede ser Mayor al Total Mujeres.",""))</f>
        <v xml:space="preserve"> * La variable Pueblos Originarios Mujeres no puede ser Mayor al Total Mujeres.</v>
      </c>
      <c r="AM16" s="191" t="str">
        <f t="shared" ref="AM16:AM18" si="2">IF(AND($E16&gt;0,OR(Q16=""))," * No olvide digitar la variable Migrantes Hombres. Digite Cero si no tiene.",IF(Q16&gt;$E16," * La variable Migrantes Hombres no puede ser Mayor al Total Hombres.",""))</f>
        <v xml:space="preserve"> * La variable Migrantes Hombres no puede ser Mayor al Total Hombres.</v>
      </c>
      <c r="AN16" s="191" t="str">
        <f>IF(AND($F16&gt;0,OR(R16=""))," * No olvide digitar la variable Migrantes Mujeres. Digite Cero si no tiene.",IF(R16&gt;$F16," * La variable Migrantes Mujeres no puede ser Mayor al Total Mujeres.",""))</f>
        <v xml:space="preserve"> * La variable Migrantes Mujeres no puede ser Mayor al Total Mujeres.</v>
      </c>
      <c r="AO16" s="108"/>
      <c r="AP16" s="108"/>
      <c r="AQ16" s="108"/>
      <c r="AR16" s="1047">
        <f t="shared" ref="AR16:AR18" si="3">IF(AND($E16&gt;0,OR(N16="")),1,IF(N16&gt;$E16,1,0))</f>
        <v>1</v>
      </c>
      <c r="AS16" s="1047">
        <f t="shared" ref="AS16:AS18" si="4">IF(AND($F16&gt;0,OR(O16="")),1,IF(O16&gt;$F16,1,0))</f>
        <v>1</v>
      </c>
      <c r="AT16" s="1047">
        <f t="shared" ref="AT16:AT18" si="5">IF(AND($E16&gt;0,OR(Q16="")),1,IF(Q16&gt;$E16,1,0))</f>
        <v>1</v>
      </c>
      <c r="AU16" s="1047">
        <f t="shared" ref="AU16:AU18" si="6">IF(AND($F16&gt;0,OR(R16="")),1,IF(R16&gt;$F16,1,0))</f>
        <v>1</v>
      </c>
    </row>
    <row r="17" spans="1:47" s="172" customFormat="1" ht="15" customHeight="1" x14ac:dyDescent="0.25">
      <c r="A17" s="1615" t="s">
        <v>1444</v>
      </c>
      <c r="B17" s="1773"/>
      <c r="C17" s="114" t="s">
        <v>738</v>
      </c>
      <c r="D17" s="240" t="s">
        <v>1616</v>
      </c>
      <c r="E17" s="241" t="s">
        <v>1617</v>
      </c>
      <c r="F17" s="237" t="s">
        <v>1618</v>
      </c>
      <c r="G17" s="240" t="s">
        <v>1619</v>
      </c>
      <c r="H17" s="147" t="s">
        <v>1620</v>
      </c>
      <c r="I17" s="148" t="s">
        <v>1621</v>
      </c>
      <c r="J17" s="240" t="s">
        <v>1622</v>
      </c>
      <c r="K17" s="147" t="s">
        <v>1623</v>
      </c>
      <c r="L17" s="148" t="s">
        <v>1624</v>
      </c>
      <c r="M17" s="242" t="s">
        <v>1625</v>
      </c>
      <c r="N17" s="147" t="s">
        <v>1626</v>
      </c>
      <c r="O17" s="148" t="s">
        <v>1627</v>
      </c>
      <c r="P17" s="243" t="s">
        <v>1628</v>
      </c>
      <c r="Q17" s="147" t="s">
        <v>1629</v>
      </c>
      <c r="R17" s="148" t="s">
        <v>1630</v>
      </c>
      <c r="S17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T17" s="606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91" t="str">
        <f t="shared" ref="AK17:AK18" si="7">IF(AND(E17&gt;0,OR(N17=""))," * No olvide digitar la variable Pueblos Originarios Hombres. Digite Cero si no tiene.",IF(N17&gt;E17," * La variable Pueblos Originarios Hombres no puede ser Mayor al Total Hombres.",""))</f>
        <v xml:space="preserve"> * La variable Pueblos Originarios Hombres no puede ser Mayor al Total Hombres.</v>
      </c>
      <c r="AL17" s="191" t="str">
        <f t="shared" si="1"/>
        <v xml:space="preserve"> * La variable Pueblos Originarios Mujeres no puede ser Mayor al Total Mujeres.</v>
      </c>
      <c r="AM17" s="191" t="str">
        <f t="shared" si="2"/>
        <v xml:space="preserve"> * La variable Migrantes Hombres no puede ser Mayor al Total Hombres.</v>
      </c>
      <c r="AN17" s="191" t="str">
        <f>IF(AND($F17&gt;0,OR(R17=""))," * No olvide digitar la variable Migrantes Mujeres. Digite Cero si no tiene.",IF(R17&gt;$F17," * La variable Migrantes Mujeres no puede ser Mayor al Total Mujeres.",""))</f>
        <v xml:space="preserve"> * La variable Migrantes Mujeres no puede ser Mayor al Total Mujeres.</v>
      </c>
      <c r="AO17" s="108"/>
      <c r="AP17" s="108"/>
      <c r="AQ17" s="108"/>
      <c r="AR17" s="1047">
        <f t="shared" si="3"/>
        <v>1</v>
      </c>
      <c r="AS17" s="1047">
        <f t="shared" si="4"/>
        <v>1</v>
      </c>
      <c r="AT17" s="1047">
        <f t="shared" si="5"/>
        <v>1</v>
      </c>
      <c r="AU17" s="1047">
        <f t="shared" si="6"/>
        <v>1</v>
      </c>
    </row>
    <row r="18" spans="1:47" s="172" customFormat="1" ht="15" customHeight="1" x14ac:dyDescent="0.2">
      <c r="A18" s="1615" t="s">
        <v>1445</v>
      </c>
      <c r="B18" s="1773"/>
      <c r="C18" s="115" t="s">
        <v>739</v>
      </c>
      <c r="D18" s="244" t="s">
        <v>1616</v>
      </c>
      <c r="E18" s="245" t="s">
        <v>1617</v>
      </c>
      <c r="F18" s="246" t="s">
        <v>1618</v>
      </c>
      <c r="G18" s="244" t="s">
        <v>1619</v>
      </c>
      <c r="H18" s="149" t="s">
        <v>1620</v>
      </c>
      <c r="I18" s="150" t="s">
        <v>1621</v>
      </c>
      <c r="J18" s="244" t="s">
        <v>1622</v>
      </c>
      <c r="K18" s="149" t="s">
        <v>1623</v>
      </c>
      <c r="L18" s="150" t="s">
        <v>1624</v>
      </c>
      <c r="M18" s="247" t="s">
        <v>1625</v>
      </c>
      <c r="N18" s="149" t="s">
        <v>1626</v>
      </c>
      <c r="O18" s="150" t="s">
        <v>1627</v>
      </c>
      <c r="P18" s="246" t="s">
        <v>1628</v>
      </c>
      <c r="Q18" s="149" t="s">
        <v>1629</v>
      </c>
      <c r="R18" s="150" t="s">
        <v>1630</v>
      </c>
      <c r="S18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Hombres.</v>
      </c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91" t="str">
        <f t="shared" si="7"/>
        <v xml:space="preserve"> * La variable Pueblos Originarios Hombres no puede ser Mayor al Total Hombres.</v>
      </c>
      <c r="AL18" s="191" t="str">
        <f t="shared" si="1"/>
        <v xml:space="preserve"> * La variable Pueblos Originarios Mujeres no puede ser Mayor al Total Mujeres.</v>
      </c>
      <c r="AM18" s="191" t="str">
        <f t="shared" si="2"/>
        <v xml:space="preserve"> * La variable Migrantes Hombres no puede ser Mayor al Total Hombres.</v>
      </c>
      <c r="AN18" s="191" t="str">
        <f t="shared" ref="AN18" si="8">IF(AND($F18&gt;0,OR(R18=""))," * No olvide digitar la variable Migrantes Mujeres. Digite Cero si no tiene.",IF(R18&gt;$F18," * La variable Migrantes Mujeres no puede ser Mayor al Total Hombres.",""))</f>
        <v xml:space="preserve"> * La variable Migrantes Mujeres no puede ser Mayor al Total Hombres.</v>
      </c>
      <c r="AO18" s="108"/>
      <c r="AP18" s="108"/>
      <c r="AQ18" s="108"/>
      <c r="AR18" s="1047">
        <f t="shared" si="3"/>
        <v>1</v>
      </c>
      <c r="AS18" s="1047">
        <f t="shared" si="4"/>
        <v>1</v>
      </c>
      <c r="AT18" s="1047">
        <f t="shared" si="5"/>
        <v>1</v>
      </c>
      <c r="AU18" s="1047">
        <f t="shared" si="6"/>
        <v>1</v>
      </c>
    </row>
    <row r="19" spans="1:47" s="172" customFormat="1" ht="15" customHeight="1" x14ac:dyDescent="0.2">
      <c r="A19" s="1616"/>
      <c r="B19" s="1773"/>
      <c r="C19" s="116" t="s">
        <v>740</v>
      </c>
      <c r="D19" s="248">
        <f t="shared" ref="D19:D41" si="9">SUM(E19:F19)</f>
        <v>0</v>
      </c>
      <c r="E19" s="249">
        <f>+H19+K19</f>
        <v>0</v>
      </c>
      <c r="F19" s="250">
        <f>+I19+L19</f>
        <v>0</v>
      </c>
      <c r="G19" s="248">
        <f t="shared" ref="G19:R19" si="10">SUM(G16:G18)</f>
        <v>0</v>
      </c>
      <c r="H19" s="249">
        <f t="shared" si="10"/>
        <v>0</v>
      </c>
      <c r="I19" s="250">
        <f t="shared" si="10"/>
        <v>0</v>
      </c>
      <c r="J19" s="248">
        <f t="shared" si="10"/>
        <v>0</v>
      </c>
      <c r="K19" s="249">
        <f t="shared" si="10"/>
        <v>0</v>
      </c>
      <c r="L19" s="251">
        <f t="shared" si="10"/>
        <v>0</v>
      </c>
      <c r="M19" s="252">
        <f t="shared" si="10"/>
        <v>0</v>
      </c>
      <c r="N19" s="249">
        <f t="shared" si="10"/>
        <v>0</v>
      </c>
      <c r="O19" s="250">
        <f t="shared" si="10"/>
        <v>0</v>
      </c>
      <c r="P19" s="250">
        <f t="shared" si="10"/>
        <v>0</v>
      </c>
      <c r="Q19" s="249">
        <f t="shared" si="10"/>
        <v>0</v>
      </c>
      <c r="R19" s="253">
        <f t="shared" si="10"/>
        <v>0</v>
      </c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</row>
    <row r="20" spans="1:47" s="172" customFormat="1" ht="15" customHeight="1" x14ac:dyDescent="0.2">
      <c r="A20" s="1615" t="s">
        <v>1446</v>
      </c>
      <c r="B20" s="1773"/>
      <c r="C20" s="1384" t="s">
        <v>741</v>
      </c>
      <c r="D20" s="235" t="s">
        <v>1616</v>
      </c>
      <c r="E20" s="236" t="s">
        <v>1617</v>
      </c>
      <c r="F20" s="237" t="s">
        <v>1618</v>
      </c>
      <c r="G20" s="235" t="s">
        <v>1619</v>
      </c>
      <c r="H20" s="135" t="s">
        <v>1620</v>
      </c>
      <c r="I20" s="136" t="s">
        <v>1621</v>
      </c>
      <c r="J20" s="235" t="s">
        <v>1622</v>
      </c>
      <c r="K20" s="135" t="s">
        <v>1623</v>
      </c>
      <c r="L20" s="157" t="s">
        <v>1624</v>
      </c>
      <c r="M20" s="254" t="s">
        <v>1625</v>
      </c>
      <c r="N20" s="135" t="s">
        <v>1626</v>
      </c>
      <c r="O20" s="136" t="s">
        <v>1627</v>
      </c>
      <c r="P20" s="237" t="s">
        <v>1628</v>
      </c>
      <c r="Q20" s="135" t="s">
        <v>1629</v>
      </c>
      <c r="R20" s="136" t="s">
        <v>1630</v>
      </c>
      <c r="S20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91" t="str">
        <f>IF(AND(E20&gt;0,OR(N20=""))," * No olvide digitar la variable Pueblos Originarios Hombres. Digite Cero si no tiene.",IF(N20&gt;E20," * La variable Pueblos Originarios Hombres no puede ser Mayor al Total Hombres.",""))</f>
        <v xml:space="preserve"> * La variable Pueblos Originarios Hombres no puede ser Mayor al Total Hombres.</v>
      </c>
      <c r="AL20" s="191" t="str">
        <f>IF(AND(F20&gt;0,OR(O20=""))," * No olvide digitar la variable Pueblos Originarios Mujeres. Digite Cero si no tiene.",IF(O20&gt;F20," * La variable Pueblos Originarios Mujeres no puede ser Mayor al Total Mujeres.",""))</f>
        <v xml:space="preserve"> * La variable Pueblos Originarios Mujeres no puede ser Mayor al Total Mujeres.</v>
      </c>
      <c r="AM20" s="191" t="str">
        <f>IF(AND($E20&gt;0,OR(Q20=""))," * No olvide digitar la variable Migrantes Hombres. Digite Cero si no tiene.",IF(Q20&gt;$E20," * La variable Migrantes Hombres no puede ser Mayor al Total Hombres.",""))</f>
        <v xml:space="preserve"> * La variable Migrantes Hombres no puede ser Mayor al Total Hombres.</v>
      </c>
      <c r="AN20" s="191" t="str">
        <f>IF(AND($F20&gt;0,OR(R20=""))," * No olvide digitar la variable Migrantes Mujeres. Digite Cero si no tiene.",IF(R20&gt;$F20," * La variable Migrantes Mujeres no puede ser Mayor al Total Mujeres.",""))</f>
        <v xml:space="preserve"> * La variable Migrantes Mujeres no puede ser Mayor al Total Mujeres.</v>
      </c>
      <c r="AO20" s="108"/>
      <c r="AP20" s="108"/>
      <c r="AQ20" s="108"/>
      <c r="AR20" s="1047">
        <f>IF(AND($E20&gt;0,OR(N20="")),1,IF(N20&gt;$E20,1,0))</f>
        <v>1</v>
      </c>
      <c r="AS20" s="1047">
        <f>IF(AND($F20&gt;0,OR(O20="")),1,IF(O20&gt;$F20,1,0))</f>
        <v>1</v>
      </c>
      <c r="AT20" s="1047">
        <f>IF(AND($E20&gt;0,OR(Q20="")),1,IF(Q20&gt;$E20,1,0))</f>
        <v>1</v>
      </c>
      <c r="AU20" s="1047">
        <f>IF(AND($F20&gt;0,OR(R20="")),1,IF(R20&gt;$F20,1,0))</f>
        <v>1</v>
      </c>
    </row>
    <row r="21" spans="1:47" s="172" customFormat="1" ht="15" customHeight="1" x14ac:dyDescent="0.2">
      <c r="A21" s="1615" t="s">
        <v>1447</v>
      </c>
      <c r="B21" s="1773"/>
      <c r="C21" s="63" t="s">
        <v>742</v>
      </c>
      <c r="D21" s="255" t="s">
        <v>1616</v>
      </c>
      <c r="E21" s="256" t="s">
        <v>1617</v>
      </c>
      <c r="F21" s="152" t="s">
        <v>1618</v>
      </c>
      <c r="G21" s="255" t="s">
        <v>1619</v>
      </c>
      <c r="H21" s="137" t="s">
        <v>1620</v>
      </c>
      <c r="I21" s="138" t="s">
        <v>1621</v>
      </c>
      <c r="J21" s="255" t="s">
        <v>1622</v>
      </c>
      <c r="K21" s="137" t="s">
        <v>1623</v>
      </c>
      <c r="L21" s="168" t="s">
        <v>1624</v>
      </c>
      <c r="M21" s="257" t="s">
        <v>1625</v>
      </c>
      <c r="N21" s="137" t="s">
        <v>1626</v>
      </c>
      <c r="O21" s="138" t="s">
        <v>1627</v>
      </c>
      <c r="P21" s="258" t="s">
        <v>1628</v>
      </c>
      <c r="Q21" s="137" t="s">
        <v>1629</v>
      </c>
      <c r="R21" s="138" t="s">
        <v>1630</v>
      </c>
      <c r="S21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91" t="str">
        <f>IF(AND(E21&gt;0,OR(N21=""))," * No olvide digitar la variable Pueblos Originarios Hombres. Digite Cero si no tiene.",IF(N21&gt;E21," * La variable Pueblos Originarios Hombres no puede ser Mayor al Total Hombres.",""))</f>
        <v xml:space="preserve"> * La variable Pueblos Originarios Hombres no puede ser Mayor al Total Hombres.</v>
      </c>
      <c r="AL21" s="191" t="str">
        <f>IF(AND(F21&gt;0,OR(O21=""))," * No olvide digitar la variable Pueblos Originarios Mujeres. Digite Cero si no tiene.",IF(O21&gt;F21," * La variable Pueblos Originarios Mujeres no puede ser Mayor al Total Mujeres.",""))</f>
        <v xml:space="preserve"> * La variable Pueblos Originarios Mujeres no puede ser Mayor al Total Mujeres.</v>
      </c>
      <c r="AM21" s="191" t="str">
        <f>IF(AND($E21&gt;0,OR(Q21=""))," * No olvide digitar la variable Migrantes Hombres. Digite Cero si no tiene.",IF(Q21&gt;$E21," * La variable Migrantes Hombres no puede ser Mayor al Total Hombres.",""))</f>
        <v xml:space="preserve"> * La variable Migrantes Hombres no puede ser Mayor al Total Hombres.</v>
      </c>
      <c r="AN21" s="191" t="str">
        <f>IF(AND($F21&gt;0,OR(R21=""))," * No olvide digitar la variable Migrantes Mujeres. Digite Cero si no tiene.",IF(R21&gt;$F21," * La variable Migrantes Mujeres no puede ser Mayor al Total Mujeres.",""))</f>
        <v xml:space="preserve"> * La variable Migrantes Mujeres no puede ser Mayor al Total Mujeres.</v>
      </c>
      <c r="AO21" s="108"/>
      <c r="AP21" s="108"/>
      <c r="AQ21" s="108"/>
      <c r="AR21" s="1047">
        <f>IF(AND($E21&gt;0,OR(N21="")),1,IF(N21&gt;$E21,1,0))</f>
        <v>1</v>
      </c>
      <c r="AS21" s="1047">
        <f>IF(AND($F21&gt;0,OR(O21="")),1,IF(O21&gt;$F21,1,0))</f>
        <v>1</v>
      </c>
      <c r="AT21" s="1047">
        <f>IF(AND($E21&gt;0,OR(Q21="")),1,IF(Q21&gt;$E21,1,0))</f>
        <v>1</v>
      </c>
      <c r="AU21" s="1047">
        <f>IF(AND($F21&gt;0,OR(R21="")),1,IF(R21&gt;$F21,1,0))</f>
        <v>1</v>
      </c>
    </row>
    <row r="22" spans="1:47" s="172" customFormat="1" ht="15" customHeight="1" x14ac:dyDescent="0.2">
      <c r="A22" s="1616"/>
      <c r="B22" s="1773"/>
      <c r="C22" s="1459" t="s">
        <v>740</v>
      </c>
      <c r="D22" s="1521">
        <f t="shared" si="9"/>
        <v>0</v>
      </c>
      <c r="E22" s="1292">
        <f t="shared" ref="E22" si="11">+H22+K22</f>
        <v>0</v>
      </c>
      <c r="F22" s="1522">
        <f t="shared" ref="F22:F41" si="12">+I22+L22</f>
        <v>0</v>
      </c>
      <c r="G22" s="1521">
        <f t="shared" ref="G22:L22" si="13">SUM(G20:G21)</f>
        <v>0</v>
      </c>
      <c r="H22" s="1292">
        <f>SUM(H20:H21)</f>
        <v>0</v>
      </c>
      <c r="I22" s="1522">
        <f>SUM(I20:I21)</f>
        <v>0</v>
      </c>
      <c r="J22" s="1521">
        <f t="shared" si="13"/>
        <v>0</v>
      </c>
      <c r="K22" s="1292">
        <f t="shared" si="13"/>
        <v>0</v>
      </c>
      <c r="L22" s="1295">
        <f t="shared" si="13"/>
        <v>0</v>
      </c>
      <c r="M22" s="234">
        <f t="shared" ref="M22:R22" si="14">SUM(M20:M21)</f>
        <v>0</v>
      </c>
      <c r="N22" s="1292">
        <f t="shared" si="14"/>
        <v>0</v>
      </c>
      <c r="O22" s="1522">
        <f t="shared" si="14"/>
        <v>0</v>
      </c>
      <c r="P22" s="1522">
        <f t="shared" si="14"/>
        <v>0</v>
      </c>
      <c r="Q22" s="1292">
        <f t="shared" si="14"/>
        <v>0</v>
      </c>
      <c r="R22" s="1220">
        <f t="shared" si="14"/>
        <v>0</v>
      </c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</row>
    <row r="23" spans="1:47" s="172" customFormat="1" ht="15" customHeight="1" x14ac:dyDescent="0.2">
      <c r="A23" s="1615" t="s">
        <v>1448</v>
      </c>
      <c r="B23" s="1774"/>
      <c r="C23" s="1472" t="s">
        <v>743</v>
      </c>
      <c r="D23" s="1521" t="s">
        <v>1616</v>
      </c>
      <c r="E23" s="1292" t="s">
        <v>1617</v>
      </c>
      <c r="F23" s="1522" t="s">
        <v>1618</v>
      </c>
      <c r="G23" s="1521" t="s">
        <v>1619</v>
      </c>
      <c r="H23" s="1296" t="s">
        <v>1620</v>
      </c>
      <c r="I23" s="1221" t="s">
        <v>1621</v>
      </c>
      <c r="J23" s="1521" t="s">
        <v>1622</v>
      </c>
      <c r="K23" s="1296" t="s">
        <v>1623</v>
      </c>
      <c r="L23" s="166" t="s">
        <v>1624</v>
      </c>
      <c r="M23" s="234" t="s">
        <v>1625</v>
      </c>
      <c r="N23" s="1296" t="s">
        <v>1626</v>
      </c>
      <c r="O23" s="1221" t="s">
        <v>1627</v>
      </c>
      <c r="P23" s="1522" t="s">
        <v>1628</v>
      </c>
      <c r="Q23" s="1296" t="s">
        <v>1629</v>
      </c>
      <c r="R23" s="1221" t="s">
        <v>1630</v>
      </c>
      <c r="S23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91" t="str">
        <f t="shared" ref="AK23:AK25" si="15">IF(AND(E23&gt;0,OR(N23=""))," * No olvide digitar la variable Pueblos Originarios Hombres. Digite Cero si no tiene.",IF(N23&gt;E23," * La variable Pueblos Originarios Hombres no puede ser Mayor al Total Hombres.",""))</f>
        <v xml:space="preserve"> * La variable Pueblos Originarios Hombres no puede ser Mayor al Total Hombres.</v>
      </c>
      <c r="AL23" s="191" t="str">
        <f t="shared" ref="AL23:AL25" si="16">IF(AND(F23&gt;0,OR(O23=""))," * No olvide digitar la variable Pueblos Originarios Mujeres. Digite Cero si no tiene.",IF(O23&gt;F23," * La variable Pueblos Originarios Mujeres no puede ser Mayor al Total Mujeres.",""))</f>
        <v xml:space="preserve"> * La variable Pueblos Originarios Mujeres no puede ser Mayor al Total Mujeres.</v>
      </c>
      <c r="AM23" s="191" t="str">
        <f t="shared" ref="AM23:AM25" si="17">IF(AND($E23&gt;0,OR(Q23=""))," * No olvide digitar la variable Migrantes Hombres. Digite Cero si no tiene.",IF(Q23&gt;$E23," * La variable Migrantes Hombres no puede ser Mayor al Total Hombres.",""))</f>
        <v xml:space="preserve"> * La variable Migrantes Hombres no puede ser Mayor al Total Hombres.</v>
      </c>
      <c r="AN23" s="1347" t="str">
        <f>IF(AND($F23&gt;0,OR(R23=""))," * No olvide digitar la variable Migrantes Mujeres. Digite Cero si no tiene.",IF(R23&gt;$F23," * La variable Migrantes Mujeres no puede ser Mayor al Total Mujeres.",""))</f>
        <v xml:space="preserve"> * La variable Migrantes Mujeres no puede ser Mayor al Total Mujeres.</v>
      </c>
      <c r="AO23" s="108"/>
      <c r="AP23" s="108"/>
      <c r="AQ23" s="108"/>
      <c r="AR23" s="1047">
        <f t="shared" ref="AR23:AR25" si="18">IF(AND($E23&gt;0,OR(N23="")),1,IF(N23&gt;$E23,1,0))</f>
        <v>1</v>
      </c>
      <c r="AS23" s="1047">
        <f t="shared" ref="AS23:AS25" si="19">IF(AND($F23&gt;0,OR(O23="")),1,IF(O23&gt;$F23,1,0))</f>
        <v>1</v>
      </c>
      <c r="AT23" s="1047">
        <f t="shared" ref="AT23:AT25" si="20">IF(AND($E23&gt;0,OR(Q23="")),1,IF(Q23&gt;$E23,1,0))</f>
        <v>1</v>
      </c>
      <c r="AU23" s="1047">
        <f t="shared" ref="AU23:AU25" si="21">IF(AND($F23&gt;0,OR(R23="")),1,IF(R23&gt;$F23,1,0))</f>
        <v>1</v>
      </c>
    </row>
    <row r="24" spans="1:47" s="172" customFormat="1" ht="15" customHeight="1" x14ac:dyDescent="0.2">
      <c r="A24" s="1615" t="s">
        <v>1449</v>
      </c>
      <c r="B24" s="1775" t="s">
        <v>235</v>
      </c>
      <c r="C24" s="1297" t="s">
        <v>744</v>
      </c>
      <c r="D24" s="139" t="s">
        <v>1616</v>
      </c>
      <c r="E24" s="236" t="s">
        <v>1617</v>
      </c>
      <c r="F24" s="237" t="s">
        <v>1618</v>
      </c>
      <c r="G24" s="139" t="s">
        <v>1619</v>
      </c>
      <c r="H24" s="135" t="s">
        <v>1620</v>
      </c>
      <c r="I24" s="136" t="s">
        <v>1621</v>
      </c>
      <c r="J24" s="139" t="s">
        <v>1622</v>
      </c>
      <c r="K24" s="135" t="s">
        <v>1623</v>
      </c>
      <c r="L24" s="157" t="s">
        <v>1624</v>
      </c>
      <c r="M24" s="770" t="s">
        <v>1625</v>
      </c>
      <c r="N24" s="135" t="s">
        <v>1626</v>
      </c>
      <c r="O24" s="136" t="s">
        <v>1627</v>
      </c>
      <c r="P24" s="771" t="s">
        <v>1628</v>
      </c>
      <c r="Q24" s="135" t="s">
        <v>1629</v>
      </c>
      <c r="R24" s="136" t="s">
        <v>1630</v>
      </c>
      <c r="S24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91" t="str">
        <f t="shared" si="15"/>
        <v xml:space="preserve"> * La variable Pueblos Originarios Hombres no puede ser Mayor al Total Hombres.</v>
      </c>
      <c r="AL24" s="191" t="str">
        <f t="shared" si="16"/>
        <v xml:space="preserve"> * La variable Pueblos Originarios Mujeres no puede ser Mayor al Total Mujeres.</v>
      </c>
      <c r="AM24" s="191" t="str">
        <f t="shared" si="17"/>
        <v xml:space="preserve"> * La variable Migrantes Hombres no puede ser Mayor al Total Hombres.</v>
      </c>
      <c r="AN24" s="1347" t="str">
        <f>IF(AND($F24&gt;0,OR(R24=""))," * No olvide digitar la variable Migrantes Mujeres. Digite Cero si no tiene.",IF(R24&gt;$F24," * La variable Migrantes Mujeres no puede ser Mayor al Total Mujeres.",""))</f>
        <v xml:space="preserve"> * La variable Migrantes Mujeres no puede ser Mayor al Total Mujeres.</v>
      </c>
      <c r="AO24" s="108"/>
      <c r="AP24" s="108"/>
      <c r="AQ24" s="108"/>
      <c r="AR24" s="1047">
        <f t="shared" si="18"/>
        <v>1</v>
      </c>
      <c r="AS24" s="1047">
        <f t="shared" si="19"/>
        <v>1</v>
      </c>
      <c r="AT24" s="1047">
        <f t="shared" si="20"/>
        <v>1</v>
      </c>
      <c r="AU24" s="1047">
        <f t="shared" si="21"/>
        <v>1</v>
      </c>
    </row>
    <row r="25" spans="1:47" s="172" customFormat="1" ht="15" customHeight="1" x14ac:dyDescent="0.2">
      <c r="A25" s="1615" t="s">
        <v>1450</v>
      </c>
      <c r="B25" s="1773"/>
      <c r="C25" s="114" t="s">
        <v>745</v>
      </c>
      <c r="D25" s="140" t="s">
        <v>1616</v>
      </c>
      <c r="E25" s="256" t="s">
        <v>1617</v>
      </c>
      <c r="F25" s="152" t="s">
        <v>1618</v>
      </c>
      <c r="G25" s="140" t="s">
        <v>1619</v>
      </c>
      <c r="H25" s="149" t="s">
        <v>1620</v>
      </c>
      <c r="I25" s="150" t="s">
        <v>1621</v>
      </c>
      <c r="J25" s="185" t="s">
        <v>1622</v>
      </c>
      <c r="K25" s="149" t="s">
        <v>1623</v>
      </c>
      <c r="L25" s="158" t="s">
        <v>1624</v>
      </c>
      <c r="M25" s="772" t="s">
        <v>1625</v>
      </c>
      <c r="N25" s="149" t="s">
        <v>1626</v>
      </c>
      <c r="O25" s="150" t="s">
        <v>1627</v>
      </c>
      <c r="P25" s="773" t="s">
        <v>1628</v>
      </c>
      <c r="Q25" s="149" t="s">
        <v>1629</v>
      </c>
      <c r="R25" s="150" t="s">
        <v>1630</v>
      </c>
      <c r="S25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91" t="str">
        <f t="shared" si="15"/>
        <v xml:space="preserve"> * La variable Pueblos Originarios Hombres no puede ser Mayor al Total Hombres.</v>
      </c>
      <c r="AL25" s="191" t="str">
        <f t="shared" si="16"/>
        <v xml:space="preserve"> * La variable Pueblos Originarios Mujeres no puede ser Mayor al Total Mujeres.</v>
      </c>
      <c r="AM25" s="191" t="str">
        <f t="shared" si="17"/>
        <v xml:space="preserve"> * La variable Migrantes Hombres no puede ser Mayor al Total Hombres.</v>
      </c>
      <c r="AN25" s="1347" t="str">
        <f>IF(AND($F25&gt;0,OR(R25=""))," * No olvide digitar la variable Migrantes Mujeres. Digite Cero si no tiene.",IF(R25&gt;$F25," * La variable Migrantes Mujeres no puede ser Mayor al Total Mujeres.",""))</f>
        <v xml:space="preserve"> * La variable Migrantes Mujeres no puede ser Mayor al Total Mujeres.</v>
      </c>
      <c r="AO25" s="108"/>
      <c r="AP25" s="108"/>
      <c r="AQ25" s="108"/>
      <c r="AR25" s="1047">
        <f t="shared" si="18"/>
        <v>1</v>
      </c>
      <c r="AS25" s="1047">
        <f t="shared" si="19"/>
        <v>1</v>
      </c>
      <c r="AT25" s="1047">
        <f t="shared" si="20"/>
        <v>1</v>
      </c>
      <c r="AU25" s="1047">
        <f t="shared" si="21"/>
        <v>1</v>
      </c>
    </row>
    <row r="26" spans="1:47" s="172" customFormat="1" ht="15" customHeight="1" x14ac:dyDescent="0.2">
      <c r="A26" s="1616"/>
      <c r="B26" s="1773"/>
      <c r="C26" s="1526" t="s">
        <v>740</v>
      </c>
      <c r="D26" s="1466">
        <f t="shared" si="9"/>
        <v>0</v>
      </c>
      <c r="E26" s="1292">
        <f t="shared" ref="E26:E34" si="22">+H26+K26</f>
        <v>0</v>
      </c>
      <c r="F26" s="1522">
        <f t="shared" si="12"/>
        <v>0</v>
      </c>
      <c r="G26" s="1521">
        <f t="shared" ref="G26:R26" si="23">SUM(G24:G25)</f>
        <v>0</v>
      </c>
      <c r="H26" s="1292">
        <f>SUM(H24:H25)</f>
        <v>0</v>
      </c>
      <c r="I26" s="1522">
        <f>SUM(I24:I25)</f>
        <v>0</v>
      </c>
      <c r="J26" s="1521">
        <f>SUM(J24:J25)</f>
        <v>0</v>
      </c>
      <c r="K26" s="1292">
        <f t="shared" si="23"/>
        <v>0</v>
      </c>
      <c r="L26" s="1295">
        <f t="shared" si="23"/>
        <v>0</v>
      </c>
      <c r="M26" s="234">
        <f>SUM(M24:M25)</f>
        <v>0</v>
      </c>
      <c r="N26" s="1292">
        <f t="shared" si="23"/>
        <v>0</v>
      </c>
      <c r="O26" s="1522">
        <f t="shared" si="23"/>
        <v>0</v>
      </c>
      <c r="P26" s="1522">
        <f>SUM(P24:P25)</f>
        <v>0</v>
      </c>
      <c r="Q26" s="1292">
        <f t="shared" si="23"/>
        <v>0</v>
      </c>
      <c r="R26" s="1220">
        <f t="shared" si="23"/>
        <v>0</v>
      </c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</row>
    <row r="27" spans="1:47" s="172" customFormat="1" ht="15" customHeight="1" x14ac:dyDescent="0.2">
      <c r="A27" s="1615" t="s">
        <v>1451</v>
      </c>
      <c r="B27" s="1773"/>
      <c r="C27" s="1383" t="s">
        <v>746</v>
      </c>
      <c r="D27" s="139" t="s">
        <v>1616</v>
      </c>
      <c r="E27" s="236" t="s">
        <v>1617</v>
      </c>
      <c r="F27" s="237" t="s">
        <v>1618</v>
      </c>
      <c r="G27" s="139" t="s">
        <v>1619</v>
      </c>
      <c r="H27" s="135" t="s">
        <v>1620</v>
      </c>
      <c r="I27" s="136" t="s">
        <v>1621</v>
      </c>
      <c r="J27" s="139" t="s">
        <v>1622</v>
      </c>
      <c r="K27" s="135" t="s">
        <v>1623</v>
      </c>
      <c r="L27" s="160" t="s">
        <v>1624</v>
      </c>
      <c r="M27" s="770" t="s">
        <v>1625</v>
      </c>
      <c r="N27" s="135" t="s">
        <v>1626</v>
      </c>
      <c r="O27" s="136" t="s">
        <v>1627</v>
      </c>
      <c r="P27" s="771" t="s">
        <v>1628</v>
      </c>
      <c r="Q27" s="135" t="s">
        <v>1629</v>
      </c>
      <c r="R27" s="136" t="s">
        <v>1630</v>
      </c>
      <c r="S27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91" t="str">
        <f t="shared" ref="AK27:AK28" si="24">IF(AND(E27&gt;0,OR(N27=""))," * No olvide digitar la variable Pueblos Originarios Hombres. Digite Cero si no tiene.",IF(N27&gt;E27," * La variable Pueblos Originarios Hombres no puede ser Mayor al Total Hombres.",""))</f>
        <v xml:space="preserve"> * La variable Pueblos Originarios Hombres no puede ser Mayor al Total Hombres.</v>
      </c>
      <c r="AL27" s="191" t="str">
        <f t="shared" ref="AL27:AL28" si="25">IF(AND(F27&gt;0,OR(O27=""))," * No olvide digitar la variable Pueblos Originarios Mujeres. Digite Cero si no tiene.",IF(O27&gt;F27," * La variable Pueblos Originarios Mujeres no puede ser Mayor al Total Mujeres.",""))</f>
        <v xml:space="preserve"> * La variable Pueblos Originarios Mujeres no puede ser Mayor al Total Mujeres.</v>
      </c>
      <c r="AM27" s="191" t="str">
        <f t="shared" ref="AM27:AM28" si="26">IF(AND($E27&gt;0,OR(Q27=""))," * No olvide digitar la variable Migrantes Hombres. Digite Cero si no tiene.",IF(Q27&gt;$E27," * La variable Migrantes Hombres no puede ser Mayor al Total Hombres.",""))</f>
        <v xml:space="preserve"> * La variable Migrantes Hombres no puede ser Mayor al Total Hombres.</v>
      </c>
      <c r="AN27" s="1347" t="str">
        <f>IF(AND($F27&gt;0,OR(R27=""))," * No olvide digitar la variable Migrantes Mujeres. Digite Cero si no tiene.",IF(R27&gt;$F27," * La variable Migrantes Mujeres no puede ser Mayor al Total Mujeres.",""))</f>
        <v xml:space="preserve"> * La variable Migrantes Mujeres no puede ser Mayor al Total Mujeres.</v>
      </c>
      <c r="AO27" s="108"/>
      <c r="AP27" s="108"/>
      <c r="AQ27" s="108"/>
      <c r="AR27" s="1047">
        <f t="shared" ref="AR27:AR28" si="27">IF(AND($E27&gt;0,OR(N27="")),1,IF(N27&gt;$E27,1,0))</f>
        <v>1</v>
      </c>
      <c r="AS27" s="1047">
        <f t="shared" ref="AS27:AS28" si="28">IF(AND($F27&gt;0,OR(O27="")),1,IF(O27&gt;$F27,1,0))</f>
        <v>1</v>
      </c>
      <c r="AT27" s="1047">
        <f t="shared" ref="AT27:AT28" si="29">IF(AND($E27&gt;0,OR(Q27="")),1,IF(Q27&gt;$E27,1,0))</f>
        <v>1</v>
      </c>
      <c r="AU27" s="1047">
        <f t="shared" ref="AU27:AU28" si="30">IF(AND($F27&gt;0,OR(R27="")),1,IF(R27&gt;$F27,1,0))</f>
        <v>1</v>
      </c>
    </row>
    <row r="28" spans="1:47" s="172" customFormat="1" ht="15" customHeight="1" x14ac:dyDescent="0.2">
      <c r="A28" s="1615" t="s">
        <v>1452</v>
      </c>
      <c r="B28" s="1773"/>
      <c r="C28" s="118" t="s">
        <v>747</v>
      </c>
      <c r="D28" s="140" t="s">
        <v>1616</v>
      </c>
      <c r="E28" s="256" t="s">
        <v>1617</v>
      </c>
      <c r="F28" s="152" t="s">
        <v>1618</v>
      </c>
      <c r="G28" s="140" t="s">
        <v>1619</v>
      </c>
      <c r="H28" s="137" t="s">
        <v>1620</v>
      </c>
      <c r="I28" s="138" t="s">
        <v>1621</v>
      </c>
      <c r="J28" s="140" t="s">
        <v>1622</v>
      </c>
      <c r="K28" s="137" t="s">
        <v>1623</v>
      </c>
      <c r="L28" s="158" t="s">
        <v>1624</v>
      </c>
      <c r="M28" s="774" t="s">
        <v>1625</v>
      </c>
      <c r="N28" s="137" t="s">
        <v>1626</v>
      </c>
      <c r="O28" s="138" t="s">
        <v>1627</v>
      </c>
      <c r="P28" s="775" t="s">
        <v>1628</v>
      </c>
      <c r="Q28" s="137" t="s">
        <v>1629</v>
      </c>
      <c r="R28" s="138" t="s">
        <v>1630</v>
      </c>
      <c r="S28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91" t="str">
        <f t="shared" si="24"/>
        <v xml:space="preserve"> * La variable Pueblos Originarios Hombres no puede ser Mayor al Total Hombres.</v>
      </c>
      <c r="AL28" s="191" t="str">
        <f t="shared" si="25"/>
        <v xml:space="preserve"> * La variable Pueblos Originarios Mujeres no puede ser Mayor al Total Mujeres.</v>
      </c>
      <c r="AM28" s="191" t="str">
        <f t="shared" si="26"/>
        <v xml:space="preserve"> * La variable Migrantes Hombres no puede ser Mayor al Total Hombres.</v>
      </c>
      <c r="AN28" s="1347" t="str">
        <f>IF(AND($F28&gt;0,OR(R28=""))," * No olvide digitar la variable Migrantes Mujeres. Digite Cero si no tiene.",IF(R28&gt;$F28," * La variable Migrantes Mujeres no puede ser Mayor al Total Mujeres.",""))</f>
        <v xml:space="preserve"> * La variable Migrantes Mujeres no puede ser Mayor al Total Mujeres.</v>
      </c>
      <c r="AO28" s="108"/>
      <c r="AP28" s="108"/>
      <c r="AQ28" s="108"/>
      <c r="AR28" s="1047">
        <f t="shared" si="27"/>
        <v>1</v>
      </c>
      <c r="AS28" s="1047">
        <f t="shared" si="28"/>
        <v>1</v>
      </c>
      <c r="AT28" s="1047">
        <f t="shared" si="29"/>
        <v>1</v>
      </c>
      <c r="AU28" s="1047">
        <f t="shared" si="30"/>
        <v>1</v>
      </c>
    </row>
    <row r="29" spans="1:47" s="172" customFormat="1" ht="15" customHeight="1" x14ac:dyDescent="0.2">
      <c r="A29" s="1616"/>
      <c r="B29" s="1773"/>
      <c r="C29" s="1527" t="s">
        <v>740</v>
      </c>
      <c r="D29" s="1521">
        <f t="shared" si="9"/>
        <v>0</v>
      </c>
      <c r="E29" s="1292">
        <f t="shared" si="22"/>
        <v>0</v>
      </c>
      <c r="F29" s="1522">
        <f t="shared" si="12"/>
        <v>0</v>
      </c>
      <c r="G29" s="1521">
        <f t="shared" ref="G29:R29" si="31">SUM(G27:G28)</f>
        <v>0</v>
      </c>
      <c r="H29" s="1292">
        <f>SUM(H27:H28)</f>
        <v>0</v>
      </c>
      <c r="I29" s="1522">
        <f t="shared" si="31"/>
        <v>0</v>
      </c>
      <c r="J29" s="1521">
        <f>SUM(J27:J28)</f>
        <v>0</v>
      </c>
      <c r="K29" s="1292">
        <f t="shared" si="31"/>
        <v>0</v>
      </c>
      <c r="L29" s="1295">
        <f t="shared" si="31"/>
        <v>0</v>
      </c>
      <c r="M29" s="234">
        <f t="shared" si="31"/>
        <v>0</v>
      </c>
      <c r="N29" s="1292">
        <f t="shared" si="31"/>
        <v>0</v>
      </c>
      <c r="O29" s="1522">
        <f t="shared" si="31"/>
        <v>0</v>
      </c>
      <c r="P29" s="1522">
        <f>SUM(P27:P28)</f>
        <v>0</v>
      </c>
      <c r="Q29" s="1292">
        <f t="shared" si="31"/>
        <v>0</v>
      </c>
      <c r="R29" s="1220">
        <f t="shared" si="31"/>
        <v>0</v>
      </c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</row>
    <row r="30" spans="1:47" s="172" customFormat="1" ht="15" customHeight="1" x14ac:dyDescent="0.2">
      <c r="A30" s="1615" t="s">
        <v>1453</v>
      </c>
      <c r="B30" s="1774"/>
      <c r="C30" s="117" t="s">
        <v>748</v>
      </c>
      <c r="D30" s="776" t="s">
        <v>1616</v>
      </c>
      <c r="E30" s="249" t="s">
        <v>1617</v>
      </c>
      <c r="F30" s="250" t="s">
        <v>1618</v>
      </c>
      <c r="G30" s="776" t="s">
        <v>1619</v>
      </c>
      <c r="H30" s="147" t="s">
        <v>1620</v>
      </c>
      <c r="I30" s="148" t="s">
        <v>1621</v>
      </c>
      <c r="J30" s="776" t="s">
        <v>1622</v>
      </c>
      <c r="K30" s="1296" t="s">
        <v>1623</v>
      </c>
      <c r="L30" s="166" t="s">
        <v>1624</v>
      </c>
      <c r="M30" s="777" t="s">
        <v>1625</v>
      </c>
      <c r="N30" s="1296" t="s">
        <v>1626</v>
      </c>
      <c r="O30" s="1221" t="s">
        <v>1627</v>
      </c>
      <c r="P30" s="778" t="s">
        <v>1628</v>
      </c>
      <c r="Q30" s="1296" t="s">
        <v>1629</v>
      </c>
      <c r="R30" s="1221" t="s">
        <v>1630</v>
      </c>
      <c r="S30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91" t="str">
        <f t="shared" ref="AK30:AK33" si="32">IF(AND(E30&gt;0,OR(N30=""))," * No olvide digitar la variable Pueblos Originarios Hombres. Digite Cero si no tiene.",IF(N30&gt;E30," * La variable Pueblos Originarios Hombres no puede ser Mayor al Total Hombres.",""))</f>
        <v xml:space="preserve"> * La variable Pueblos Originarios Hombres no puede ser Mayor al Total Hombres.</v>
      </c>
      <c r="AL30" s="191" t="str">
        <f t="shared" ref="AL30:AL33" si="33">IF(AND(F30&gt;0,OR(O30=""))," * No olvide digitar la variable Pueblos Originarios Mujeres. Digite Cero si no tiene.",IF(O30&gt;F30," * La variable Pueblos Originarios Mujeres no puede ser Mayor al Total Mujeres.",""))</f>
        <v xml:space="preserve"> * La variable Pueblos Originarios Mujeres no puede ser Mayor al Total Mujeres.</v>
      </c>
      <c r="AM30" s="191" t="str">
        <f t="shared" ref="AM30:AM33" si="34">IF(AND($E30&gt;0,OR(Q30=""))," * No olvide digitar la variable Migrantes Hombres. Digite Cero si no tiene.",IF(Q30&gt;$E30," * La variable Migrantes Hombres no puede ser Mayor al Total Hombres.",""))</f>
        <v xml:space="preserve"> * La variable Migrantes Hombres no puede ser Mayor al Total Hombres.</v>
      </c>
      <c r="AN30" s="1347" t="str">
        <f>IF(AND($F30&gt;0,OR(R30=""))," * No olvide digitar la variable Migrantes Mujeres. Digite Cero si no tiene.",IF(R30&gt;$F30," * La variable Migrantes Mujeres no puede ser Mayor al Total Mujeres.",""))</f>
        <v xml:space="preserve"> * La variable Migrantes Mujeres no puede ser Mayor al Total Mujeres.</v>
      </c>
      <c r="AO30" s="108"/>
      <c r="AP30" s="108"/>
      <c r="AQ30" s="108"/>
      <c r="AR30" s="1047">
        <f t="shared" ref="AR30:AR33" si="35">IF(AND($E30&gt;0,OR(N30="")),1,IF(N30&gt;$E30,1,0))</f>
        <v>1</v>
      </c>
      <c r="AS30" s="1047">
        <f t="shared" ref="AS30:AS33" si="36">IF(AND($F30&gt;0,OR(O30="")),1,IF(O30&gt;$F30,1,0))</f>
        <v>1</v>
      </c>
      <c r="AT30" s="1047">
        <f t="shared" ref="AT30:AT33" si="37">IF(AND($E30&gt;0,OR(Q30="")),1,IF(Q30&gt;$E30,1,0))</f>
        <v>1</v>
      </c>
      <c r="AU30" s="1047">
        <f t="shared" ref="AU30:AU33" si="38">IF(AND($F30&gt;0,OR(R30="")),1,IF(R30&gt;$F30,1,0))</f>
        <v>1</v>
      </c>
    </row>
    <row r="31" spans="1:47" s="172" customFormat="1" ht="15" customHeight="1" x14ac:dyDescent="0.2">
      <c r="A31" s="1615" t="s">
        <v>1454</v>
      </c>
      <c r="B31" s="1775" t="s">
        <v>749</v>
      </c>
      <c r="C31" s="64" t="s">
        <v>750</v>
      </c>
      <c r="D31" s="139" t="s">
        <v>1616</v>
      </c>
      <c r="E31" s="236" t="s">
        <v>1617</v>
      </c>
      <c r="F31" s="237" t="s">
        <v>1618</v>
      </c>
      <c r="G31" s="139" t="s">
        <v>1619</v>
      </c>
      <c r="H31" s="145" t="s">
        <v>1620</v>
      </c>
      <c r="I31" s="146" t="s">
        <v>1621</v>
      </c>
      <c r="J31" s="186" t="s">
        <v>1622</v>
      </c>
      <c r="K31" s="145" t="s">
        <v>1623</v>
      </c>
      <c r="L31" s="160" t="s">
        <v>1624</v>
      </c>
      <c r="M31" s="779" t="s">
        <v>1625</v>
      </c>
      <c r="N31" s="145" t="s">
        <v>1626</v>
      </c>
      <c r="O31" s="146" t="s">
        <v>1627</v>
      </c>
      <c r="P31" s="780" t="s">
        <v>1628</v>
      </c>
      <c r="Q31" s="145" t="s">
        <v>1629</v>
      </c>
      <c r="R31" s="146" t="s">
        <v>1630</v>
      </c>
      <c r="S31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91" t="str">
        <f t="shared" si="32"/>
        <v xml:space="preserve"> * La variable Pueblos Originarios Hombres no puede ser Mayor al Total Hombres.</v>
      </c>
      <c r="AL31" s="191" t="str">
        <f t="shared" si="33"/>
        <v xml:space="preserve"> * La variable Pueblos Originarios Mujeres no puede ser Mayor al Total Mujeres.</v>
      </c>
      <c r="AM31" s="191" t="str">
        <f t="shared" si="34"/>
        <v xml:space="preserve"> * La variable Migrantes Hombres no puede ser Mayor al Total Hombres.</v>
      </c>
      <c r="AN31" s="1347" t="str">
        <f>IF(AND($F31&gt;0,OR(R31=""))," * No olvide digitar la variable Migrantes Mujeres. Digite Cero si no tiene.",IF(R31&gt;$F31," * La variable Migrantes Mujeres no puede ser Mayor al Total Mujeres.",""))</f>
        <v xml:space="preserve"> * La variable Migrantes Mujeres no puede ser Mayor al Total Mujeres.</v>
      </c>
      <c r="AO31" s="108"/>
      <c r="AP31" s="108"/>
      <c r="AQ31" s="108"/>
      <c r="AR31" s="1047">
        <f t="shared" si="35"/>
        <v>1</v>
      </c>
      <c r="AS31" s="1047">
        <f t="shared" si="36"/>
        <v>1</v>
      </c>
      <c r="AT31" s="1047">
        <f t="shared" si="37"/>
        <v>1</v>
      </c>
      <c r="AU31" s="1047">
        <f t="shared" si="38"/>
        <v>1</v>
      </c>
    </row>
    <row r="32" spans="1:47" s="172" customFormat="1" ht="15" customHeight="1" x14ac:dyDescent="0.2">
      <c r="A32" s="1615" t="s">
        <v>1455</v>
      </c>
      <c r="B32" s="1773"/>
      <c r="C32" s="1634" t="s">
        <v>751</v>
      </c>
      <c r="D32" s="142" t="s">
        <v>1616</v>
      </c>
      <c r="E32" s="241" t="s">
        <v>1617</v>
      </c>
      <c r="F32" s="237" t="s">
        <v>1618</v>
      </c>
      <c r="G32" s="142" t="s">
        <v>1619</v>
      </c>
      <c r="H32" s="147" t="s">
        <v>1620</v>
      </c>
      <c r="I32" s="148" t="s">
        <v>1621</v>
      </c>
      <c r="J32" s="142" t="s">
        <v>1622</v>
      </c>
      <c r="K32" s="147" t="s">
        <v>1623</v>
      </c>
      <c r="L32" s="167" t="s">
        <v>1624</v>
      </c>
      <c r="M32" s="781" t="s">
        <v>1625</v>
      </c>
      <c r="N32" s="147" t="s">
        <v>1626</v>
      </c>
      <c r="O32" s="148" t="s">
        <v>1627</v>
      </c>
      <c r="P32" s="208" t="s">
        <v>1628</v>
      </c>
      <c r="Q32" s="147" t="s">
        <v>1629</v>
      </c>
      <c r="R32" s="148" t="s">
        <v>1630</v>
      </c>
      <c r="S32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91" t="str">
        <f t="shared" si="32"/>
        <v xml:space="preserve"> * La variable Pueblos Originarios Hombres no puede ser Mayor al Total Hombres.</v>
      </c>
      <c r="AL32" s="191" t="str">
        <f t="shared" si="33"/>
        <v xml:space="preserve"> * La variable Pueblos Originarios Mujeres no puede ser Mayor al Total Mujeres.</v>
      </c>
      <c r="AM32" s="191" t="str">
        <f t="shared" si="34"/>
        <v xml:space="preserve"> * La variable Migrantes Hombres no puede ser Mayor al Total Hombres.</v>
      </c>
      <c r="AN32" s="1347" t="str">
        <f>IF(AND($F32&gt;0,OR(R32=""))," * No olvide digitar la variable Migrantes Mujeres. Digite Cero si no tiene.",IF(R32&gt;$F32," * La variable Migrantes Mujeres no puede ser Mayor al Total Mujeres.",""))</f>
        <v xml:space="preserve"> * La variable Migrantes Mujeres no puede ser Mayor al Total Mujeres.</v>
      </c>
      <c r="AO32" s="108"/>
      <c r="AP32" s="108"/>
      <c r="AQ32" s="108"/>
      <c r="AR32" s="1047">
        <f t="shared" si="35"/>
        <v>1</v>
      </c>
      <c r="AS32" s="1047">
        <f t="shared" si="36"/>
        <v>1</v>
      </c>
      <c r="AT32" s="1047">
        <f t="shared" si="37"/>
        <v>1</v>
      </c>
      <c r="AU32" s="1047">
        <f t="shared" si="38"/>
        <v>1</v>
      </c>
    </row>
    <row r="33" spans="1:47" s="172" customFormat="1" ht="15" customHeight="1" x14ac:dyDescent="0.2">
      <c r="A33" s="1615" t="s">
        <v>1456</v>
      </c>
      <c r="B33" s="1773"/>
      <c r="C33" s="1633" t="s">
        <v>752</v>
      </c>
      <c r="D33" s="140" t="s">
        <v>1616</v>
      </c>
      <c r="E33" s="256" t="s">
        <v>1617</v>
      </c>
      <c r="F33" s="152" t="s">
        <v>1618</v>
      </c>
      <c r="G33" s="140" t="s">
        <v>1619</v>
      </c>
      <c r="H33" s="149" t="s">
        <v>1620</v>
      </c>
      <c r="I33" s="150" t="s">
        <v>1621</v>
      </c>
      <c r="J33" s="185" t="s">
        <v>1622</v>
      </c>
      <c r="K33" s="149" t="s">
        <v>1623</v>
      </c>
      <c r="L33" s="158" t="s">
        <v>1624</v>
      </c>
      <c r="M33" s="772" t="s">
        <v>1625</v>
      </c>
      <c r="N33" s="149" t="s">
        <v>1626</v>
      </c>
      <c r="O33" s="150" t="s">
        <v>1627</v>
      </c>
      <c r="P33" s="773" t="s">
        <v>1628</v>
      </c>
      <c r="Q33" s="149" t="s">
        <v>1629</v>
      </c>
      <c r="R33" s="150" t="s">
        <v>1630</v>
      </c>
      <c r="S33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91" t="str">
        <f t="shared" si="32"/>
        <v xml:space="preserve"> * La variable Pueblos Originarios Hombres no puede ser Mayor al Total Hombres.</v>
      </c>
      <c r="AL33" s="191" t="str">
        <f t="shared" si="33"/>
        <v xml:space="preserve"> * La variable Pueblos Originarios Mujeres no puede ser Mayor al Total Mujeres.</v>
      </c>
      <c r="AM33" s="191" t="str">
        <f t="shared" si="34"/>
        <v xml:space="preserve"> * La variable Migrantes Hombres no puede ser Mayor al Total Hombres.</v>
      </c>
      <c r="AN33" s="1347" t="str">
        <f>IF(AND($F33&gt;0,OR(R33=""))," * No olvide digitar la variable Migrantes Mujeres. Digite Cero si no tiene.",IF(R33&gt;$F33," * La variable Migrantes Mujeres no puede ser Mayor al Total Mujeres.",""))</f>
        <v xml:space="preserve"> * La variable Migrantes Mujeres no puede ser Mayor al Total Mujeres.</v>
      </c>
      <c r="AO33" s="108"/>
      <c r="AP33" s="108"/>
      <c r="AQ33" s="108"/>
      <c r="AR33" s="1047">
        <f t="shared" si="35"/>
        <v>1</v>
      </c>
      <c r="AS33" s="1047">
        <f t="shared" si="36"/>
        <v>1</v>
      </c>
      <c r="AT33" s="1047">
        <f t="shared" si="37"/>
        <v>1</v>
      </c>
      <c r="AU33" s="1047">
        <f t="shared" si="38"/>
        <v>1</v>
      </c>
    </row>
    <row r="34" spans="1:47" s="172" customFormat="1" ht="15" customHeight="1" x14ac:dyDescent="0.2">
      <c r="A34" s="1616"/>
      <c r="B34" s="1774"/>
      <c r="C34" s="1443" t="s">
        <v>49</v>
      </c>
      <c r="D34" s="1521">
        <f t="shared" si="9"/>
        <v>0</v>
      </c>
      <c r="E34" s="1292">
        <f t="shared" si="22"/>
        <v>0</v>
      </c>
      <c r="F34" s="1522">
        <f t="shared" si="12"/>
        <v>0</v>
      </c>
      <c r="G34" s="1521">
        <f>SUM(G31:G33)</f>
        <v>0</v>
      </c>
      <c r="H34" s="1292">
        <f>SUM(H31:H33)</f>
        <v>0</v>
      </c>
      <c r="I34" s="1522">
        <f t="shared" ref="I34:R34" si="39">SUM(I31:I33)</f>
        <v>0</v>
      </c>
      <c r="J34" s="1521">
        <f>SUM(J31:J33)</f>
        <v>0</v>
      </c>
      <c r="K34" s="1292">
        <f t="shared" si="39"/>
        <v>0</v>
      </c>
      <c r="L34" s="1528">
        <f t="shared" si="39"/>
        <v>0</v>
      </c>
      <c r="M34" s="234">
        <f>SUM(M31:M33)</f>
        <v>0</v>
      </c>
      <c r="N34" s="1292">
        <f t="shared" si="39"/>
        <v>0</v>
      </c>
      <c r="O34" s="1522">
        <f t="shared" si="39"/>
        <v>0</v>
      </c>
      <c r="P34" s="1522">
        <f>SUM(P31:P33)</f>
        <v>0</v>
      </c>
      <c r="Q34" s="1292">
        <f t="shared" si="39"/>
        <v>0</v>
      </c>
      <c r="R34" s="1220">
        <f t="shared" si="39"/>
        <v>0</v>
      </c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</row>
    <row r="35" spans="1:47" s="172" customFormat="1" ht="15" customHeight="1" x14ac:dyDescent="0.2">
      <c r="A35" s="1615" t="s">
        <v>1457</v>
      </c>
      <c r="B35" s="1773" t="s">
        <v>753</v>
      </c>
      <c r="C35" s="120" t="s">
        <v>754</v>
      </c>
      <c r="D35" s="139" t="s">
        <v>1616</v>
      </c>
      <c r="E35" s="236" t="s">
        <v>1617</v>
      </c>
      <c r="F35" s="237" t="s">
        <v>1618</v>
      </c>
      <c r="G35" s="139" t="s">
        <v>1619</v>
      </c>
      <c r="H35" s="147" t="s">
        <v>1620</v>
      </c>
      <c r="I35" s="148" t="s">
        <v>1621</v>
      </c>
      <c r="J35" s="186" t="s">
        <v>1622</v>
      </c>
      <c r="K35" s="147" t="s">
        <v>1623</v>
      </c>
      <c r="L35" s="170" t="s">
        <v>1624</v>
      </c>
      <c r="M35" s="779" t="s">
        <v>1625</v>
      </c>
      <c r="N35" s="147" t="s">
        <v>1626</v>
      </c>
      <c r="O35" s="146" t="s">
        <v>1627</v>
      </c>
      <c r="P35" s="780" t="s">
        <v>1628</v>
      </c>
      <c r="Q35" s="147" t="s">
        <v>1629</v>
      </c>
      <c r="R35" s="148" t="s">
        <v>1630</v>
      </c>
      <c r="S35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91" t="str">
        <f t="shared" ref="AK35:AK40" si="40">IF(AND(E35&gt;0,OR(N35=""))," * No olvide digitar la variable Pueblos Originarios Hombres. Digite Cero si no tiene.",IF(N35&gt;E35," * La variable Pueblos Originarios Hombres no puede ser Mayor al Total Hombres.",""))</f>
        <v xml:space="preserve"> * La variable Pueblos Originarios Hombres no puede ser Mayor al Total Hombres.</v>
      </c>
      <c r="AL35" s="191" t="str">
        <f t="shared" ref="AL35:AL40" si="41">IF(AND(F35&gt;0,OR(O35=""))," * No olvide digitar la variable Pueblos Originarios Mujeres. Digite Cero si no tiene.",IF(O35&gt;F35," * La variable Pueblos Originarios Mujeres no puede ser Mayor al Total Mujeres.",""))</f>
        <v xml:space="preserve"> * La variable Pueblos Originarios Mujeres no puede ser Mayor al Total Mujeres.</v>
      </c>
      <c r="AM35" s="191" t="str">
        <f t="shared" ref="AM35:AM40" si="42">IF(AND($E35&gt;0,OR(Q35=""))," * No olvide digitar la variable Migrantes Hombres. Digite Cero si no tiene.",IF(Q35&gt;$E35," * La variable Migrantes Hombres no puede ser Mayor al Total Hombres.",""))</f>
        <v xml:space="preserve"> * La variable Migrantes Hombres no puede ser Mayor al Total Hombres.</v>
      </c>
      <c r="AN35" s="1347" t="str">
        <f t="shared" ref="AN35:AN40" si="43">IF(AND($F35&gt;0,OR(R35=""))," * No olvide digitar la variable Migrantes Mujeres. Digite Cero si no tiene.",IF(R35&gt;$F35," * La variable Migrantes Mujeres no puede ser Mayor al Total Mujeres.",""))</f>
        <v xml:space="preserve"> * La variable Migrantes Mujeres no puede ser Mayor al Total Mujeres.</v>
      </c>
      <c r="AO35" s="108"/>
      <c r="AP35" s="108"/>
      <c r="AQ35" s="108"/>
      <c r="AR35" s="1047">
        <f t="shared" ref="AR35:AR40" si="44">IF(AND($E35&gt;0,OR(N35="")),1,IF(N35&gt;$E35,1,0))</f>
        <v>1</v>
      </c>
      <c r="AS35" s="1047">
        <f t="shared" ref="AS35:AS40" si="45">IF(AND($F35&gt;0,OR(O35="")),1,IF(O35&gt;$F35,1,0))</f>
        <v>1</v>
      </c>
      <c r="AT35" s="1047">
        <f t="shared" ref="AT35:AT40" si="46">IF(AND($E35&gt;0,OR(Q35="")),1,IF(Q35&gt;$E35,1,0))</f>
        <v>1</v>
      </c>
      <c r="AU35" s="1047">
        <f t="shared" ref="AU35:AU40" si="47">IF(AND($F35&gt;0,OR(R35="")),1,IF(R35&gt;$F35,1,0))</f>
        <v>1</v>
      </c>
    </row>
    <row r="36" spans="1:47" s="172" customFormat="1" ht="15" customHeight="1" x14ac:dyDescent="0.2">
      <c r="A36" s="1615" t="s">
        <v>1458</v>
      </c>
      <c r="B36" s="1773"/>
      <c r="C36" s="61" t="s">
        <v>239</v>
      </c>
      <c r="D36" s="142" t="s">
        <v>1616</v>
      </c>
      <c r="E36" s="241" t="s">
        <v>1617</v>
      </c>
      <c r="F36" s="237" t="s">
        <v>1618</v>
      </c>
      <c r="G36" s="142" t="s">
        <v>1619</v>
      </c>
      <c r="H36" s="147" t="s">
        <v>1620</v>
      </c>
      <c r="I36" s="148" t="s">
        <v>1621</v>
      </c>
      <c r="J36" s="142" t="s">
        <v>1622</v>
      </c>
      <c r="K36" s="147" t="s">
        <v>1623</v>
      </c>
      <c r="L36" s="170" t="s">
        <v>1624</v>
      </c>
      <c r="M36" s="781" t="s">
        <v>1625</v>
      </c>
      <c r="N36" s="147" t="s">
        <v>1626</v>
      </c>
      <c r="O36" s="148" t="s">
        <v>1627</v>
      </c>
      <c r="P36" s="208" t="s">
        <v>1628</v>
      </c>
      <c r="Q36" s="147" t="s">
        <v>1629</v>
      </c>
      <c r="R36" s="148" t="s">
        <v>1630</v>
      </c>
      <c r="S36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91" t="str">
        <f t="shared" si="40"/>
        <v xml:space="preserve"> * La variable Pueblos Originarios Hombres no puede ser Mayor al Total Hombres.</v>
      </c>
      <c r="AL36" s="191" t="str">
        <f t="shared" si="41"/>
        <v xml:space="preserve"> * La variable Pueblos Originarios Mujeres no puede ser Mayor al Total Mujeres.</v>
      </c>
      <c r="AM36" s="191" t="str">
        <f t="shared" si="42"/>
        <v xml:space="preserve"> * La variable Migrantes Hombres no puede ser Mayor al Total Hombres.</v>
      </c>
      <c r="AN36" s="1347" t="str">
        <f t="shared" si="43"/>
        <v xml:space="preserve"> * La variable Migrantes Mujeres no puede ser Mayor al Total Mujeres.</v>
      </c>
      <c r="AO36" s="108"/>
      <c r="AP36" s="108"/>
      <c r="AQ36" s="108"/>
      <c r="AR36" s="1047">
        <f t="shared" si="44"/>
        <v>1</v>
      </c>
      <c r="AS36" s="1047">
        <f t="shared" si="45"/>
        <v>1</v>
      </c>
      <c r="AT36" s="1047">
        <f t="shared" si="46"/>
        <v>1</v>
      </c>
      <c r="AU36" s="1047">
        <f t="shared" si="47"/>
        <v>1</v>
      </c>
    </row>
    <row r="37" spans="1:47" s="172" customFormat="1" ht="15" customHeight="1" x14ac:dyDescent="0.2">
      <c r="A37" s="1615" t="s">
        <v>1459</v>
      </c>
      <c r="B37" s="1773"/>
      <c r="C37" s="119" t="s">
        <v>755</v>
      </c>
      <c r="D37" s="142" t="s">
        <v>1616</v>
      </c>
      <c r="E37" s="241" t="s">
        <v>1617</v>
      </c>
      <c r="F37" s="237" t="s">
        <v>1618</v>
      </c>
      <c r="G37" s="142" t="s">
        <v>1619</v>
      </c>
      <c r="H37" s="147" t="s">
        <v>1620</v>
      </c>
      <c r="I37" s="148" t="s">
        <v>1621</v>
      </c>
      <c r="J37" s="142" t="s">
        <v>1622</v>
      </c>
      <c r="K37" s="147" t="s">
        <v>1623</v>
      </c>
      <c r="L37" s="170" t="s">
        <v>1624</v>
      </c>
      <c r="M37" s="781" t="s">
        <v>1625</v>
      </c>
      <c r="N37" s="147" t="s">
        <v>1626</v>
      </c>
      <c r="O37" s="148" t="s">
        <v>1627</v>
      </c>
      <c r="P37" s="208" t="s">
        <v>1628</v>
      </c>
      <c r="Q37" s="147" t="s">
        <v>1629</v>
      </c>
      <c r="R37" s="148" t="s">
        <v>1630</v>
      </c>
      <c r="S37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91" t="str">
        <f t="shared" si="40"/>
        <v xml:space="preserve"> * La variable Pueblos Originarios Hombres no puede ser Mayor al Total Hombres.</v>
      </c>
      <c r="AL37" s="191" t="str">
        <f t="shared" si="41"/>
        <v xml:space="preserve"> * La variable Pueblos Originarios Mujeres no puede ser Mayor al Total Mujeres.</v>
      </c>
      <c r="AM37" s="191" t="str">
        <f t="shared" si="42"/>
        <v xml:space="preserve"> * La variable Migrantes Hombres no puede ser Mayor al Total Hombres.</v>
      </c>
      <c r="AN37" s="1347" t="str">
        <f t="shared" si="43"/>
        <v xml:space="preserve"> * La variable Migrantes Mujeres no puede ser Mayor al Total Mujeres.</v>
      </c>
      <c r="AO37" s="108"/>
      <c r="AP37" s="108"/>
      <c r="AQ37" s="108"/>
      <c r="AR37" s="1047">
        <f t="shared" si="44"/>
        <v>1</v>
      </c>
      <c r="AS37" s="1047">
        <f t="shared" si="45"/>
        <v>1</v>
      </c>
      <c r="AT37" s="1047">
        <f t="shared" si="46"/>
        <v>1</v>
      </c>
      <c r="AU37" s="1047">
        <f t="shared" si="47"/>
        <v>1</v>
      </c>
    </row>
    <row r="38" spans="1:47" s="172" customFormat="1" ht="15" customHeight="1" x14ac:dyDescent="0.2">
      <c r="A38" s="1615" t="s">
        <v>1460</v>
      </c>
      <c r="B38" s="1773"/>
      <c r="C38" s="61" t="s">
        <v>241</v>
      </c>
      <c r="D38" s="142" t="s">
        <v>1616</v>
      </c>
      <c r="E38" s="241" t="s">
        <v>1617</v>
      </c>
      <c r="F38" s="237" t="s">
        <v>1618</v>
      </c>
      <c r="G38" s="142" t="s">
        <v>1619</v>
      </c>
      <c r="H38" s="147" t="s">
        <v>1620</v>
      </c>
      <c r="I38" s="148" t="s">
        <v>1621</v>
      </c>
      <c r="J38" s="142" t="s">
        <v>1622</v>
      </c>
      <c r="K38" s="147" t="s">
        <v>1623</v>
      </c>
      <c r="L38" s="170" t="s">
        <v>1624</v>
      </c>
      <c r="M38" s="781" t="s">
        <v>1625</v>
      </c>
      <c r="N38" s="147" t="s">
        <v>1626</v>
      </c>
      <c r="O38" s="148" t="s">
        <v>1627</v>
      </c>
      <c r="P38" s="208" t="s">
        <v>1628</v>
      </c>
      <c r="Q38" s="147" t="s">
        <v>1629</v>
      </c>
      <c r="R38" s="148" t="s">
        <v>1630</v>
      </c>
      <c r="S38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91" t="str">
        <f t="shared" si="40"/>
        <v xml:space="preserve"> * La variable Pueblos Originarios Hombres no puede ser Mayor al Total Hombres.</v>
      </c>
      <c r="AL38" s="191" t="str">
        <f t="shared" si="41"/>
        <v xml:space="preserve"> * La variable Pueblos Originarios Mujeres no puede ser Mayor al Total Mujeres.</v>
      </c>
      <c r="AM38" s="191" t="str">
        <f t="shared" si="42"/>
        <v xml:space="preserve"> * La variable Migrantes Hombres no puede ser Mayor al Total Hombres.</v>
      </c>
      <c r="AN38" s="1347" t="str">
        <f t="shared" si="43"/>
        <v xml:space="preserve"> * La variable Migrantes Mujeres no puede ser Mayor al Total Mujeres.</v>
      </c>
      <c r="AO38" s="108"/>
      <c r="AP38" s="108"/>
      <c r="AQ38" s="108"/>
      <c r="AR38" s="1047">
        <f t="shared" si="44"/>
        <v>1</v>
      </c>
      <c r="AS38" s="1047">
        <f t="shared" si="45"/>
        <v>1</v>
      </c>
      <c r="AT38" s="1047">
        <f t="shared" si="46"/>
        <v>1</v>
      </c>
      <c r="AU38" s="1047">
        <f t="shared" si="47"/>
        <v>1</v>
      </c>
    </row>
    <row r="39" spans="1:47" s="172" customFormat="1" ht="15" customHeight="1" x14ac:dyDescent="0.2">
      <c r="A39" s="1615" t="s">
        <v>1461</v>
      </c>
      <c r="B39" s="1773"/>
      <c r="C39" s="61" t="s">
        <v>756</v>
      </c>
      <c r="D39" s="142" t="s">
        <v>1616</v>
      </c>
      <c r="E39" s="241" t="s">
        <v>1617</v>
      </c>
      <c r="F39" s="237" t="s">
        <v>1618</v>
      </c>
      <c r="G39" s="142" t="s">
        <v>1619</v>
      </c>
      <c r="H39" s="147" t="s">
        <v>1620</v>
      </c>
      <c r="I39" s="148" t="s">
        <v>1621</v>
      </c>
      <c r="J39" s="142" t="s">
        <v>1622</v>
      </c>
      <c r="K39" s="147" t="s">
        <v>1623</v>
      </c>
      <c r="L39" s="170" t="s">
        <v>1624</v>
      </c>
      <c r="M39" s="781" t="s">
        <v>1625</v>
      </c>
      <c r="N39" s="147" t="s">
        <v>1626</v>
      </c>
      <c r="O39" s="148" t="s">
        <v>1627</v>
      </c>
      <c r="P39" s="208" t="s">
        <v>1628</v>
      </c>
      <c r="Q39" s="147" t="s">
        <v>1629</v>
      </c>
      <c r="R39" s="148" t="s">
        <v>1630</v>
      </c>
      <c r="S39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91" t="str">
        <f t="shared" si="40"/>
        <v xml:space="preserve"> * La variable Pueblos Originarios Hombres no puede ser Mayor al Total Hombres.</v>
      </c>
      <c r="AL39" s="191" t="str">
        <f t="shared" si="41"/>
        <v xml:space="preserve"> * La variable Pueblos Originarios Mujeres no puede ser Mayor al Total Mujeres.</v>
      </c>
      <c r="AM39" s="191" t="str">
        <f t="shared" si="42"/>
        <v xml:space="preserve"> * La variable Migrantes Hombres no puede ser Mayor al Total Hombres.</v>
      </c>
      <c r="AN39" s="1347" t="str">
        <f t="shared" si="43"/>
        <v xml:space="preserve"> * La variable Migrantes Mujeres no puede ser Mayor al Total Mujeres.</v>
      </c>
      <c r="AO39" s="108"/>
      <c r="AP39" s="108"/>
      <c r="AQ39" s="108"/>
      <c r="AR39" s="1047">
        <f t="shared" si="44"/>
        <v>1</v>
      </c>
      <c r="AS39" s="1047">
        <f t="shared" si="45"/>
        <v>1</v>
      </c>
      <c r="AT39" s="1047">
        <f t="shared" si="46"/>
        <v>1</v>
      </c>
      <c r="AU39" s="1047">
        <f t="shared" si="47"/>
        <v>1</v>
      </c>
    </row>
    <row r="40" spans="1:47" s="172" customFormat="1" ht="15" customHeight="1" x14ac:dyDescent="0.2">
      <c r="A40" s="1615" t="s">
        <v>1462</v>
      </c>
      <c r="B40" s="1773"/>
      <c r="C40" s="62" t="s">
        <v>757</v>
      </c>
      <c r="D40" s="140" t="s">
        <v>1616</v>
      </c>
      <c r="E40" s="256" t="s">
        <v>1617</v>
      </c>
      <c r="F40" s="152" t="s">
        <v>1618</v>
      </c>
      <c r="G40" s="140" t="s">
        <v>1619</v>
      </c>
      <c r="H40" s="147" t="s">
        <v>1620</v>
      </c>
      <c r="I40" s="148" t="s">
        <v>1621</v>
      </c>
      <c r="J40" s="185" t="s">
        <v>1622</v>
      </c>
      <c r="K40" s="147" t="s">
        <v>1623</v>
      </c>
      <c r="L40" s="170" t="s">
        <v>1624</v>
      </c>
      <c r="M40" s="772" t="s">
        <v>1625</v>
      </c>
      <c r="N40" s="147" t="s">
        <v>1626</v>
      </c>
      <c r="O40" s="150" t="s">
        <v>1627</v>
      </c>
      <c r="P40" s="773" t="s">
        <v>1628</v>
      </c>
      <c r="Q40" s="147" t="s">
        <v>1629</v>
      </c>
      <c r="R40" s="148" t="s">
        <v>1630</v>
      </c>
      <c r="S40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91" t="str">
        <f t="shared" si="40"/>
        <v xml:space="preserve"> * La variable Pueblos Originarios Hombres no puede ser Mayor al Total Hombres.</v>
      </c>
      <c r="AL40" s="191" t="str">
        <f t="shared" si="41"/>
        <v xml:space="preserve"> * La variable Pueblos Originarios Mujeres no puede ser Mayor al Total Mujeres.</v>
      </c>
      <c r="AM40" s="191" t="str">
        <f t="shared" si="42"/>
        <v xml:space="preserve"> * La variable Migrantes Hombres no puede ser Mayor al Total Hombres.</v>
      </c>
      <c r="AN40" s="1347" t="str">
        <f t="shared" si="43"/>
        <v xml:space="preserve"> * La variable Migrantes Mujeres no puede ser Mayor al Total Mujeres.</v>
      </c>
      <c r="AO40" s="108"/>
      <c r="AP40" s="108"/>
      <c r="AQ40" s="108"/>
      <c r="AR40" s="1047">
        <f t="shared" si="44"/>
        <v>1</v>
      </c>
      <c r="AS40" s="1047">
        <f t="shared" si="45"/>
        <v>1</v>
      </c>
      <c r="AT40" s="1047">
        <f t="shared" si="46"/>
        <v>1</v>
      </c>
      <c r="AU40" s="1047">
        <f t="shared" si="47"/>
        <v>1</v>
      </c>
    </row>
    <row r="41" spans="1:47" s="172" customFormat="1" ht="15" customHeight="1" x14ac:dyDescent="0.2">
      <c r="A41" s="1616"/>
      <c r="B41" s="1773"/>
      <c r="C41" s="1447" t="s">
        <v>242</v>
      </c>
      <c r="D41" s="1521">
        <f t="shared" si="9"/>
        <v>0</v>
      </c>
      <c r="E41" s="1292">
        <f>+H41+K41</f>
        <v>0</v>
      </c>
      <c r="F41" s="1522">
        <f t="shared" si="12"/>
        <v>0</v>
      </c>
      <c r="G41" s="1521">
        <f t="shared" ref="G41:R41" si="48">SUM(G35:G40)</f>
        <v>0</v>
      </c>
      <c r="H41" s="1292">
        <f>SUM(H35:H40)</f>
        <v>0</v>
      </c>
      <c r="I41" s="1522">
        <f t="shared" si="48"/>
        <v>0</v>
      </c>
      <c r="J41" s="1521">
        <f>SUM(J35:J40)</f>
        <v>0</v>
      </c>
      <c r="K41" s="1292">
        <f>SUM(K35:K40)</f>
        <v>0</v>
      </c>
      <c r="L41" s="259">
        <f t="shared" si="48"/>
        <v>0</v>
      </c>
      <c r="M41" s="234">
        <f t="shared" si="48"/>
        <v>0</v>
      </c>
      <c r="N41" s="1292">
        <f>SUM(N35:N40)</f>
        <v>0</v>
      </c>
      <c r="O41" s="1220">
        <f>SUM(O35:O40)</f>
        <v>0</v>
      </c>
      <c r="P41" s="1522">
        <f>SUM(P35:P40)</f>
        <v>0</v>
      </c>
      <c r="Q41" s="1292">
        <f t="shared" si="48"/>
        <v>0</v>
      </c>
      <c r="R41" s="1220">
        <f t="shared" si="48"/>
        <v>0</v>
      </c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</row>
    <row r="42" spans="1:47" s="172" customFormat="1" ht="15" customHeight="1" x14ac:dyDescent="0.2">
      <c r="A42" s="1615" t="s">
        <v>1463</v>
      </c>
      <c r="B42" s="1773"/>
      <c r="C42" s="1385" t="s">
        <v>758</v>
      </c>
      <c r="D42" s="1386" t="s">
        <v>1616</v>
      </c>
      <c r="E42" s="151" t="s">
        <v>1617</v>
      </c>
      <c r="F42" s="152" t="s">
        <v>1618</v>
      </c>
      <c r="G42" s="1387" t="s">
        <v>1619</v>
      </c>
      <c r="H42" s="143" t="s">
        <v>1620</v>
      </c>
      <c r="I42" s="144" t="s">
        <v>1621</v>
      </c>
      <c r="J42" s="1387" t="s">
        <v>1622</v>
      </c>
      <c r="K42" s="143" t="s">
        <v>1623</v>
      </c>
      <c r="L42" s="1298" t="s">
        <v>1624</v>
      </c>
      <c r="M42" s="782" t="s">
        <v>1625</v>
      </c>
      <c r="N42" s="143" t="s">
        <v>1626</v>
      </c>
      <c r="O42" s="144" t="s">
        <v>1627</v>
      </c>
      <c r="P42" s="1299" t="s">
        <v>1628</v>
      </c>
      <c r="Q42" s="143" t="s">
        <v>1629</v>
      </c>
      <c r="R42" s="144" t="s">
        <v>1630</v>
      </c>
      <c r="S42" s="172" t="str">
        <f>AK42&amp;AL42&amp;AM42&amp;AN42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91" t="str">
        <f>IF(AND(E42&gt;0,OR(N42=""))," * No olvide digitar la variable Pueblos Originarios Hombres. Digite Cero si no tiene.",IF(N42&gt;E42," * La variable Pueblos Originarios Hombres no puede ser Mayor al Total Hombres.",""))</f>
        <v xml:space="preserve"> * La variable Pueblos Originarios Hombres no puede ser Mayor al Total Hombres.</v>
      </c>
      <c r="AL42" s="191" t="str">
        <f>IF(AND(F42&gt;0,OR(O42=""))," * No olvide digitar la variable Pueblos Originarios Mujeres. Digite Cero si no tiene.",IF(O42&gt;F42," * La variable Pueblos Originarios Mujeres no puede ser Mayor al Total Mujeres.",""))</f>
        <v xml:space="preserve"> * La variable Pueblos Originarios Mujeres no puede ser Mayor al Total Mujeres.</v>
      </c>
      <c r="AM42" s="191" t="str">
        <f>IF(AND($E42&gt;0,OR(Q42=""))," * No olvide digitar la variable Migrantes Hombres. Digite Cero si no tiene.",IF(Q42&gt;$E42," * La variable Migrantes Hombres no puede ser Mayor al Total Hombres.",""))</f>
        <v xml:space="preserve"> * La variable Migrantes Hombres no puede ser Mayor al Total Hombres.</v>
      </c>
      <c r="AN42" s="1347" t="str">
        <f>IF(AND($F42&gt;0,OR(R42=""))," * No olvide digitar la variable Migrantes Mujeres. Digite Cero si no tiene.",IF(R42&gt;$F42," * La variable Migrantes Mujeres no puede ser Mayor al Total Mujeres.",""))</f>
        <v xml:space="preserve"> * La variable Migrantes Mujeres no puede ser Mayor al Total Mujeres.</v>
      </c>
      <c r="AO42" s="108"/>
      <c r="AP42" s="108"/>
      <c r="AQ42" s="108"/>
      <c r="AR42" s="1047">
        <f>IF(AND($E42&gt;0,OR(N42="")),1,IF(N42&gt;$E42,1,0))</f>
        <v>1</v>
      </c>
      <c r="AS42" s="1047">
        <f>IF(AND($F42&gt;0,OR(O42="")),1,IF(O42&gt;$F42,1,0))</f>
        <v>1</v>
      </c>
      <c r="AT42" s="1047">
        <f>IF(AND($E42&gt;0,OR(Q42="")),1,IF(Q42&gt;$E42,1,0))</f>
        <v>1</v>
      </c>
      <c r="AU42" s="1047">
        <f>IF(AND($F42&gt;0,OR(R42="")),1,IF(R42&gt;$F42,1,0))</f>
        <v>1</v>
      </c>
    </row>
    <row r="43" spans="1:47" s="172" customFormat="1" ht="15" customHeight="1" x14ac:dyDescent="0.2">
      <c r="A43" s="1617"/>
      <c r="B43" s="1774"/>
      <c r="C43" s="1459" t="s">
        <v>612</v>
      </c>
      <c r="D43" s="1521" t="e">
        <f>SUM(D35:D40)+D42</f>
        <v>#VALUE!</v>
      </c>
      <c r="E43" s="1292" t="e">
        <f t="shared" ref="E43:J43" si="49">SUM(E35:E40)+E42</f>
        <v>#VALUE!</v>
      </c>
      <c r="F43" s="1529" t="e">
        <f t="shared" si="49"/>
        <v>#VALUE!</v>
      </c>
      <c r="G43" s="1521" t="e">
        <f t="shared" si="49"/>
        <v>#VALUE!</v>
      </c>
      <c r="H43" s="1292" t="e">
        <f>SUM(H35:H40)+H42</f>
        <v>#VALUE!</v>
      </c>
      <c r="I43" s="1529" t="e">
        <f t="shared" si="49"/>
        <v>#VALUE!</v>
      </c>
      <c r="J43" s="1521" t="e">
        <f t="shared" si="49"/>
        <v>#VALUE!</v>
      </c>
      <c r="K43" s="1292" t="e">
        <f t="shared" ref="K43:R43" si="50">SUM(K35:K40)+K42</f>
        <v>#VALUE!</v>
      </c>
      <c r="L43" s="259" t="e">
        <f t="shared" si="50"/>
        <v>#VALUE!</v>
      </c>
      <c r="M43" s="234" t="e">
        <f t="shared" si="50"/>
        <v>#VALUE!</v>
      </c>
      <c r="N43" s="1292" t="e">
        <f t="shared" si="50"/>
        <v>#VALUE!</v>
      </c>
      <c r="O43" s="1220" t="e">
        <f t="shared" si="50"/>
        <v>#VALUE!</v>
      </c>
      <c r="P43" s="1522" t="e">
        <f t="shared" si="50"/>
        <v>#VALUE!</v>
      </c>
      <c r="Q43" s="1292" t="e">
        <f t="shared" si="50"/>
        <v>#VALUE!</v>
      </c>
      <c r="R43" s="1220" t="e">
        <f t="shared" si="50"/>
        <v>#VALUE!</v>
      </c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  <c r="AM43" s="108"/>
    </row>
    <row r="44" spans="1:47" s="172" customFormat="1" ht="17.100000000000001" customHeight="1" x14ac:dyDescent="0.15">
      <c r="B44" s="2231" t="s">
        <v>759</v>
      </c>
      <c r="C44" s="2231"/>
      <c r="D44" s="2231"/>
      <c r="E44" s="2231"/>
      <c r="F44" s="2231"/>
      <c r="G44" s="2231"/>
      <c r="H44" s="2231"/>
      <c r="I44" s="2231"/>
      <c r="J44" s="2231"/>
      <c r="K44" s="2231"/>
      <c r="L44" s="2231"/>
      <c r="M44" s="2231"/>
      <c r="N44" s="2231"/>
      <c r="O44" s="2231"/>
      <c r="P44" s="2231"/>
      <c r="Q44" s="2231"/>
      <c r="R44" s="2231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</row>
    <row r="45" spans="1:47" s="172" customFormat="1" ht="12" customHeight="1" x14ac:dyDescent="0.15">
      <c r="B45" s="2225" t="s">
        <v>760</v>
      </c>
      <c r="C45" s="2226"/>
      <c r="D45" s="2011" t="s">
        <v>49</v>
      </c>
      <c r="E45" s="2012"/>
      <c r="F45" s="2013"/>
      <c r="G45" s="2195" t="s">
        <v>761</v>
      </c>
      <c r="H45" s="2202"/>
      <c r="I45" s="2192"/>
      <c r="J45" s="2195" t="s">
        <v>762</v>
      </c>
      <c r="K45" s="2202"/>
      <c r="L45" s="2252"/>
      <c r="M45" s="2191" t="s">
        <v>730</v>
      </c>
      <c r="N45" s="2202"/>
      <c r="O45" s="2192"/>
      <c r="P45" s="2202" t="s">
        <v>52</v>
      </c>
      <c r="Q45" s="2202"/>
      <c r="R45" s="2192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</row>
    <row r="46" spans="1:47" s="172" customFormat="1" ht="15" customHeight="1" x14ac:dyDescent="0.15">
      <c r="B46" s="2268"/>
      <c r="C46" s="2269"/>
      <c r="D46" s="2046"/>
      <c r="E46" s="2257"/>
      <c r="F46" s="2047"/>
      <c r="G46" s="2259"/>
      <c r="H46" s="2258"/>
      <c r="I46" s="2201"/>
      <c r="J46" s="2259"/>
      <c r="K46" s="2258"/>
      <c r="L46" s="2260"/>
      <c r="M46" s="2200"/>
      <c r="N46" s="2258"/>
      <c r="O46" s="2201"/>
      <c r="P46" s="2258"/>
      <c r="Q46" s="2258"/>
      <c r="R46" s="2201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</row>
    <row r="47" spans="1:47" s="172" customFormat="1" ht="0.75" customHeight="1" x14ac:dyDescent="0.15">
      <c r="B47" s="2268"/>
      <c r="C47" s="2269"/>
      <c r="D47" s="2046"/>
      <c r="E47" s="2257"/>
      <c r="F47" s="2047"/>
      <c r="G47" s="2196"/>
      <c r="H47" s="2203"/>
      <c r="I47" s="2194"/>
      <c r="J47" s="2196"/>
      <c r="K47" s="2203"/>
      <c r="L47" s="2261"/>
      <c r="M47" s="2193"/>
      <c r="N47" s="2203"/>
      <c r="O47" s="2194"/>
      <c r="P47" s="2203"/>
      <c r="Q47" s="2203"/>
      <c r="R47" s="2194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</row>
    <row r="48" spans="1:47" s="172" customFormat="1" ht="24" customHeight="1" x14ac:dyDescent="0.15">
      <c r="B48" s="2227"/>
      <c r="C48" s="2228"/>
      <c r="D48" s="1291" t="s">
        <v>226</v>
      </c>
      <c r="E48" s="1291" t="s">
        <v>763</v>
      </c>
      <c r="F48" s="1525" t="s">
        <v>85</v>
      </c>
      <c r="G48" s="1291" t="s">
        <v>226</v>
      </c>
      <c r="H48" s="1291" t="s">
        <v>763</v>
      </c>
      <c r="I48" s="1525" t="s">
        <v>85</v>
      </c>
      <c r="J48" s="1291" t="s">
        <v>226</v>
      </c>
      <c r="K48" s="1291" t="s">
        <v>763</v>
      </c>
      <c r="L48" s="1520" t="s">
        <v>85</v>
      </c>
      <c r="M48" s="1291" t="s">
        <v>226</v>
      </c>
      <c r="N48" s="1291" t="s">
        <v>763</v>
      </c>
      <c r="O48" s="1519" t="s">
        <v>85</v>
      </c>
      <c r="P48" s="1530" t="s">
        <v>226</v>
      </c>
      <c r="Q48" s="1291" t="s">
        <v>763</v>
      </c>
      <c r="R48" s="1519" t="s">
        <v>85</v>
      </c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</row>
    <row r="49" spans="1:47" s="172" customFormat="1" ht="15" customHeight="1" x14ac:dyDescent="0.2">
      <c r="A49" s="1615" t="s">
        <v>1464</v>
      </c>
      <c r="B49" s="2255" t="s">
        <v>764</v>
      </c>
      <c r="C49" s="2256"/>
      <c r="D49" s="787" t="s">
        <v>1616</v>
      </c>
      <c r="E49" s="900" t="s">
        <v>1617</v>
      </c>
      <c r="F49" s="787" t="s">
        <v>1618</v>
      </c>
      <c r="G49" s="785" t="s">
        <v>1619</v>
      </c>
      <c r="H49" s="901" t="s">
        <v>1620</v>
      </c>
      <c r="I49" s="146" t="s">
        <v>1621</v>
      </c>
      <c r="J49" s="785" t="s">
        <v>1622</v>
      </c>
      <c r="K49" s="901" t="s">
        <v>1623</v>
      </c>
      <c r="L49" s="902" t="s">
        <v>1624</v>
      </c>
      <c r="M49" s="786" t="s">
        <v>1625</v>
      </c>
      <c r="N49" s="901" t="s">
        <v>1626</v>
      </c>
      <c r="O49" s="146" t="s">
        <v>1627</v>
      </c>
      <c r="P49" s="780" t="s">
        <v>1628</v>
      </c>
      <c r="Q49" s="901" t="s">
        <v>1629</v>
      </c>
      <c r="R49" s="146" t="s">
        <v>1630</v>
      </c>
      <c r="S49" s="172" t="str">
        <f t="shared" ref="S49:S54" si="51">AK49&amp;AL49&amp;AM49&amp;AN49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91" t="str">
        <f t="shared" ref="AK49:AK54" si="52">IF(AND(E49&gt;0,OR(N49=""))," * No olvide digitar la variable Pueblos Originarios Hombres. Digite Cero si no tiene.",IF(N49&gt;E49," * La variable Pueblos Originarios Hombres no puede ser Mayor al Total Hombres.",""))</f>
        <v xml:space="preserve"> * La variable Pueblos Originarios Hombres no puede ser Mayor al Total Hombres.</v>
      </c>
      <c r="AL49" s="191" t="str">
        <f t="shared" ref="AL49:AL54" si="53">IF(AND(F49&gt;0,OR(O49=""))," * No olvide digitar la variable Pueblos Originarios Mujeres. Digite Cero si no tiene.",IF(O49&gt;F49," * La variable Pueblos Originarios Mujeres no puede ser Mayor al Total Mujeres.",""))</f>
        <v xml:space="preserve"> * La variable Pueblos Originarios Mujeres no puede ser Mayor al Total Mujeres.</v>
      </c>
      <c r="AM49" s="191" t="str">
        <f t="shared" ref="AM49:AM54" si="54">IF(AND($E49&gt;0,OR(Q49=""))," * No olvide digitar la variable Migrantes Hombres. Digite Cero si no tiene.",IF(Q49&gt;$E49," * La variable Migrantes Hombres no puede ser Mayor al Total Hombres.",""))</f>
        <v xml:space="preserve"> * La variable Migrantes Hombres no puede ser Mayor al Total Hombres.</v>
      </c>
      <c r="AN49" s="1347" t="str">
        <f t="shared" ref="AN49:AN54" si="55">IF(AND($F49&gt;0,OR(R49=""))," * No olvide digitar la variable Migrantes Mujeres. Digite Cero si no tiene.",IF(R49&gt;$F49," * La variable Migrantes Mujeres no puede ser Mayor al Total Mujeres.",""))</f>
        <v xml:space="preserve"> * La variable Migrantes Mujeres no puede ser Mayor al Total Mujeres.</v>
      </c>
      <c r="AO49" s="108"/>
      <c r="AP49" s="108"/>
      <c r="AQ49" s="108"/>
      <c r="AR49" s="1047">
        <f t="shared" ref="AR49:AR54" si="56">IF(AND($E49&gt;0,OR(N49="")),1,IF(N49&gt;$E49,1,0))</f>
        <v>1</v>
      </c>
      <c r="AS49" s="1047">
        <f t="shared" ref="AS49:AS54" si="57">IF(AND($F49&gt;0,OR(O49="")),1,IF(O49&gt;$F49,1,0))</f>
        <v>1</v>
      </c>
      <c r="AT49" s="1047">
        <f t="shared" ref="AT49:AT54" si="58">IF(AND($E49&gt;0,OR(Q49="")),1,IF(Q49&gt;$E49,1,0))</f>
        <v>1</v>
      </c>
      <c r="AU49" s="1047">
        <f t="shared" ref="AU49:AU54" si="59">IF(AND($F49&gt;0,OR(R49="")),1,IF(R49&gt;$F49,1,0))</f>
        <v>1</v>
      </c>
    </row>
    <row r="50" spans="1:47" s="172" customFormat="1" ht="15" customHeight="1" x14ac:dyDescent="0.2">
      <c r="A50" s="1615" t="s">
        <v>1465</v>
      </c>
      <c r="B50" s="2232" t="s">
        <v>765</v>
      </c>
      <c r="C50" s="2233"/>
      <c r="D50" s="204" t="s">
        <v>1616</v>
      </c>
      <c r="E50" s="205" t="s">
        <v>1617</v>
      </c>
      <c r="F50" s="204" t="s">
        <v>1618</v>
      </c>
      <c r="G50" s="206" t="s">
        <v>1619</v>
      </c>
      <c r="H50" s="153" t="s">
        <v>1620</v>
      </c>
      <c r="I50" s="136" t="s">
        <v>1621</v>
      </c>
      <c r="J50" s="206" t="s">
        <v>1622</v>
      </c>
      <c r="K50" s="153" t="s">
        <v>1623</v>
      </c>
      <c r="L50" s="141" t="s">
        <v>1624</v>
      </c>
      <c r="M50" s="207" t="s">
        <v>1625</v>
      </c>
      <c r="N50" s="153" t="s">
        <v>1626</v>
      </c>
      <c r="O50" s="136" t="s">
        <v>1627</v>
      </c>
      <c r="P50" s="208" t="s">
        <v>1628</v>
      </c>
      <c r="Q50" s="153" t="s">
        <v>1629</v>
      </c>
      <c r="R50" s="136" t="s">
        <v>1630</v>
      </c>
      <c r="S50" s="172" t="str">
        <f t="shared" si="51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91" t="str">
        <f t="shared" si="52"/>
        <v xml:space="preserve"> * La variable Pueblos Originarios Hombres no puede ser Mayor al Total Hombres.</v>
      </c>
      <c r="AL50" s="191" t="str">
        <f t="shared" si="53"/>
        <v xml:space="preserve"> * La variable Pueblos Originarios Mujeres no puede ser Mayor al Total Mujeres.</v>
      </c>
      <c r="AM50" s="191" t="str">
        <f t="shared" si="54"/>
        <v xml:space="preserve"> * La variable Migrantes Hombres no puede ser Mayor al Total Hombres.</v>
      </c>
      <c r="AN50" s="1347" t="str">
        <f t="shared" si="55"/>
        <v xml:space="preserve"> * La variable Migrantes Mujeres no puede ser Mayor al Total Mujeres.</v>
      </c>
      <c r="AO50" s="108"/>
      <c r="AP50" s="108"/>
      <c r="AQ50" s="108"/>
      <c r="AR50" s="1047">
        <f t="shared" si="56"/>
        <v>1</v>
      </c>
      <c r="AS50" s="1047">
        <f t="shared" si="57"/>
        <v>1</v>
      </c>
      <c r="AT50" s="1047">
        <f t="shared" si="58"/>
        <v>1</v>
      </c>
      <c r="AU50" s="1047">
        <f t="shared" si="59"/>
        <v>1</v>
      </c>
    </row>
    <row r="51" spans="1:47" s="172" customFormat="1" ht="15" customHeight="1" x14ac:dyDescent="0.2">
      <c r="A51" s="1615" t="s">
        <v>1466</v>
      </c>
      <c r="B51" s="2232" t="s">
        <v>766</v>
      </c>
      <c r="C51" s="2233"/>
      <c r="D51" s="204" t="s">
        <v>1616</v>
      </c>
      <c r="E51" s="205" t="s">
        <v>1617</v>
      </c>
      <c r="F51" s="204" t="s">
        <v>1618</v>
      </c>
      <c r="G51" s="206" t="s">
        <v>1619</v>
      </c>
      <c r="H51" s="153" t="s">
        <v>1620</v>
      </c>
      <c r="I51" s="136" t="s">
        <v>1621</v>
      </c>
      <c r="J51" s="206" t="s">
        <v>1622</v>
      </c>
      <c r="K51" s="990" t="s">
        <v>1623</v>
      </c>
      <c r="L51" s="991" t="s">
        <v>1624</v>
      </c>
      <c r="M51" s="207" t="s">
        <v>1625</v>
      </c>
      <c r="N51" s="153" t="s">
        <v>1626</v>
      </c>
      <c r="O51" s="136" t="s">
        <v>1627</v>
      </c>
      <c r="P51" s="208" t="s">
        <v>1628</v>
      </c>
      <c r="Q51" s="153" t="s">
        <v>1629</v>
      </c>
      <c r="R51" s="136" t="s">
        <v>1630</v>
      </c>
      <c r="S51" s="172" t="str">
        <f t="shared" si="51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91" t="str">
        <f t="shared" si="52"/>
        <v xml:space="preserve"> * La variable Pueblos Originarios Hombres no puede ser Mayor al Total Hombres.</v>
      </c>
      <c r="AL51" s="191" t="str">
        <f t="shared" si="53"/>
        <v xml:space="preserve"> * La variable Pueblos Originarios Mujeres no puede ser Mayor al Total Mujeres.</v>
      </c>
      <c r="AM51" s="191" t="str">
        <f t="shared" si="54"/>
        <v xml:space="preserve"> * La variable Migrantes Hombres no puede ser Mayor al Total Hombres.</v>
      </c>
      <c r="AN51" s="1347" t="str">
        <f t="shared" si="55"/>
        <v xml:space="preserve"> * La variable Migrantes Mujeres no puede ser Mayor al Total Mujeres.</v>
      </c>
      <c r="AO51" s="108"/>
      <c r="AP51" s="108"/>
      <c r="AQ51" s="108"/>
      <c r="AR51" s="1047">
        <f t="shared" si="56"/>
        <v>1</v>
      </c>
      <c r="AS51" s="1047">
        <f t="shared" si="57"/>
        <v>1</v>
      </c>
      <c r="AT51" s="1047">
        <f t="shared" si="58"/>
        <v>1</v>
      </c>
      <c r="AU51" s="1047">
        <f t="shared" si="59"/>
        <v>1</v>
      </c>
    </row>
    <row r="52" spans="1:47" s="172" customFormat="1" ht="15" customHeight="1" x14ac:dyDescent="0.2">
      <c r="A52" s="1615" t="s">
        <v>1467</v>
      </c>
      <c r="B52" s="2232" t="s">
        <v>767</v>
      </c>
      <c r="C52" s="2233"/>
      <c r="D52" s="204" t="s">
        <v>1616</v>
      </c>
      <c r="E52" s="205" t="s">
        <v>1617</v>
      </c>
      <c r="F52" s="204" t="s">
        <v>1618</v>
      </c>
      <c r="G52" s="206" t="s">
        <v>1619</v>
      </c>
      <c r="H52" s="990" t="s">
        <v>1620</v>
      </c>
      <c r="I52" s="992" t="s">
        <v>1621</v>
      </c>
      <c r="J52" s="206" t="s">
        <v>1622</v>
      </c>
      <c r="K52" s="153" t="s">
        <v>1623</v>
      </c>
      <c r="L52" s="141" t="s">
        <v>1624</v>
      </c>
      <c r="M52" s="207" t="s">
        <v>1625</v>
      </c>
      <c r="N52" s="153" t="s">
        <v>1626</v>
      </c>
      <c r="O52" s="136" t="s">
        <v>1627</v>
      </c>
      <c r="P52" s="208" t="s">
        <v>1628</v>
      </c>
      <c r="Q52" s="153" t="s">
        <v>1629</v>
      </c>
      <c r="R52" s="136" t="s">
        <v>1630</v>
      </c>
      <c r="S52" s="172" t="str">
        <f t="shared" si="51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91" t="str">
        <f t="shared" si="52"/>
        <v xml:space="preserve"> * La variable Pueblos Originarios Hombres no puede ser Mayor al Total Hombres.</v>
      </c>
      <c r="AL52" s="191" t="str">
        <f t="shared" si="53"/>
        <v xml:space="preserve"> * La variable Pueblos Originarios Mujeres no puede ser Mayor al Total Mujeres.</v>
      </c>
      <c r="AM52" s="191" t="str">
        <f t="shared" si="54"/>
        <v xml:space="preserve"> * La variable Migrantes Hombres no puede ser Mayor al Total Hombres.</v>
      </c>
      <c r="AN52" s="1347" t="str">
        <f t="shared" si="55"/>
        <v xml:space="preserve"> * La variable Migrantes Mujeres no puede ser Mayor al Total Mujeres.</v>
      </c>
      <c r="AO52" s="108"/>
      <c r="AP52" s="108"/>
      <c r="AQ52" s="108"/>
      <c r="AR52" s="1047">
        <f t="shared" si="56"/>
        <v>1</v>
      </c>
      <c r="AS52" s="1047">
        <f t="shared" si="57"/>
        <v>1</v>
      </c>
      <c r="AT52" s="1047">
        <f t="shared" si="58"/>
        <v>1</v>
      </c>
      <c r="AU52" s="1047">
        <f t="shared" si="59"/>
        <v>1</v>
      </c>
    </row>
    <row r="53" spans="1:47" s="172" customFormat="1" ht="15" customHeight="1" x14ac:dyDescent="0.2">
      <c r="A53" s="1615" t="s">
        <v>1468</v>
      </c>
      <c r="B53" s="2232" t="s">
        <v>768</v>
      </c>
      <c r="C53" s="2233"/>
      <c r="D53" s="204" t="s">
        <v>1616</v>
      </c>
      <c r="E53" s="205" t="s">
        <v>1617</v>
      </c>
      <c r="F53" s="204" t="s">
        <v>1618</v>
      </c>
      <c r="G53" s="206" t="s">
        <v>1619</v>
      </c>
      <c r="H53" s="153" t="s">
        <v>1620</v>
      </c>
      <c r="I53" s="136" t="s">
        <v>1621</v>
      </c>
      <c r="J53" s="206" t="s">
        <v>1622</v>
      </c>
      <c r="K53" s="153" t="s">
        <v>1623</v>
      </c>
      <c r="L53" s="141" t="s">
        <v>1624</v>
      </c>
      <c r="M53" s="781" t="s">
        <v>1625</v>
      </c>
      <c r="N53" s="153" t="s">
        <v>1626</v>
      </c>
      <c r="O53" s="136" t="s">
        <v>1627</v>
      </c>
      <c r="P53" s="208" t="s">
        <v>1628</v>
      </c>
      <c r="Q53" s="153" t="s">
        <v>1629</v>
      </c>
      <c r="R53" s="136" t="s">
        <v>1630</v>
      </c>
      <c r="S53" s="172" t="str">
        <f t="shared" si="51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91" t="str">
        <f t="shared" si="52"/>
        <v xml:space="preserve"> * La variable Pueblos Originarios Hombres no puede ser Mayor al Total Hombres.</v>
      </c>
      <c r="AL53" s="191" t="str">
        <f t="shared" si="53"/>
        <v xml:space="preserve"> * La variable Pueblos Originarios Mujeres no puede ser Mayor al Total Mujeres.</v>
      </c>
      <c r="AM53" s="191" t="str">
        <f t="shared" si="54"/>
        <v xml:space="preserve"> * La variable Migrantes Hombres no puede ser Mayor al Total Hombres.</v>
      </c>
      <c r="AN53" s="1347" t="str">
        <f t="shared" si="55"/>
        <v xml:space="preserve"> * La variable Migrantes Mujeres no puede ser Mayor al Total Mujeres.</v>
      </c>
      <c r="AO53" s="108"/>
      <c r="AP53" s="108"/>
      <c r="AQ53" s="108"/>
      <c r="AR53" s="1047">
        <f t="shared" si="56"/>
        <v>1</v>
      </c>
      <c r="AS53" s="1047">
        <f t="shared" si="57"/>
        <v>1</v>
      </c>
      <c r="AT53" s="1047">
        <f t="shared" si="58"/>
        <v>1</v>
      </c>
      <c r="AU53" s="1047">
        <f t="shared" si="59"/>
        <v>1</v>
      </c>
    </row>
    <row r="54" spans="1:47" s="172" customFormat="1" ht="15" customHeight="1" x14ac:dyDescent="0.2">
      <c r="A54" s="1615" t="s">
        <v>1469</v>
      </c>
      <c r="B54" s="2253" t="s">
        <v>769</v>
      </c>
      <c r="C54" s="2254"/>
      <c r="D54" s="209" t="s">
        <v>1616</v>
      </c>
      <c r="E54" s="210" t="s">
        <v>1617</v>
      </c>
      <c r="F54" s="209" t="s">
        <v>1618</v>
      </c>
      <c r="G54" s="211" t="s">
        <v>1619</v>
      </c>
      <c r="H54" s="590" t="s">
        <v>1620</v>
      </c>
      <c r="I54" s="156" t="s">
        <v>1621</v>
      </c>
      <c r="J54" s="211" t="s">
        <v>1622</v>
      </c>
      <c r="K54" s="163" t="s">
        <v>1623</v>
      </c>
      <c r="L54" s="164" t="s">
        <v>1624</v>
      </c>
      <c r="M54" s="772" t="s">
        <v>1625</v>
      </c>
      <c r="N54" s="163" t="s">
        <v>1626</v>
      </c>
      <c r="O54" s="150" t="s">
        <v>1627</v>
      </c>
      <c r="P54" s="773" t="s">
        <v>1628</v>
      </c>
      <c r="Q54" s="163" t="s">
        <v>1629</v>
      </c>
      <c r="R54" s="150" t="s">
        <v>1630</v>
      </c>
      <c r="S54" s="172" t="str">
        <f t="shared" si="51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91" t="str">
        <f t="shared" si="52"/>
        <v xml:space="preserve"> * La variable Pueblos Originarios Hombres no puede ser Mayor al Total Hombres.</v>
      </c>
      <c r="AL54" s="191" t="str">
        <f t="shared" si="53"/>
        <v xml:space="preserve"> * La variable Pueblos Originarios Mujeres no puede ser Mayor al Total Mujeres.</v>
      </c>
      <c r="AM54" s="191" t="str">
        <f t="shared" si="54"/>
        <v xml:space="preserve"> * La variable Migrantes Hombres no puede ser Mayor al Total Hombres.</v>
      </c>
      <c r="AN54" s="1347" t="str">
        <f t="shared" si="55"/>
        <v xml:space="preserve"> * La variable Migrantes Mujeres no puede ser Mayor al Total Mujeres.</v>
      </c>
      <c r="AO54" s="108"/>
      <c r="AP54" s="108"/>
      <c r="AQ54" s="108"/>
      <c r="AR54" s="1047">
        <f t="shared" si="56"/>
        <v>1</v>
      </c>
      <c r="AS54" s="1047">
        <f t="shared" si="57"/>
        <v>1</v>
      </c>
      <c r="AT54" s="1047">
        <f t="shared" si="58"/>
        <v>1</v>
      </c>
      <c r="AU54" s="1047">
        <f t="shared" si="59"/>
        <v>1</v>
      </c>
    </row>
    <row r="55" spans="1:47" s="172" customFormat="1" ht="17.100000000000001" customHeight="1" x14ac:dyDescent="0.15">
      <c r="B55" s="2231" t="s">
        <v>770</v>
      </c>
      <c r="C55" s="2231"/>
      <c r="D55" s="2231"/>
      <c r="E55" s="2231"/>
      <c r="F55" s="2231"/>
      <c r="G55" s="2231"/>
      <c r="H55" s="2231"/>
      <c r="I55" s="2231"/>
      <c r="J55" s="2231"/>
      <c r="K55" s="2231"/>
      <c r="L55" s="2231"/>
      <c r="M55" s="2231"/>
      <c r="N55" s="2231"/>
      <c r="O55" s="2231"/>
      <c r="P55" s="2231"/>
      <c r="Q55" s="2231"/>
      <c r="R55" s="2231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</row>
    <row r="56" spans="1:47" s="172" customFormat="1" ht="18" customHeight="1" x14ac:dyDescent="0.15">
      <c r="B56" s="2270" t="s">
        <v>771</v>
      </c>
      <c r="C56" s="2270"/>
      <c r="D56" s="2011" t="s">
        <v>49</v>
      </c>
      <c r="E56" s="2012"/>
      <c r="F56" s="2013"/>
      <c r="G56" s="2195" t="s">
        <v>761</v>
      </c>
      <c r="H56" s="2202"/>
      <c r="I56" s="2192"/>
      <c r="J56" s="2195" t="s">
        <v>762</v>
      </c>
      <c r="K56" s="2202"/>
      <c r="L56" s="2252"/>
      <c r="M56" s="2202" t="s">
        <v>730</v>
      </c>
      <c r="N56" s="2202"/>
      <c r="O56" s="2192"/>
      <c r="P56" s="2195" t="s">
        <v>52</v>
      </c>
      <c r="Q56" s="2202"/>
      <c r="R56" s="2192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</row>
    <row r="57" spans="1:47" s="172" customFormat="1" ht="27" customHeight="1" x14ac:dyDescent="0.15">
      <c r="B57" s="2270"/>
      <c r="C57" s="2270"/>
      <c r="D57" s="1291" t="s">
        <v>226</v>
      </c>
      <c r="E57" s="1291" t="s">
        <v>763</v>
      </c>
      <c r="F57" s="1525" t="s">
        <v>85</v>
      </c>
      <c r="G57" s="1291" t="s">
        <v>226</v>
      </c>
      <c r="H57" s="1291" t="s">
        <v>763</v>
      </c>
      <c r="I57" s="1525" t="s">
        <v>85</v>
      </c>
      <c r="J57" s="1291" t="s">
        <v>226</v>
      </c>
      <c r="K57" s="1291" t="s">
        <v>763</v>
      </c>
      <c r="L57" s="1520" t="s">
        <v>85</v>
      </c>
      <c r="M57" s="1525" t="s">
        <v>226</v>
      </c>
      <c r="N57" s="1291" t="s">
        <v>763</v>
      </c>
      <c r="O57" s="1519" t="s">
        <v>85</v>
      </c>
      <c r="P57" s="1530" t="s">
        <v>226</v>
      </c>
      <c r="Q57" s="1291" t="s">
        <v>763</v>
      </c>
      <c r="R57" s="1089" t="s">
        <v>85</v>
      </c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</row>
    <row r="58" spans="1:47" s="172" customFormat="1" ht="15" customHeight="1" x14ac:dyDescent="0.2">
      <c r="A58" s="1615" t="s">
        <v>1470</v>
      </c>
      <c r="B58" s="2255" t="s">
        <v>772</v>
      </c>
      <c r="C58" s="2256"/>
      <c r="D58" s="203" t="s">
        <v>1616</v>
      </c>
      <c r="E58" s="202" t="s">
        <v>1617</v>
      </c>
      <c r="F58" s="201" t="s">
        <v>1618</v>
      </c>
      <c r="G58" s="203" t="s">
        <v>1619</v>
      </c>
      <c r="H58" s="153" t="s">
        <v>1620</v>
      </c>
      <c r="I58" s="136" t="s">
        <v>1621</v>
      </c>
      <c r="J58" s="203" t="s">
        <v>1622</v>
      </c>
      <c r="K58" s="153" t="s">
        <v>1623</v>
      </c>
      <c r="L58" s="157" t="s">
        <v>1624</v>
      </c>
      <c r="M58" s="783" t="s">
        <v>1625</v>
      </c>
      <c r="N58" s="153" t="s">
        <v>1626</v>
      </c>
      <c r="O58" s="136" t="s">
        <v>1627</v>
      </c>
      <c r="P58" s="201" t="s">
        <v>1628</v>
      </c>
      <c r="Q58" s="153" t="s">
        <v>1629</v>
      </c>
      <c r="R58" s="136" t="s">
        <v>1630</v>
      </c>
      <c r="S58" s="172" t="str">
        <f t="shared" ref="S58:S67" si="60">AK58&amp;AL58&amp;AM58&amp;AN58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91" t="str">
        <f t="shared" ref="AK58:AK67" si="61">IF(AND(E58&gt;0,OR(N58=""))," * No olvide digitar la variable Pueblos Originarios Hombres. Digite Cero si no tiene.",IF(N58&gt;E58," * La variable Pueblos Originarios Hombres no puede ser Mayor al Total Hombres.",""))</f>
        <v xml:space="preserve"> * La variable Pueblos Originarios Hombres no puede ser Mayor al Total Hombres.</v>
      </c>
      <c r="AL58" s="191" t="str">
        <f t="shared" ref="AL58:AL67" si="62">IF(AND(F58&gt;0,OR(O58=""))," * No olvide digitar la variable Pueblos Originarios Mujeres. Digite Cero si no tiene.",IF(O58&gt;F58," * La variable Pueblos Originarios Mujeres no puede ser Mayor al Total Mujeres.",""))</f>
        <v xml:space="preserve"> * La variable Pueblos Originarios Mujeres no puede ser Mayor al Total Mujeres.</v>
      </c>
      <c r="AM58" s="191" t="str">
        <f t="shared" ref="AM58:AM67" si="63">IF(AND($E58&gt;0,OR(Q58=""))," * No olvide digitar la variable Migrantes Hombres. Digite Cero si no tiene.",IF(Q58&gt;$E58," * La variable Migrantes Hombres no puede ser Mayor al Total Hombres.",""))</f>
        <v xml:space="preserve"> * La variable Migrantes Hombres no puede ser Mayor al Total Hombres.</v>
      </c>
      <c r="AN58" s="1347" t="str">
        <f t="shared" ref="AN58:AN67" si="64">IF(AND($F58&gt;0,OR(R58=""))," * No olvide digitar la variable Migrantes Mujeres. Digite Cero si no tiene.",IF(R58&gt;$F58," * La variable Migrantes Mujeres no puede ser Mayor al Total Mujeres.",""))</f>
        <v xml:space="preserve"> * La variable Migrantes Mujeres no puede ser Mayor al Total Mujeres.</v>
      </c>
      <c r="AO58" s="108"/>
      <c r="AP58" s="108"/>
      <c r="AQ58" s="108"/>
      <c r="AR58" s="1047">
        <f t="shared" ref="AR58:AR67" si="65">IF(AND($E58&gt;0,OR(N58="")),1,IF(N58&gt;$E58,1,0))</f>
        <v>1</v>
      </c>
      <c r="AS58" s="1047">
        <f t="shared" ref="AS58:AS67" si="66">IF(AND($F58&gt;0,OR(O58="")),1,IF(O58&gt;$F58,1,0))</f>
        <v>1</v>
      </c>
      <c r="AT58" s="1047">
        <f t="shared" ref="AT58:AT67" si="67">IF(AND($E58&gt;0,OR(Q58="")),1,IF(Q58&gt;$E58,1,0))</f>
        <v>1</v>
      </c>
      <c r="AU58" s="1047">
        <f t="shared" ref="AU58:AU67" si="68">IF(AND($F58&gt;0,OR(R58="")),1,IF(R58&gt;$F58,1,0))</f>
        <v>1</v>
      </c>
    </row>
    <row r="59" spans="1:47" s="172" customFormat="1" ht="15" customHeight="1" x14ac:dyDescent="0.2">
      <c r="A59" s="1615" t="s">
        <v>1471</v>
      </c>
      <c r="B59" s="1824" t="s">
        <v>773</v>
      </c>
      <c r="C59" s="1825"/>
      <c r="D59" s="212" t="s">
        <v>1616</v>
      </c>
      <c r="E59" s="213" t="s">
        <v>1617</v>
      </c>
      <c r="F59" s="208" t="s">
        <v>1618</v>
      </c>
      <c r="G59" s="212" t="s">
        <v>1619</v>
      </c>
      <c r="H59" s="153" t="s">
        <v>1620</v>
      </c>
      <c r="I59" s="136" t="s">
        <v>1621</v>
      </c>
      <c r="J59" s="206" t="s">
        <v>1622</v>
      </c>
      <c r="K59" s="153" t="s">
        <v>1623</v>
      </c>
      <c r="L59" s="157" t="s">
        <v>1624</v>
      </c>
      <c r="M59" s="207" t="s">
        <v>1625</v>
      </c>
      <c r="N59" s="153" t="s">
        <v>1626</v>
      </c>
      <c r="O59" s="136" t="s">
        <v>1627</v>
      </c>
      <c r="P59" s="204" t="s">
        <v>1628</v>
      </c>
      <c r="Q59" s="153" t="s">
        <v>1629</v>
      </c>
      <c r="R59" s="136" t="s">
        <v>1630</v>
      </c>
      <c r="S59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91" t="str">
        <f t="shared" si="61"/>
        <v xml:space="preserve"> * La variable Pueblos Originarios Hombres no puede ser Mayor al Total Hombres.</v>
      </c>
      <c r="AL59" s="191" t="str">
        <f t="shared" si="62"/>
        <v xml:space="preserve"> * La variable Pueblos Originarios Mujeres no puede ser Mayor al Total Mujeres.</v>
      </c>
      <c r="AM59" s="191" t="str">
        <f t="shared" si="63"/>
        <v xml:space="preserve"> * La variable Migrantes Hombres no puede ser Mayor al Total Hombres.</v>
      </c>
      <c r="AN59" s="1347" t="str">
        <f t="shared" si="64"/>
        <v xml:space="preserve"> * La variable Migrantes Mujeres no puede ser Mayor al Total Mujeres.</v>
      </c>
      <c r="AO59" s="108"/>
      <c r="AP59" s="108"/>
      <c r="AQ59" s="108"/>
      <c r="AR59" s="1047">
        <f t="shared" si="65"/>
        <v>1</v>
      </c>
      <c r="AS59" s="1047">
        <f t="shared" si="66"/>
        <v>1</v>
      </c>
      <c r="AT59" s="1047">
        <f t="shared" si="67"/>
        <v>1</v>
      </c>
      <c r="AU59" s="1047">
        <f t="shared" si="68"/>
        <v>1</v>
      </c>
    </row>
    <row r="60" spans="1:47" s="172" customFormat="1" ht="15" customHeight="1" x14ac:dyDescent="0.2">
      <c r="A60" s="1615" t="s">
        <v>1472</v>
      </c>
      <c r="B60" s="1824" t="s">
        <v>774</v>
      </c>
      <c r="C60" s="1825"/>
      <c r="D60" s="208" t="s">
        <v>1616</v>
      </c>
      <c r="E60" s="213" t="s">
        <v>1617</v>
      </c>
      <c r="F60" s="208" t="s">
        <v>1618</v>
      </c>
      <c r="G60" s="208" t="s">
        <v>1619</v>
      </c>
      <c r="H60" s="153" t="s">
        <v>1620</v>
      </c>
      <c r="I60" s="136" t="s">
        <v>1621</v>
      </c>
      <c r="J60" s="206" t="s">
        <v>1622</v>
      </c>
      <c r="K60" s="153" t="s">
        <v>1623</v>
      </c>
      <c r="L60" s="157" t="s">
        <v>1624</v>
      </c>
      <c r="M60" s="207" t="s">
        <v>1625</v>
      </c>
      <c r="N60" s="153" t="s">
        <v>1626</v>
      </c>
      <c r="O60" s="136" t="s">
        <v>1627</v>
      </c>
      <c r="P60" s="204" t="s">
        <v>1628</v>
      </c>
      <c r="Q60" s="153" t="s">
        <v>1629</v>
      </c>
      <c r="R60" s="136" t="s">
        <v>1630</v>
      </c>
      <c r="S60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91" t="str">
        <f t="shared" si="61"/>
        <v xml:space="preserve"> * La variable Pueblos Originarios Hombres no puede ser Mayor al Total Hombres.</v>
      </c>
      <c r="AL60" s="191" t="str">
        <f t="shared" si="62"/>
        <v xml:space="preserve"> * La variable Pueblos Originarios Mujeres no puede ser Mayor al Total Mujeres.</v>
      </c>
      <c r="AM60" s="191" t="str">
        <f t="shared" si="63"/>
        <v xml:space="preserve"> * La variable Migrantes Hombres no puede ser Mayor al Total Hombres.</v>
      </c>
      <c r="AN60" s="1347" t="str">
        <f t="shared" si="64"/>
        <v xml:space="preserve"> * La variable Migrantes Mujeres no puede ser Mayor al Total Mujeres.</v>
      </c>
      <c r="AO60" s="108"/>
      <c r="AP60" s="108"/>
      <c r="AQ60" s="108"/>
      <c r="AR60" s="1047">
        <f t="shared" si="65"/>
        <v>1</v>
      </c>
      <c r="AS60" s="1047">
        <f t="shared" si="66"/>
        <v>1</v>
      </c>
      <c r="AT60" s="1047">
        <f t="shared" si="67"/>
        <v>1</v>
      </c>
      <c r="AU60" s="1047">
        <f t="shared" si="68"/>
        <v>1</v>
      </c>
    </row>
    <row r="61" spans="1:47" s="172" customFormat="1" ht="15" customHeight="1" x14ac:dyDescent="0.2">
      <c r="A61" s="1615" t="s">
        <v>1473</v>
      </c>
      <c r="B61" s="1824" t="s">
        <v>775</v>
      </c>
      <c r="C61" s="1825"/>
      <c r="D61" s="208" t="s">
        <v>1616</v>
      </c>
      <c r="E61" s="213" t="s">
        <v>1617</v>
      </c>
      <c r="F61" s="208" t="s">
        <v>1618</v>
      </c>
      <c r="G61" s="208" t="s">
        <v>1619</v>
      </c>
      <c r="H61" s="153" t="s">
        <v>1620</v>
      </c>
      <c r="I61" s="136" t="s">
        <v>1621</v>
      </c>
      <c r="J61" s="206" t="s">
        <v>1622</v>
      </c>
      <c r="K61" s="153" t="s">
        <v>1623</v>
      </c>
      <c r="L61" s="157" t="s">
        <v>1624</v>
      </c>
      <c r="M61" s="207" t="s">
        <v>1625</v>
      </c>
      <c r="N61" s="153" t="s">
        <v>1626</v>
      </c>
      <c r="O61" s="136" t="s">
        <v>1627</v>
      </c>
      <c r="P61" s="204" t="s">
        <v>1628</v>
      </c>
      <c r="Q61" s="153" t="s">
        <v>1629</v>
      </c>
      <c r="R61" s="136" t="s">
        <v>1630</v>
      </c>
      <c r="S61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91" t="str">
        <f t="shared" si="61"/>
        <v xml:space="preserve"> * La variable Pueblos Originarios Hombres no puede ser Mayor al Total Hombres.</v>
      </c>
      <c r="AL61" s="191" t="str">
        <f t="shared" si="62"/>
        <v xml:space="preserve"> * La variable Pueblos Originarios Mujeres no puede ser Mayor al Total Mujeres.</v>
      </c>
      <c r="AM61" s="191" t="str">
        <f t="shared" si="63"/>
        <v xml:space="preserve"> * La variable Migrantes Hombres no puede ser Mayor al Total Hombres.</v>
      </c>
      <c r="AN61" s="1347" t="str">
        <f t="shared" si="64"/>
        <v xml:space="preserve"> * La variable Migrantes Mujeres no puede ser Mayor al Total Mujeres.</v>
      </c>
      <c r="AO61" s="108"/>
      <c r="AP61" s="108"/>
      <c r="AQ61" s="108"/>
      <c r="AR61" s="1047">
        <f t="shared" si="65"/>
        <v>1</v>
      </c>
      <c r="AS61" s="1047">
        <f t="shared" si="66"/>
        <v>1</v>
      </c>
      <c r="AT61" s="1047">
        <f t="shared" si="67"/>
        <v>1</v>
      </c>
      <c r="AU61" s="1047">
        <f t="shared" si="68"/>
        <v>1</v>
      </c>
    </row>
    <row r="62" spans="1:47" s="172" customFormat="1" ht="15" customHeight="1" x14ac:dyDescent="0.2">
      <c r="A62" s="1615" t="s">
        <v>1474</v>
      </c>
      <c r="B62" s="1824" t="s">
        <v>776</v>
      </c>
      <c r="C62" s="1825"/>
      <c r="D62" s="208" t="s">
        <v>1616</v>
      </c>
      <c r="E62" s="213" t="s">
        <v>1617</v>
      </c>
      <c r="F62" s="208" t="s">
        <v>1618</v>
      </c>
      <c r="G62" s="208" t="s">
        <v>1619</v>
      </c>
      <c r="H62" s="153" t="s">
        <v>1620</v>
      </c>
      <c r="I62" s="136" t="s">
        <v>1621</v>
      </c>
      <c r="J62" s="206" t="s">
        <v>1622</v>
      </c>
      <c r="K62" s="153" t="s">
        <v>1623</v>
      </c>
      <c r="L62" s="157" t="s">
        <v>1624</v>
      </c>
      <c r="M62" s="207" t="s">
        <v>1625</v>
      </c>
      <c r="N62" s="153" t="s">
        <v>1626</v>
      </c>
      <c r="O62" s="136" t="s">
        <v>1627</v>
      </c>
      <c r="P62" s="204" t="s">
        <v>1628</v>
      </c>
      <c r="Q62" s="153" t="s">
        <v>1629</v>
      </c>
      <c r="R62" s="136" t="s">
        <v>1630</v>
      </c>
      <c r="S62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91" t="str">
        <f t="shared" si="61"/>
        <v xml:space="preserve"> * La variable Pueblos Originarios Hombres no puede ser Mayor al Total Hombres.</v>
      </c>
      <c r="AL62" s="191" t="str">
        <f t="shared" si="62"/>
        <v xml:space="preserve"> * La variable Pueblos Originarios Mujeres no puede ser Mayor al Total Mujeres.</v>
      </c>
      <c r="AM62" s="191" t="str">
        <f t="shared" si="63"/>
        <v xml:space="preserve"> * La variable Migrantes Hombres no puede ser Mayor al Total Hombres.</v>
      </c>
      <c r="AN62" s="1347" t="str">
        <f t="shared" si="64"/>
        <v xml:space="preserve"> * La variable Migrantes Mujeres no puede ser Mayor al Total Mujeres.</v>
      </c>
      <c r="AO62" s="108"/>
      <c r="AP62" s="108"/>
      <c r="AQ62" s="108"/>
      <c r="AR62" s="1047">
        <f t="shared" si="65"/>
        <v>1</v>
      </c>
      <c r="AS62" s="1047">
        <f t="shared" si="66"/>
        <v>1</v>
      </c>
      <c r="AT62" s="1047">
        <f t="shared" si="67"/>
        <v>1</v>
      </c>
      <c r="AU62" s="1047">
        <f t="shared" si="68"/>
        <v>1</v>
      </c>
    </row>
    <row r="63" spans="1:47" s="172" customFormat="1" ht="15" customHeight="1" x14ac:dyDescent="0.2">
      <c r="A63" s="1615" t="s">
        <v>1475</v>
      </c>
      <c r="B63" s="1824" t="s">
        <v>777</v>
      </c>
      <c r="C63" s="1825"/>
      <c r="D63" s="208" t="s">
        <v>1616</v>
      </c>
      <c r="E63" s="213" t="s">
        <v>1617</v>
      </c>
      <c r="F63" s="208" t="s">
        <v>1618</v>
      </c>
      <c r="G63" s="208" t="s">
        <v>1619</v>
      </c>
      <c r="H63" s="153" t="s">
        <v>1620</v>
      </c>
      <c r="I63" s="136" t="s">
        <v>1621</v>
      </c>
      <c r="J63" s="206" t="s">
        <v>1622</v>
      </c>
      <c r="K63" s="153" t="s">
        <v>1623</v>
      </c>
      <c r="L63" s="157" t="s">
        <v>1624</v>
      </c>
      <c r="M63" s="207" t="s">
        <v>1625</v>
      </c>
      <c r="N63" s="153" t="s">
        <v>1626</v>
      </c>
      <c r="O63" s="136" t="s">
        <v>1627</v>
      </c>
      <c r="P63" s="204" t="s">
        <v>1628</v>
      </c>
      <c r="Q63" s="153" t="s">
        <v>1629</v>
      </c>
      <c r="R63" s="136" t="s">
        <v>1630</v>
      </c>
      <c r="S63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91" t="str">
        <f t="shared" si="61"/>
        <v xml:space="preserve"> * La variable Pueblos Originarios Hombres no puede ser Mayor al Total Hombres.</v>
      </c>
      <c r="AL63" s="191" t="str">
        <f t="shared" si="62"/>
        <v xml:space="preserve"> * La variable Pueblos Originarios Mujeres no puede ser Mayor al Total Mujeres.</v>
      </c>
      <c r="AM63" s="191" t="str">
        <f t="shared" si="63"/>
        <v xml:space="preserve"> * La variable Migrantes Hombres no puede ser Mayor al Total Hombres.</v>
      </c>
      <c r="AN63" s="1347" t="str">
        <f t="shared" si="64"/>
        <v xml:space="preserve"> * La variable Migrantes Mujeres no puede ser Mayor al Total Mujeres.</v>
      </c>
      <c r="AO63" s="108"/>
      <c r="AP63" s="108"/>
      <c r="AQ63" s="108"/>
      <c r="AR63" s="1047">
        <f t="shared" si="65"/>
        <v>1</v>
      </c>
      <c r="AS63" s="1047">
        <f t="shared" si="66"/>
        <v>1</v>
      </c>
      <c r="AT63" s="1047">
        <f t="shared" si="67"/>
        <v>1</v>
      </c>
      <c r="AU63" s="1047">
        <f t="shared" si="68"/>
        <v>1</v>
      </c>
    </row>
    <row r="64" spans="1:47" s="172" customFormat="1" ht="15" customHeight="1" x14ac:dyDescent="0.2">
      <c r="A64" s="1615" t="s">
        <v>1476</v>
      </c>
      <c r="B64" s="2232" t="s">
        <v>778</v>
      </c>
      <c r="C64" s="2233"/>
      <c r="D64" s="206" t="s">
        <v>1616</v>
      </c>
      <c r="E64" s="205" t="s">
        <v>1617</v>
      </c>
      <c r="F64" s="204" t="s">
        <v>1618</v>
      </c>
      <c r="G64" s="206" t="s">
        <v>1619</v>
      </c>
      <c r="H64" s="153" t="s">
        <v>1620</v>
      </c>
      <c r="I64" s="136" t="s">
        <v>1621</v>
      </c>
      <c r="J64" s="206" t="s">
        <v>1622</v>
      </c>
      <c r="K64" s="153" t="s">
        <v>1623</v>
      </c>
      <c r="L64" s="157" t="s">
        <v>1624</v>
      </c>
      <c r="M64" s="207" t="s">
        <v>1625</v>
      </c>
      <c r="N64" s="153" t="s">
        <v>1626</v>
      </c>
      <c r="O64" s="136" t="s">
        <v>1627</v>
      </c>
      <c r="P64" s="204" t="s">
        <v>1628</v>
      </c>
      <c r="Q64" s="153" t="s">
        <v>1629</v>
      </c>
      <c r="R64" s="136" t="s">
        <v>1630</v>
      </c>
      <c r="S64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91" t="str">
        <f t="shared" si="61"/>
        <v xml:space="preserve"> * La variable Pueblos Originarios Hombres no puede ser Mayor al Total Hombres.</v>
      </c>
      <c r="AL64" s="191" t="str">
        <f t="shared" si="62"/>
        <v xml:space="preserve"> * La variable Pueblos Originarios Mujeres no puede ser Mayor al Total Mujeres.</v>
      </c>
      <c r="AM64" s="191" t="str">
        <f t="shared" si="63"/>
        <v xml:space="preserve"> * La variable Migrantes Hombres no puede ser Mayor al Total Hombres.</v>
      </c>
      <c r="AN64" s="1347" t="str">
        <f t="shared" si="64"/>
        <v xml:space="preserve"> * La variable Migrantes Mujeres no puede ser Mayor al Total Mujeres.</v>
      </c>
      <c r="AO64" s="108"/>
      <c r="AP64" s="108"/>
      <c r="AQ64" s="108"/>
      <c r="AR64" s="1047">
        <f t="shared" si="65"/>
        <v>1</v>
      </c>
      <c r="AS64" s="1047">
        <f t="shared" si="66"/>
        <v>1</v>
      </c>
      <c r="AT64" s="1047">
        <f t="shared" si="67"/>
        <v>1</v>
      </c>
      <c r="AU64" s="1047">
        <f t="shared" si="68"/>
        <v>1</v>
      </c>
    </row>
    <row r="65" spans="1:47" s="172" customFormat="1" ht="15" customHeight="1" x14ac:dyDescent="0.2">
      <c r="A65" s="1615" t="s">
        <v>1477</v>
      </c>
      <c r="B65" s="2232" t="s">
        <v>779</v>
      </c>
      <c r="C65" s="2233"/>
      <c r="D65" s="206" t="s">
        <v>1616</v>
      </c>
      <c r="E65" s="205" t="s">
        <v>1617</v>
      </c>
      <c r="F65" s="204" t="s">
        <v>1618</v>
      </c>
      <c r="G65" s="206" t="s">
        <v>1619</v>
      </c>
      <c r="H65" s="154" t="s">
        <v>1620</v>
      </c>
      <c r="I65" s="148" t="s">
        <v>1621</v>
      </c>
      <c r="J65" s="206" t="s">
        <v>1622</v>
      </c>
      <c r="K65" s="154" t="s">
        <v>1623</v>
      </c>
      <c r="L65" s="167" t="s">
        <v>1624</v>
      </c>
      <c r="M65" s="207" t="s">
        <v>1625</v>
      </c>
      <c r="N65" s="154" t="s">
        <v>1626</v>
      </c>
      <c r="O65" s="148" t="s">
        <v>1627</v>
      </c>
      <c r="P65" s="204" t="s">
        <v>1628</v>
      </c>
      <c r="Q65" s="154" t="s">
        <v>1629</v>
      </c>
      <c r="R65" s="148" t="s">
        <v>1630</v>
      </c>
      <c r="S65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91" t="str">
        <f t="shared" si="61"/>
        <v xml:space="preserve"> * La variable Pueblos Originarios Hombres no puede ser Mayor al Total Hombres.</v>
      </c>
      <c r="AL65" s="191" t="str">
        <f t="shared" si="62"/>
        <v xml:space="preserve"> * La variable Pueblos Originarios Mujeres no puede ser Mayor al Total Mujeres.</v>
      </c>
      <c r="AM65" s="191" t="str">
        <f t="shared" si="63"/>
        <v xml:space="preserve"> * La variable Migrantes Hombres no puede ser Mayor al Total Hombres.</v>
      </c>
      <c r="AN65" s="1347" t="str">
        <f t="shared" si="64"/>
        <v xml:space="preserve"> * La variable Migrantes Mujeres no puede ser Mayor al Total Mujeres.</v>
      </c>
      <c r="AO65" s="108"/>
      <c r="AP65" s="108"/>
      <c r="AQ65" s="108"/>
      <c r="AR65" s="1047">
        <f t="shared" si="65"/>
        <v>1</v>
      </c>
      <c r="AS65" s="1047">
        <f t="shared" si="66"/>
        <v>1</v>
      </c>
      <c r="AT65" s="1047">
        <f t="shared" si="67"/>
        <v>1</v>
      </c>
      <c r="AU65" s="1047">
        <f t="shared" si="68"/>
        <v>1</v>
      </c>
    </row>
    <row r="66" spans="1:47" s="172" customFormat="1" ht="15" customHeight="1" x14ac:dyDescent="0.2">
      <c r="A66" s="1615" t="s">
        <v>1478</v>
      </c>
      <c r="B66" s="2232" t="s">
        <v>780</v>
      </c>
      <c r="C66" s="2233"/>
      <c r="D66" s="206" t="s">
        <v>1616</v>
      </c>
      <c r="E66" s="205" t="s">
        <v>1617</v>
      </c>
      <c r="F66" s="204" t="s">
        <v>1618</v>
      </c>
      <c r="G66" s="206" t="s">
        <v>1619</v>
      </c>
      <c r="H66" s="154" t="s">
        <v>1620</v>
      </c>
      <c r="I66" s="148" t="s">
        <v>1621</v>
      </c>
      <c r="J66" s="206" t="s">
        <v>1622</v>
      </c>
      <c r="K66" s="154" t="s">
        <v>1623</v>
      </c>
      <c r="L66" s="167" t="s">
        <v>1624</v>
      </c>
      <c r="M66" s="207" t="s">
        <v>1625</v>
      </c>
      <c r="N66" s="154" t="s">
        <v>1626</v>
      </c>
      <c r="O66" s="148" t="s">
        <v>1627</v>
      </c>
      <c r="P66" s="204" t="s">
        <v>1628</v>
      </c>
      <c r="Q66" s="154" t="s">
        <v>1629</v>
      </c>
      <c r="R66" s="148" t="s">
        <v>1630</v>
      </c>
      <c r="S66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91" t="str">
        <f t="shared" si="61"/>
        <v xml:space="preserve"> * La variable Pueblos Originarios Hombres no puede ser Mayor al Total Hombres.</v>
      </c>
      <c r="AL66" s="191" t="str">
        <f t="shared" si="62"/>
        <v xml:space="preserve"> * La variable Pueblos Originarios Mujeres no puede ser Mayor al Total Mujeres.</v>
      </c>
      <c r="AM66" s="191" t="str">
        <f t="shared" si="63"/>
        <v xml:space="preserve"> * La variable Migrantes Hombres no puede ser Mayor al Total Hombres.</v>
      </c>
      <c r="AN66" s="1347" t="str">
        <f t="shared" si="64"/>
        <v xml:space="preserve"> * La variable Migrantes Mujeres no puede ser Mayor al Total Mujeres.</v>
      </c>
      <c r="AO66" s="108"/>
      <c r="AP66" s="108"/>
      <c r="AQ66" s="108"/>
      <c r="AR66" s="1047">
        <f t="shared" si="65"/>
        <v>1</v>
      </c>
      <c r="AS66" s="1047">
        <f t="shared" si="66"/>
        <v>1</v>
      </c>
      <c r="AT66" s="1047">
        <f t="shared" si="67"/>
        <v>1</v>
      </c>
      <c r="AU66" s="1047">
        <f t="shared" si="68"/>
        <v>1</v>
      </c>
    </row>
    <row r="67" spans="1:47" s="172" customFormat="1" ht="15" customHeight="1" x14ac:dyDescent="0.2">
      <c r="A67" s="1615" t="s">
        <v>1479</v>
      </c>
      <c r="B67" s="2253" t="s">
        <v>781</v>
      </c>
      <c r="C67" s="2254"/>
      <c r="D67" s="214" t="s">
        <v>1616</v>
      </c>
      <c r="E67" s="215" t="s">
        <v>1617</v>
      </c>
      <c r="F67" s="216" t="s">
        <v>1618</v>
      </c>
      <c r="G67" s="214" t="s">
        <v>1619</v>
      </c>
      <c r="H67" s="155" t="s">
        <v>1620</v>
      </c>
      <c r="I67" s="156" t="s">
        <v>1621</v>
      </c>
      <c r="J67" s="214" t="s">
        <v>1622</v>
      </c>
      <c r="K67" s="590" t="s">
        <v>1623</v>
      </c>
      <c r="L67" s="161" t="s">
        <v>1624</v>
      </c>
      <c r="M67" s="784" t="s">
        <v>1625</v>
      </c>
      <c r="N67" s="590" t="s">
        <v>1626</v>
      </c>
      <c r="O67" s="156" t="s">
        <v>1627</v>
      </c>
      <c r="P67" s="216" t="s">
        <v>1628</v>
      </c>
      <c r="Q67" s="590" t="s">
        <v>1629</v>
      </c>
      <c r="R67" s="156" t="s">
        <v>1630</v>
      </c>
      <c r="S67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91" t="str">
        <f t="shared" si="61"/>
        <v xml:space="preserve"> * La variable Pueblos Originarios Hombres no puede ser Mayor al Total Hombres.</v>
      </c>
      <c r="AL67" s="191" t="str">
        <f t="shared" si="62"/>
        <v xml:space="preserve"> * La variable Pueblos Originarios Mujeres no puede ser Mayor al Total Mujeres.</v>
      </c>
      <c r="AM67" s="191" t="str">
        <f t="shared" si="63"/>
        <v xml:space="preserve"> * La variable Migrantes Hombres no puede ser Mayor al Total Hombres.</v>
      </c>
      <c r="AN67" s="1347" t="str">
        <f t="shared" si="64"/>
        <v xml:space="preserve"> * La variable Migrantes Mujeres no puede ser Mayor al Total Mujeres.</v>
      </c>
      <c r="AO67" s="108"/>
      <c r="AP67" s="108"/>
      <c r="AQ67" s="108"/>
      <c r="AR67" s="1047">
        <f t="shared" si="65"/>
        <v>1</v>
      </c>
      <c r="AS67" s="1047">
        <f t="shared" si="66"/>
        <v>1</v>
      </c>
      <c r="AT67" s="1047">
        <f t="shared" si="67"/>
        <v>1</v>
      </c>
      <c r="AU67" s="1047">
        <f t="shared" si="68"/>
        <v>1</v>
      </c>
    </row>
    <row r="68" spans="1:47" s="172" customFormat="1" ht="17.100000000000001" customHeight="1" x14ac:dyDescent="0.15">
      <c r="B68" s="2231" t="s">
        <v>782</v>
      </c>
      <c r="C68" s="2231"/>
      <c r="D68" s="2231"/>
      <c r="E68" s="2231"/>
      <c r="F68" s="2231"/>
      <c r="G68" s="2231"/>
      <c r="H68" s="2231"/>
      <c r="I68" s="2231"/>
      <c r="J68" s="2231"/>
      <c r="K68" s="2231"/>
      <c r="L68" s="2231"/>
      <c r="M68" s="2231"/>
      <c r="N68" s="2231"/>
      <c r="O68" s="2231"/>
      <c r="P68" s="2231"/>
      <c r="Q68" s="2231"/>
      <c r="R68" s="2231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</row>
    <row r="69" spans="1:47" s="172" customFormat="1" ht="17.25" customHeight="1" x14ac:dyDescent="0.15">
      <c r="B69" s="2225" t="s">
        <v>783</v>
      </c>
      <c r="C69" s="2226"/>
      <c r="D69" s="2242" t="s">
        <v>49</v>
      </c>
      <c r="E69" s="2243"/>
      <c r="F69" s="2244"/>
      <c r="G69" s="2222" t="s">
        <v>784</v>
      </c>
      <c r="H69" s="2223"/>
      <c r="I69" s="2224"/>
      <c r="J69" s="2222" t="s">
        <v>785</v>
      </c>
      <c r="K69" s="2223"/>
      <c r="L69" s="2245"/>
      <c r="M69" s="2223" t="s">
        <v>730</v>
      </c>
      <c r="N69" s="2223"/>
      <c r="O69" s="2224"/>
      <c r="P69" s="2222" t="s">
        <v>52</v>
      </c>
      <c r="Q69" s="2223"/>
      <c r="R69" s="2224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</row>
    <row r="70" spans="1:47" s="172" customFormat="1" ht="29.25" customHeight="1" x14ac:dyDescent="0.15">
      <c r="B70" s="2227"/>
      <c r="C70" s="2228"/>
      <c r="D70" s="1291" t="s">
        <v>226</v>
      </c>
      <c r="E70" s="1291" t="s">
        <v>763</v>
      </c>
      <c r="F70" s="1089" t="s">
        <v>85</v>
      </c>
      <c r="G70" s="1291" t="s">
        <v>226</v>
      </c>
      <c r="H70" s="1291" t="s">
        <v>763</v>
      </c>
      <c r="I70" s="1089" t="s">
        <v>85</v>
      </c>
      <c r="J70" s="1291" t="s">
        <v>226</v>
      </c>
      <c r="K70" s="1291" t="s">
        <v>763</v>
      </c>
      <c r="L70" s="1176" t="s">
        <v>85</v>
      </c>
      <c r="M70" s="1525" t="s">
        <v>226</v>
      </c>
      <c r="N70" s="1291" t="s">
        <v>763</v>
      </c>
      <c r="O70" s="1089" t="s">
        <v>85</v>
      </c>
      <c r="P70" s="1291" t="s">
        <v>226</v>
      </c>
      <c r="Q70" s="1291" t="s">
        <v>763</v>
      </c>
      <c r="R70" s="1089" t="s">
        <v>85</v>
      </c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</row>
    <row r="71" spans="1:47" s="172" customFormat="1" ht="15" customHeight="1" x14ac:dyDescent="0.2">
      <c r="A71" s="1615" t="s">
        <v>1480</v>
      </c>
      <c r="B71" s="2255" t="s">
        <v>786</v>
      </c>
      <c r="C71" s="2256"/>
      <c r="D71" s="201" t="s">
        <v>1616</v>
      </c>
      <c r="E71" s="202" t="s">
        <v>1617</v>
      </c>
      <c r="F71" s="201" t="s">
        <v>1618</v>
      </c>
      <c r="G71" s="208" t="s">
        <v>1619</v>
      </c>
      <c r="H71" s="135" t="s">
        <v>1620</v>
      </c>
      <c r="I71" s="136" t="s">
        <v>1621</v>
      </c>
      <c r="J71" s="208" t="s">
        <v>1622</v>
      </c>
      <c r="K71" s="135" t="s">
        <v>1623</v>
      </c>
      <c r="L71" s="157" t="s">
        <v>1624</v>
      </c>
      <c r="M71" s="770" t="s">
        <v>1625</v>
      </c>
      <c r="N71" s="135" t="s">
        <v>1626</v>
      </c>
      <c r="O71" s="136" t="s">
        <v>1627</v>
      </c>
      <c r="P71" s="771" t="s">
        <v>1628</v>
      </c>
      <c r="Q71" s="135" t="s">
        <v>1629</v>
      </c>
      <c r="R71" s="136" t="s">
        <v>1630</v>
      </c>
      <c r="S71" s="172" t="str">
        <f t="shared" ref="S71:S78" si="69">AK71&amp;AL71&amp;AM71&amp;AN71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91" t="str">
        <f t="shared" ref="AK71:AK78" si="70">IF(AND(E71&gt;0,OR(N71=""))," * No olvide digitar la variable Pueblos Originarios Hombres. Digite Cero si no tiene.",IF(N71&gt;E71," * La variable Pueblos Originarios Hombres no puede ser Mayor al Total Hombres.",""))</f>
        <v xml:space="preserve"> * La variable Pueblos Originarios Hombres no puede ser Mayor al Total Hombres.</v>
      </c>
      <c r="AL71" s="191" t="str">
        <f t="shared" ref="AL71:AL78" si="71">IF(AND(F71&gt;0,OR(O71=""))," * No olvide digitar la variable Pueblos Originarios Mujeres. Digite Cero si no tiene.",IF(O71&gt;F71," * La variable Pueblos Originarios Mujeres no puede ser Mayor al Total Mujeres.",""))</f>
        <v xml:space="preserve"> * La variable Pueblos Originarios Mujeres no puede ser Mayor al Total Mujeres.</v>
      </c>
      <c r="AM71" s="191" t="str">
        <f t="shared" ref="AM71:AM78" si="72">IF(AND($E71&gt;0,OR(Q71=""))," * No olvide digitar la variable Migrantes Hombres. Digite Cero si no tiene.",IF(Q71&gt;$E71," * La variable Migrantes Hombres no puede ser Mayor al Total Hombres.",""))</f>
        <v xml:space="preserve"> * La variable Migrantes Hombres no puede ser Mayor al Total Hombres.</v>
      </c>
      <c r="AN71" s="1347" t="str">
        <f t="shared" ref="AN71:AN78" si="73">IF(AND($F71&gt;0,OR(R71=""))," * No olvide digitar la variable Migrantes Mujeres. Digite Cero si no tiene.",IF(R71&gt;$F71," * La variable Migrantes Mujeres no puede ser Mayor al Total Mujeres.",""))</f>
        <v xml:space="preserve"> * La variable Migrantes Mujeres no puede ser Mayor al Total Mujeres.</v>
      </c>
      <c r="AO71" s="108"/>
      <c r="AP71" s="108"/>
      <c r="AQ71" s="108"/>
      <c r="AR71" s="1047">
        <f t="shared" ref="AR71:AR78" si="74">IF(AND($E71&gt;0,OR(N71="")),1,IF(N71&gt;$E71,1,0))</f>
        <v>1</v>
      </c>
      <c r="AS71" s="1047">
        <f t="shared" ref="AS71:AS78" si="75">IF(AND($F71&gt;0,OR(O71="")),1,IF(O71&gt;$F71,1,0))</f>
        <v>1</v>
      </c>
      <c r="AT71" s="1047">
        <f t="shared" ref="AT71:AT78" si="76">IF(AND($E71&gt;0,OR(Q71="")),1,IF(Q71&gt;$E71,1,0))</f>
        <v>1</v>
      </c>
      <c r="AU71" s="1047">
        <f t="shared" ref="AU71:AU78" si="77">IF(AND($F71&gt;0,OR(R71="")),1,IF(R71&gt;$F71,1,0))</f>
        <v>1</v>
      </c>
    </row>
    <row r="72" spans="1:47" s="172" customFormat="1" ht="15" customHeight="1" x14ac:dyDescent="0.2">
      <c r="A72" s="1615" t="s">
        <v>1481</v>
      </c>
      <c r="B72" s="2232" t="s">
        <v>787</v>
      </c>
      <c r="C72" s="2233"/>
      <c r="D72" s="204" t="s">
        <v>1616</v>
      </c>
      <c r="E72" s="205" t="s">
        <v>1617</v>
      </c>
      <c r="F72" s="204" t="s">
        <v>1618</v>
      </c>
      <c r="G72" s="208" t="s">
        <v>1619</v>
      </c>
      <c r="H72" s="135" t="s">
        <v>1620</v>
      </c>
      <c r="I72" s="136" t="s">
        <v>1621</v>
      </c>
      <c r="J72" s="208" t="s">
        <v>1622</v>
      </c>
      <c r="K72" s="135" t="s">
        <v>1623</v>
      </c>
      <c r="L72" s="157" t="s">
        <v>1624</v>
      </c>
      <c r="M72" s="781" t="s">
        <v>1625</v>
      </c>
      <c r="N72" s="135" t="s">
        <v>1626</v>
      </c>
      <c r="O72" s="136" t="s">
        <v>1627</v>
      </c>
      <c r="P72" s="208" t="s">
        <v>1628</v>
      </c>
      <c r="Q72" s="135" t="s">
        <v>1629</v>
      </c>
      <c r="R72" s="136" t="s">
        <v>1630</v>
      </c>
      <c r="S72" s="172" t="str">
        <f t="shared" si="6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91" t="str">
        <f t="shared" si="70"/>
        <v xml:space="preserve"> * La variable Pueblos Originarios Hombres no puede ser Mayor al Total Hombres.</v>
      </c>
      <c r="AL72" s="191" t="str">
        <f t="shared" si="71"/>
        <v xml:space="preserve"> * La variable Pueblos Originarios Mujeres no puede ser Mayor al Total Mujeres.</v>
      </c>
      <c r="AM72" s="191" t="str">
        <f t="shared" si="72"/>
        <v xml:space="preserve"> * La variable Migrantes Hombres no puede ser Mayor al Total Hombres.</v>
      </c>
      <c r="AN72" s="1347" t="str">
        <f t="shared" si="73"/>
        <v xml:space="preserve"> * La variable Migrantes Mujeres no puede ser Mayor al Total Mujeres.</v>
      </c>
      <c r="AO72" s="108"/>
      <c r="AP72" s="108"/>
      <c r="AQ72" s="108"/>
      <c r="AR72" s="1047">
        <f t="shared" si="74"/>
        <v>1</v>
      </c>
      <c r="AS72" s="1047">
        <f t="shared" si="75"/>
        <v>1</v>
      </c>
      <c r="AT72" s="1047">
        <f t="shared" si="76"/>
        <v>1</v>
      </c>
      <c r="AU72" s="1047">
        <f t="shared" si="77"/>
        <v>1</v>
      </c>
    </row>
    <row r="73" spans="1:47" s="172" customFormat="1" ht="15" customHeight="1" x14ac:dyDescent="0.2">
      <c r="A73" s="1615" t="s">
        <v>1482</v>
      </c>
      <c r="B73" s="2232" t="s">
        <v>788</v>
      </c>
      <c r="C73" s="2233"/>
      <c r="D73" s="204" t="s">
        <v>1616</v>
      </c>
      <c r="E73" s="205" t="s">
        <v>1617</v>
      </c>
      <c r="F73" s="204" t="s">
        <v>1618</v>
      </c>
      <c r="G73" s="208" t="s">
        <v>1619</v>
      </c>
      <c r="H73" s="135" t="s">
        <v>1620</v>
      </c>
      <c r="I73" s="136" t="s">
        <v>1621</v>
      </c>
      <c r="J73" s="208" t="s">
        <v>1622</v>
      </c>
      <c r="K73" s="135" t="s">
        <v>1623</v>
      </c>
      <c r="L73" s="157" t="s">
        <v>1624</v>
      </c>
      <c r="M73" s="781" t="s">
        <v>1625</v>
      </c>
      <c r="N73" s="135" t="s">
        <v>1626</v>
      </c>
      <c r="O73" s="136" t="s">
        <v>1627</v>
      </c>
      <c r="P73" s="208" t="s">
        <v>1628</v>
      </c>
      <c r="Q73" s="135" t="s">
        <v>1629</v>
      </c>
      <c r="R73" s="136" t="s">
        <v>1630</v>
      </c>
      <c r="S73" s="172" t="str">
        <f t="shared" si="6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91" t="str">
        <f t="shared" si="70"/>
        <v xml:space="preserve"> * La variable Pueblos Originarios Hombres no puede ser Mayor al Total Hombres.</v>
      </c>
      <c r="AL73" s="191" t="str">
        <f t="shared" si="71"/>
        <v xml:space="preserve"> * La variable Pueblos Originarios Mujeres no puede ser Mayor al Total Mujeres.</v>
      </c>
      <c r="AM73" s="191" t="str">
        <f t="shared" si="72"/>
        <v xml:space="preserve"> * La variable Migrantes Hombres no puede ser Mayor al Total Hombres.</v>
      </c>
      <c r="AN73" s="1347" t="str">
        <f t="shared" si="73"/>
        <v xml:space="preserve"> * La variable Migrantes Mujeres no puede ser Mayor al Total Mujeres.</v>
      </c>
      <c r="AO73" s="108"/>
      <c r="AP73" s="108"/>
      <c r="AQ73" s="108"/>
      <c r="AR73" s="1047">
        <f t="shared" si="74"/>
        <v>1</v>
      </c>
      <c r="AS73" s="1047">
        <f t="shared" si="75"/>
        <v>1</v>
      </c>
      <c r="AT73" s="1047">
        <f t="shared" si="76"/>
        <v>1</v>
      </c>
      <c r="AU73" s="1047">
        <f t="shared" si="77"/>
        <v>1</v>
      </c>
    </row>
    <row r="74" spans="1:47" s="172" customFormat="1" ht="15" customHeight="1" x14ac:dyDescent="0.2">
      <c r="A74" s="1615" t="s">
        <v>1483</v>
      </c>
      <c r="B74" s="2232" t="s">
        <v>789</v>
      </c>
      <c r="C74" s="2233"/>
      <c r="D74" s="204" t="s">
        <v>1616</v>
      </c>
      <c r="E74" s="205" t="s">
        <v>1617</v>
      </c>
      <c r="F74" s="204" t="s">
        <v>1618</v>
      </c>
      <c r="G74" s="208" t="s">
        <v>1619</v>
      </c>
      <c r="H74" s="135" t="s">
        <v>1620</v>
      </c>
      <c r="I74" s="136" t="s">
        <v>1621</v>
      </c>
      <c r="J74" s="208" t="s">
        <v>1622</v>
      </c>
      <c r="K74" s="135" t="s">
        <v>1623</v>
      </c>
      <c r="L74" s="157" t="s">
        <v>1624</v>
      </c>
      <c r="M74" s="781" t="s">
        <v>1625</v>
      </c>
      <c r="N74" s="135" t="s">
        <v>1626</v>
      </c>
      <c r="O74" s="136" t="s">
        <v>1627</v>
      </c>
      <c r="P74" s="208" t="s">
        <v>1628</v>
      </c>
      <c r="Q74" s="135" t="s">
        <v>1629</v>
      </c>
      <c r="R74" s="136" t="s">
        <v>1630</v>
      </c>
      <c r="S74" s="172" t="str">
        <f t="shared" si="6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91" t="str">
        <f t="shared" si="70"/>
        <v xml:space="preserve"> * La variable Pueblos Originarios Hombres no puede ser Mayor al Total Hombres.</v>
      </c>
      <c r="AL74" s="191" t="str">
        <f t="shared" si="71"/>
        <v xml:space="preserve"> * La variable Pueblos Originarios Mujeres no puede ser Mayor al Total Mujeres.</v>
      </c>
      <c r="AM74" s="191" t="str">
        <f t="shared" si="72"/>
        <v xml:space="preserve"> * La variable Migrantes Hombres no puede ser Mayor al Total Hombres.</v>
      </c>
      <c r="AN74" s="1347" t="str">
        <f t="shared" si="73"/>
        <v xml:space="preserve"> * La variable Migrantes Mujeres no puede ser Mayor al Total Mujeres.</v>
      </c>
      <c r="AO74" s="108"/>
      <c r="AP74" s="108"/>
      <c r="AQ74" s="108"/>
      <c r="AR74" s="1047">
        <f t="shared" si="74"/>
        <v>1</v>
      </c>
      <c r="AS74" s="1047">
        <f t="shared" si="75"/>
        <v>1</v>
      </c>
      <c r="AT74" s="1047">
        <f t="shared" si="76"/>
        <v>1</v>
      </c>
      <c r="AU74" s="1047">
        <f t="shared" si="77"/>
        <v>1</v>
      </c>
    </row>
    <row r="75" spans="1:47" s="172" customFormat="1" ht="15" customHeight="1" x14ac:dyDescent="0.2">
      <c r="A75" s="1615" t="s">
        <v>1484</v>
      </c>
      <c r="B75" s="1824" t="s">
        <v>790</v>
      </c>
      <c r="C75" s="1825"/>
      <c r="D75" s="208" t="s">
        <v>1616</v>
      </c>
      <c r="E75" s="213" t="s">
        <v>1617</v>
      </c>
      <c r="F75" s="208" t="s">
        <v>1618</v>
      </c>
      <c r="G75" s="208" t="s">
        <v>1619</v>
      </c>
      <c r="H75" s="135" t="s">
        <v>1620</v>
      </c>
      <c r="I75" s="136" t="s">
        <v>1621</v>
      </c>
      <c r="J75" s="208" t="s">
        <v>1622</v>
      </c>
      <c r="K75" s="135" t="s">
        <v>1623</v>
      </c>
      <c r="L75" s="157" t="s">
        <v>1624</v>
      </c>
      <c r="M75" s="781" t="s">
        <v>1625</v>
      </c>
      <c r="N75" s="135" t="s">
        <v>1626</v>
      </c>
      <c r="O75" s="136" t="s">
        <v>1627</v>
      </c>
      <c r="P75" s="208" t="s">
        <v>1628</v>
      </c>
      <c r="Q75" s="135" t="s">
        <v>1629</v>
      </c>
      <c r="R75" s="136" t="s">
        <v>1630</v>
      </c>
      <c r="S75" s="172" t="str">
        <f t="shared" si="6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91" t="str">
        <f t="shared" si="70"/>
        <v xml:space="preserve"> * La variable Pueblos Originarios Hombres no puede ser Mayor al Total Hombres.</v>
      </c>
      <c r="AL75" s="191" t="str">
        <f t="shared" si="71"/>
        <v xml:space="preserve"> * La variable Pueblos Originarios Mujeres no puede ser Mayor al Total Mujeres.</v>
      </c>
      <c r="AM75" s="191" t="str">
        <f t="shared" si="72"/>
        <v xml:space="preserve"> * La variable Migrantes Hombres no puede ser Mayor al Total Hombres.</v>
      </c>
      <c r="AN75" s="1347" t="str">
        <f t="shared" si="73"/>
        <v xml:space="preserve"> * La variable Migrantes Mujeres no puede ser Mayor al Total Mujeres.</v>
      </c>
      <c r="AO75" s="108"/>
      <c r="AP75" s="108"/>
      <c r="AQ75" s="108"/>
      <c r="AR75" s="1047">
        <f t="shared" si="74"/>
        <v>1</v>
      </c>
      <c r="AS75" s="1047">
        <f t="shared" si="75"/>
        <v>1</v>
      </c>
      <c r="AT75" s="1047">
        <f t="shared" si="76"/>
        <v>1</v>
      </c>
      <c r="AU75" s="1047">
        <f t="shared" si="77"/>
        <v>1</v>
      </c>
    </row>
    <row r="76" spans="1:47" s="172" customFormat="1" ht="15" customHeight="1" x14ac:dyDescent="0.2">
      <c r="A76" s="1615" t="s">
        <v>1485</v>
      </c>
      <c r="B76" s="2232" t="s">
        <v>791</v>
      </c>
      <c r="C76" s="2233"/>
      <c r="D76" s="204" t="s">
        <v>1616</v>
      </c>
      <c r="E76" s="205" t="s">
        <v>1617</v>
      </c>
      <c r="F76" s="204" t="s">
        <v>1618</v>
      </c>
      <c r="G76" s="208" t="s">
        <v>1619</v>
      </c>
      <c r="H76" s="135" t="s">
        <v>1620</v>
      </c>
      <c r="I76" s="136" t="s">
        <v>1621</v>
      </c>
      <c r="J76" s="208" t="s">
        <v>1622</v>
      </c>
      <c r="K76" s="135" t="s">
        <v>1623</v>
      </c>
      <c r="L76" s="157" t="s">
        <v>1624</v>
      </c>
      <c r="M76" s="781" t="s">
        <v>1625</v>
      </c>
      <c r="N76" s="135" t="s">
        <v>1626</v>
      </c>
      <c r="O76" s="136" t="s">
        <v>1627</v>
      </c>
      <c r="P76" s="208" t="s">
        <v>1628</v>
      </c>
      <c r="Q76" s="135" t="s">
        <v>1629</v>
      </c>
      <c r="R76" s="136" t="s">
        <v>1630</v>
      </c>
      <c r="S76" s="172" t="str">
        <f t="shared" si="6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91" t="str">
        <f t="shared" si="70"/>
        <v xml:space="preserve"> * La variable Pueblos Originarios Hombres no puede ser Mayor al Total Hombres.</v>
      </c>
      <c r="AL76" s="191" t="str">
        <f t="shared" si="71"/>
        <v xml:space="preserve"> * La variable Pueblos Originarios Mujeres no puede ser Mayor al Total Mujeres.</v>
      </c>
      <c r="AM76" s="191" t="str">
        <f t="shared" si="72"/>
        <v xml:space="preserve"> * La variable Migrantes Hombres no puede ser Mayor al Total Hombres.</v>
      </c>
      <c r="AN76" s="1347" t="str">
        <f t="shared" si="73"/>
        <v xml:space="preserve"> * La variable Migrantes Mujeres no puede ser Mayor al Total Mujeres.</v>
      </c>
      <c r="AO76" s="108"/>
      <c r="AP76" s="108"/>
      <c r="AQ76" s="108"/>
      <c r="AR76" s="1047">
        <f t="shared" si="74"/>
        <v>1</v>
      </c>
      <c r="AS76" s="1047">
        <f t="shared" si="75"/>
        <v>1</v>
      </c>
      <c r="AT76" s="1047">
        <f t="shared" si="76"/>
        <v>1</v>
      </c>
      <c r="AU76" s="1047">
        <f t="shared" si="77"/>
        <v>1</v>
      </c>
    </row>
    <row r="77" spans="1:47" s="172" customFormat="1" ht="15" customHeight="1" x14ac:dyDescent="0.2">
      <c r="A77" s="1615" t="s">
        <v>1486</v>
      </c>
      <c r="B77" s="2232" t="s">
        <v>792</v>
      </c>
      <c r="C77" s="2233"/>
      <c r="D77" s="204" t="s">
        <v>1616</v>
      </c>
      <c r="E77" s="205" t="s">
        <v>1617</v>
      </c>
      <c r="F77" s="204" t="s">
        <v>1618</v>
      </c>
      <c r="G77" s="208" t="s">
        <v>1619</v>
      </c>
      <c r="H77" s="135" t="s">
        <v>1620</v>
      </c>
      <c r="I77" s="136" t="s">
        <v>1621</v>
      </c>
      <c r="J77" s="208" t="s">
        <v>1622</v>
      </c>
      <c r="K77" s="135" t="s">
        <v>1623</v>
      </c>
      <c r="L77" s="157" t="s">
        <v>1624</v>
      </c>
      <c r="M77" s="781" t="s">
        <v>1625</v>
      </c>
      <c r="N77" s="135" t="s">
        <v>1626</v>
      </c>
      <c r="O77" s="136" t="s">
        <v>1627</v>
      </c>
      <c r="P77" s="208" t="s">
        <v>1628</v>
      </c>
      <c r="Q77" s="135" t="s">
        <v>1629</v>
      </c>
      <c r="R77" s="136" t="s">
        <v>1630</v>
      </c>
      <c r="S77" s="172" t="str">
        <f t="shared" si="6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91" t="str">
        <f t="shared" si="70"/>
        <v xml:space="preserve"> * La variable Pueblos Originarios Hombres no puede ser Mayor al Total Hombres.</v>
      </c>
      <c r="AL77" s="191" t="str">
        <f t="shared" si="71"/>
        <v xml:space="preserve"> * La variable Pueblos Originarios Mujeres no puede ser Mayor al Total Mujeres.</v>
      </c>
      <c r="AM77" s="191" t="str">
        <f t="shared" si="72"/>
        <v xml:space="preserve"> * La variable Migrantes Hombres no puede ser Mayor al Total Hombres.</v>
      </c>
      <c r="AN77" s="1347" t="str">
        <f t="shared" si="73"/>
        <v xml:space="preserve"> * La variable Migrantes Mujeres no puede ser Mayor al Total Mujeres.</v>
      </c>
      <c r="AO77" s="108"/>
      <c r="AP77" s="108"/>
      <c r="AQ77" s="108"/>
      <c r="AR77" s="1047">
        <f t="shared" si="74"/>
        <v>1</v>
      </c>
      <c r="AS77" s="1047">
        <f t="shared" si="75"/>
        <v>1</v>
      </c>
      <c r="AT77" s="1047">
        <f t="shared" si="76"/>
        <v>1</v>
      </c>
      <c r="AU77" s="1047">
        <f t="shared" si="77"/>
        <v>1</v>
      </c>
    </row>
    <row r="78" spans="1:47" s="172" customFormat="1" ht="15" customHeight="1" x14ac:dyDescent="0.2">
      <c r="A78" s="1615" t="s">
        <v>1487</v>
      </c>
      <c r="B78" s="2253" t="s">
        <v>793</v>
      </c>
      <c r="C78" s="2254"/>
      <c r="D78" s="209" t="s">
        <v>1616</v>
      </c>
      <c r="E78" s="210" t="s">
        <v>1617</v>
      </c>
      <c r="F78" s="209" t="s">
        <v>1618</v>
      </c>
      <c r="G78" s="773" t="s">
        <v>1619</v>
      </c>
      <c r="H78" s="149" t="s">
        <v>1620</v>
      </c>
      <c r="I78" s="150" t="s">
        <v>1621</v>
      </c>
      <c r="J78" s="773" t="s">
        <v>1622</v>
      </c>
      <c r="K78" s="149" t="s">
        <v>1623</v>
      </c>
      <c r="L78" s="158" t="s">
        <v>1624</v>
      </c>
      <c r="M78" s="772" t="s">
        <v>1625</v>
      </c>
      <c r="N78" s="149" t="s">
        <v>1626</v>
      </c>
      <c r="O78" s="150" t="s">
        <v>1627</v>
      </c>
      <c r="P78" s="773" t="s">
        <v>1628</v>
      </c>
      <c r="Q78" s="149" t="s">
        <v>1629</v>
      </c>
      <c r="R78" s="150" t="s">
        <v>1630</v>
      </c>
      <c r="S78" s="172" t="str">
        <f t="shared" si="6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91" t="str">
        <f t="shared" si="70"/>
        <v xml:space="preserve"> * La variable Pueblos Originarios Hombres no puede ser Mayor al Total Hombres.</v>
      </c>
      <c r="AL78" s="191" t="str">
        <f t="shared" si="71"/>
        <v xml:space="preserve"> * La variable Pueblos Originarios Mujeres no puede ser Mayor al Total Mujeres.</v>
      </c>
      <c r="AM78" s="191" t="str">
        <f t="shared" si="72"/>
        <v xml:space="preserve"> * La variable Migrantes Hombres no puede ser Mayor al Total Hombres.</v>
      </c>
      <c r="AN78" s="1347" t="str">
        <f t="shared" si="73"/>
        <v xml:space="preserve"> * La variable Migrantes Mujeres no puede ser Mayor al Total Mujeres.</v>
      </c>
      <c r="AO78" s="108"/>
      <c r="AP78" s="108"/>
      <c r="AQ78" s="108"/>
      <c r="AR78" s="1047">
        <f t="shared" si="74"/>
        <v>1</v>
      </c>
      <c r="AS78" s="1047">
        <f t="shared" si="75"/>
        <v>1</v>
      </c>
      <c r="AT78" s="1047">
        <f t="shared" si="76"/>
        <v>1</v>
      </c>
      <c r="AU78" s="1047">
        <f t="shared" si="77"/>
        <v>1</v>
      </c>
    </row>
    <row r="79" spans="1:47" s="172" customFormat="1" ht="17.100000000000001" customHeight="1" x14ac:dyDescent="0.15">
      <c r="B79" s="2246" t="s">
        <v>794</v>
      </c>
      <c r="C79" s="2246"/>
      <c r="D79" s="2246"/>
      <c r="E79" s="2246"/>
      <c r="F79" s="2246"/>
      <c r="G79" s="2246"/>
      <c r="H79" s="2246"/>
      <c r="I79" s="2246"/>
      <c r="J79" s="2246"/>
      <c r="K79" s="2246"/>
      <c r="L79" s="2246"/>
      <c r="M79" s="2246"/>
      <c r="N79" s="2246"/>
      <c r="O79" s="2246"/>
      <c r="P79" s="2246"/>
      <c r="Q79" s="2246"/>
      <c r="R79" s="2246"/>
      <c r="S79" s="134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</row>
    <row r="80" spans="1:47" s="172" customFormat="1" ht="18" customHeight="1" x14ac:dyDescent="0.15">
      <c r="B80" s="2225" t="s">
        <v>795</v>
      </c>
      <c r="C80" s="2226"/>
      <c r="D80" s="2242" t="s">
        <v>49</v>
      </c>
      <c r="E80" s="2243"/>
      <c r="F80" s="2244"/>
      <c r="G80" s="2242" t="s">
        <v>761</v>
      </c>
      <c r="H80" s="2243"/>
      <c r="I80" s="2244"/>
      <c r="J80" s="2242" t="s">
        <v>762</v>
      </c>
      <c r="K80" s="2243"/>
      <c r="L80" s="2250"/>
      <c r="M80" s="2251" t="s">
        <v>730</v>
      </c>
      <c r="N80" s="2243"/>
      <c r="O80" s="2244"/>
      <c r="P80" s="2242" t="s">
        <v>52</v>
      </c>
      <c r="Q80" s="2243"/>
      <c r="R80" s="2244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</row>
    <row r="81" spans="1:49" s="172" customFormat="1" ht="27.75" customHeight="1" x14ac:dyDescent="0.15">
      <c r="A81" s="1618"/>
      <c r="B81" s="2227"/>
      <c r="C81" s="2228"/>
      <c r="D81" s="1530" t="s">
        <v>226</v>
      </c>
      <c r="E81" s="1291" t="s">
        <v>763</v>
      </c>
      <c r="F81" s="1089" t="s">
        <v>85</v>
      </c>
      <c r="G81" s="1531" t="s">
        <v>226</v>
      </c>
      <c r="H81" s="1291" t="s">
        <v>763</v>
      </c>
      <c r="I81" s="1089" t="s">
        <v>85</v>
      </c>
      <c r="J81" s="1531" t="s">
        <v>226</v>
      </c>
      <c r="K81" s="1291" t="s">
        <v>763</v>
      </c>
      <c r="L81" s="1349" t="s">
        <v>85</v>
      </c>
      <c r="M81" s="1350" t="s">
        <v>226</v>
      </c>
      <c r="N81" s="1291" t="s">
        <v>763</v>
      </c>
      <c r="O81" s="1089" t="s">
        <v>85</v>
      </c>
      <c r="P81" s="1530" t="s">
        <v>226</v>
      </c>
      <c r="Q81" s="1291" t="s">
        <v>763</v>
      </c>
      <c r="R81" s="1089" t="s">
        <v>85</v>
      </c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</row>
    <row r="82" spans="1:49" s="172" customFormat="1" ht="15" customHeight="1" x14ac:dyDescent="0.2">
      <c r="A82" s="1619" t="s">
        <v>1488</v>
      </c>
      <c r="B82" s="2262" t="s">
        <v>796</v>
      </c>
      <c r="C82" s="2263"/>
      <c r="D82" s="201" t="s">
        <v>1616</v>
      </c>
      <c r="E82" s="202" t="s">
        <v>1617</v>
      </c>
      <c r="F82" s="201" t="s">
        <v>1618</v>
      </c>
      <c r="G82" s="208" t="s">
        <v>1619</v>
      </c>
      <c r="H82" s="1351" t="s">
        <v>1620</v>
      </c>
      <c r="I82" s="1352" t="s">
        <v>1621</v>
      </c>
      <c r="J82" s="208" t="s">
        <v>1622</v>
      </c>
      <c r="K82" s="1351" t="s">
        <v>1623</v>
      </c>
      <c r="L82" s="1353" t="s">
        <v>1624</v>
      </c>
      <c r="M82" s="770" t="s">
        <v>1625</v>
      </c>
      <c r="N82" s="1351" t="s">
        <v>1626</v>
      </c>
      <c r="O82" s="1352" t="s">
        <v>1627</v>
      </c>
      <c r="P82" s="771" t="s">
        <v>1628</v>
      </c>
      <c r="Q82" s="1351" t="s">
        <v>1629</v>
      </c>
      <c r="R82" s="1352" t="s">
        <v>1630</v>
      </c>
      <c r="S82" s="172" t="str">
        <f>AK82&amp;AL82&amp;AM82&amp;AN82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91" t="str">
        <f>IF(AND(E82&gt;0,OR(N82=""))," * No olvide digitar la variable Pueblos Originarios Hombres. Digite Cero si no tiene.",IF(N82&gt;E82," * La variable Pueblos Originarios Hombres no puede ser Mayor al Total Hombres.",""))</f>
        <v xml:space="preserve"> * La variable Pueblos Originarios Hombres no puede ser Mayor al Total Hombres.</v>
      </c>
      <c r="AL82" s="191" t="str">
        <f>IF(AND(F82&gt;0,OR(O82=""))," * No olvide digitar la variable Pueblos Originarios Mujeres. Digite Cero si no tiene.",IF(O82&gt;F82," * La variable Pueblos Originarios Mujeres no puede ser Mayor al Total Mujeres.",""))</f>
        <v xml:space="preserve"> * La variable Pueblos Originarios Mujeres no puede ser Mayor al Total Mujeres.</v>
      </c>
      <c r="AM82" s="191" t="str">
        <f t="shared" ref="AM82:AM86" si="78">IF(AND($E82&gt;0,OR(Q82=""))," * No olvide digitar la variable Migrantes Hombres. Digite Cero si no tiene.",IF(Q82&gt;$E82," * La variable Migrantes Hombres no puede ser Mayor al Total Hombres.",""))</f>
        <v xml:space="preserve"> * La variable Migrantes Hombres no puede ser Mayor al Total Hombres.</v>
      </c>
      <c r="AN82" s="1347" t="str">
        <f>IF(AND($F82&gt;0,OR(R82=""))," * No olvide digitar la variable Migrantes Mujeres. Digite Cero si no tiene.",IF(R82&gt;$F82," * La variable Migrantes Mujeres no puede ser Mayor al Total Mujeres.",""))</f>
        <v xml:space="preserve"> * La variable Migrantes Mujeres no puede ser Mayor al Total Mujeres.</v>
      </c>
      <c r="AO82" s="108"/>
      <c r="AP82" s="108"/>
      <c r="AQ82" s="108"/>
      <c r="AR82" s="1047">
        <f t="shared" ref="AR82:AR86" si="79">IF(AND($E82&gt;0,OR(N82="")),1,IF(N82&gt;$E82,1,0))</f>
        <v>1</v>
      </c>
      <c r="AS82" s="1047">
        <f t="shared" ref="AS82:AS86" si="80">IF(AND($F82&gt;0,OR(O82="")),1,IF(O82&gt;$F82,1,0))</f>
        <v>1</v>
      </c>
      <c r="AT82" s="1047">
        <f t="shared" ref="AT82:AT86" si="81">IF(AND($E82&gt;0,OR(Q82="")),1,IF(Q82&gt;$E82,1,0))</f>
        <v>1</v>
      </c>
      <c r="AU82" s="1047">
        <f t="shared" ref="AU82:AU86" si="82">IF(AND($F82&gt;0,OR(R82="")),1,IF(R82&gt;$F82,1,0))</f>
        <v>1</v>
      </c>
    </row>
    <row r="83" spans="1:49" s="172" customFormat="1" ht="15" customHeight="1" x14ac:dyDescent="0.2">
      <c r="A83" s="1619" t="s">
        <v>1489</v>
      </c>
      <c r="B83" s="2264" t="s">
        <v>797</v>
      </c>
      <c r="C83" s="2265"/>
      <c r="D83" s="204" t="s">
        <v>1616</v>
      </c>
      <c r="E83" s="205" t="s">
        <v>1617</v>
      </c>
      <c r="F83" s="204" t="s">
        <v>1618</v>
      </c>
      <c r="G83" s="208" t="s">
        <v>1619</v>
      </c>
      <c r="H83" s="1351" t="s">
        <v>1620</v>
      </c>
      <c r="I83" s="1352" t="s">
        <v>1621</v>
      </c>
      <c r="J83" s="208" t="s">
        <v>1622</v>
      </c>
      <c r="K83" s="1351" t="s">
        <v>1623</v>
      </c>
      <c r="L83" s="1353" t="s">
        <v>1624</v>
      </c>
      <c r="M83" s="781" t="s">
        <v>1625</v>
      </c>
      <c r="N83" s="1351" t="s">
        <v>1626</v>
      </c>
      <c r="O83" s="1352" t="s">
        <v>1627</v>
      </c>
      <c r="P83" s="208" t="s">
        <v>1628</v>
      </c>
      <c r="Q83" s="1351" t="s">
        <v>1629</v>
      </c>
      <c r="R83" s="1352" t="s">
        <v>1630</v>
      </c>
      <c r="S83" s="172" t="str">
        <f t="shared" ref="S83:S86" si="83">AK83&amp;AL83&amp;AM83&amp;AN83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91" t="str">
        <f>IF(AND(E83&gt;0,OR(N83=""))," * No olvide digitar la variable Pueblos Originarios Hombres. Digite Cero si no tiene.",IF(N83&gt;E83," * La variable Pueblos Originarios Hombres no puede ser Mayor al Total Hombres.",""))</f>
        <v xml:space="preserve"> * La variable Pueblos Originarios Hombres no puede ser Mayor al Total Hombres.</v>
      </c>
      <c r="AL83" s="191" t="str">
        <f>IF(AND(F83&gt;0,OR(O83=""))," * No olvide digitar la variable Pueblos Originarios Mujeres. Digite Cero si no tiene.",IF(O83&gt;F83," * La variable Pueblos Originarios Mujeres no puede ser Mayor al Total Mujeres.",""))</f>
        <v xml:space="preserve"> * La variable Pueblos Originarios Mujeres no puede ser Mayor al Total Mujeres.</v>
      </c>
      <c r="AM83" s="191" t="str">
        <f t="shared" si="78"/>
        <v xml:space="preserve"> * La variable Migrantes Hombres no puede ser Mayor al Total Hombres.</v>
      </c>
      <c r="AN83" s="1347" t="str">
        <f>IF(AND($F83&gt;0,OR(R83=""))," * No olvide digitar la variable Migrantes Mujeres. Digite Cero si no tiene.",IF(R83&gt;$F83," * La variable Migrantes Mujeres no puede ser Mayor al Total Mujeres.",""))</f>
        <v xml:space="preserve"> * La variable Migrantes Mujeres no puede ser Mayor al Total Mujeres.</v>
      </c>
      <c r="AO83" s="108"/>
      <c r="AP83" s="108"/>
      <c r="AQ83" s="108"/>
      <c r="AR83" s="1047">
        <f t="shared" si="79"/>
        <v>1</v>
      </c>
      <c r="AS83" s="1047">
        <f t="shared" si="80"/>
        <v>1</v>
      </c>
      <c r="AT83" s="1047">
        <f t="shared" si="81"/>
        <v>1</v>
      </c>
      <c r="AU83" s="1047">
        <f t="shared" si="82"/>
        <v>1</v>
      </c>
    </row>
    <row r="84" spans="1:49" s="172" customFormat="1" ht="15" customHeight="1" x14ac:dyDescent="0.2">
      <c r="A84" s="1619" t="s">
        <v>1490</v>
      </c>
      <c r="B84" s="2264" t="s">
        <v>633</v>
      </c>
      <c r="C84" s="2265"/>
      <c r="D84" s="204" t="s">
        <v>1616</v>
      </c>
      <c r="E84" s="205" t="s">
        <v>1617</v>
      </c>
      <c r="F84" s="204" t="s">
        <v>1618</v>
      </c>
      <c r="G84" s="208" t="s">
        <v>1619</v>
      </c>
      <c r="H84" s="1351" t="s">
        <v>1620</v>
      </c>
      <c r="I84" s="1352" t="s">
        <v>1621</v>
      </c>
      <c r="J84" s="208" t="s">
        <v>1622</v>
      </c>
      <c r="K84" s="1351" t="s">
        <v>1623</v>
      </c>
      <c r="L84" s="1353" t="s">
        <v>1624</v>
      </c>
      <c r="M84" s="781" t="s">
        <v>1625</v>
      </c>
      <c r="N84" s="1351" t="s">
        <v>1626</v>
      </c>
      <c r="O84" s="1352" t="s">
        <v>1627</v>
      </c>
      <c r="P84" s="208" t="s">
        <v>1628</v>
      </c>
      <c r="Q84" s="1351" t="s">
        <v>1629</v>
      </c>
      <c r="R84" s="1352" t="s">
        <v>1630</v>
      </c>
      <c r="S84" s="172" t="str">
        <f t="shared" si="8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91" t="str">
        <f>IF(AND(E84&gt;0,OR(N84=""))," * No olvide digitar la variable Pueblos Originarios Hombres. Digite Cero si no tiene.",IF(N84&gt;E84," * La variable Pueblos Originarios Hombres no puede ser Mayor al Total Hombres.",""))</f>
        <v xml:space="preserve"> * La variable Pueblos Originarios Hombres no puede ser Mayor al Total Hombres.</v>
      </c>
      <c r="AL84" s="191" t="str">
        <f>IF(AND(F84&gt;0,OR(O84=""))," * No olvide digitar la variable Pueblos Originarios Mujeres. Digite Cero si no tiene.",IF(O84&gt;F84," * La variable Pueblos Originarios Mujeres no puede ser Mayor al Total Mujeres.",""))</f>
        <v xml:space="preserve"> * La variable Pueblos Originarios Mujeres no puede ser Mayor al Total Mujeres.</v>
      </c>
      <c r="AM84" s="191" t="str">
        <f t="shared" si="78"/>
        <v xml:space="preserve"> * La variable Migrantes Hombres no puede ser Mayor al Total Hombres.</v>
      </c>
      <c r="AN84" s="1347" t="str">
        <f>IF(AND($F84&gt;0,OR(R84=""))," * No olvide digitar la variable Migrantes Mujeres. Digite Cero si no tiene.",IF(R84&gt;$F84," * La variable Migrantes Mujeres no puede ser Mayor al Total Mujeres.",""))</f>
        <v xml:space="preserve"> * La variable Migrantes Mujeres no puede ser Mayor al Total Mujeres.</v>
      </c>
      <c r="AO84" s="108"/>
      <c r="AP84" s="108"/>
      <c r="AQ84" s="108"/>
      <c r="AR84" s="1047">
        <f t="shared" si="79"/>
        <v>1</v>
      </c>
      <c r="AS84" s="1047">
        <f t="shared" si="80"/>
        <v>1</v>
      </c>
      <c r="AT84" s="1047">
        <f t="shared" si="81"/>
        <v>1</v>
      </c>
      <c r="AU84" s="1047">
        <f t="shared" si="82"/>
        <v>1</v>
      </c>
    </row>
    <row r="85" spans="1:49" s="172" customFormat="1" ht="15" customHeight="1" x14ac:dyDescent="0.2">
      <c r="A85" s="1619" t="s">
        <v>1491</v>
      </c>
      <c r="B85" s="2264" t="s">
        <v>798</v>
      </c>
      <c r="C85" s="2265"/>
      <c r="D85" s="204" t="s">
        <v>1616</v>
      </c>
      <c r="E85" s="205" t="s">
        <v>1617</v>
      </c>
      <c r="F85" s="204" t="s">
        <v>1618</v>
      </c>
      <c r="G85" s="208" t="s">
        <v>1619</v>
      </c>
      <c r="H85" s="1351" t="s">
        <v>1620</v>
      </c>
      <c r="I85" s="1352" t="s">
        <v>1621</v>
      </c>
      <c r="J85" s="208" t="s">
        <v>1622</v>
      </c>
      <c r="K85" s="1351" t="s">
        <v>1623</v>
      </c>
      <c r="L85" s="1353" t="s">
        <v>1624</v>
      </c>
      <c r="M85" s="781" t="s">
        <v>1625</v>
      </c>
      <c r="N85" s="1351" t="s">
        <v>1626</v>
      </c>
      <c r="O85" s="1352" t="s">
        <v>1627</v>
      </c>
      <c r="P85" s="208" t="s">
        <v>1628</v>
      </c>
      <c r="Q85" s="1351" t="s">
        <v>1629</v>
      </c>
      <c r="R85" s="1352" t="s">
        <v>1630</v>
      </c>
      <c r="S85" s="172" t="str">
        <f t="shared" si="8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91" t="str">
        <f>IF(AND(E85&gt;0,OR(N85=""))," * No olvide digitar la variable Pueblos Originarios Hombres. Digite Cero si no tiene.",IF(N85&gt;E85," * La variable Pueblos Originarios Hombres no puede ser Mayor al Total Hombres.",""))</f>
        <v xml:space="preserve"> * La variable Pueblos Originarios Hombres no puede ser Mayor al Total Hombres.</v>
      </c>
      <c r="AL85" s="191" t="str">
        <f>IF(AND(F85&gt;0,OR(O85=""))," * No olvide digitar la variable Pueblos Originarios Mujeres. Digite Cero si no tiene.",IF(O85&gt;F85," * La variable Pueblos Originarios Mujeres no puede ser Mayor al Total Mujeres.",""))</f>
        <v xml:space="preserve"> * La variable Pueblos Originarios Mujeres no puede ser Mayor al Total Mujeres.</v>
      </c>
      <c r="AM85" s="191" t="str">
        <f t="shared" si="78"/>
        <v xml:space="preserve"> * La variable Migrantes Hombres no puede ser Mayor al Total Hombres.</v>
      </c>
      <c r="AN85" s="1347" t="str">
        <f>IF(AND($F85&gt;0,OR(R85=""))," * No olvide digitar la variable Migrantes Mujeres. Digite Cero si no tiene.",IF(R85&gt;$F85," * La variable Migrantes Mujeres no puede ser Mayor al Total Mujeres.",""))</f>
        <v xml:space="preserve"> * La variable Migrantes Mujeres no puede ser Mayor al Total Mujeres.</v>
      </c>
      <c r="AO85" s="108"/>
      <c r="AP85" s="108"/>
      <c r="AQ85" s="108"/>
      <c r="AR85" s="1047">
        <f t="shared" si="79"/>
        <v>1</v>
      </c>
      <c r="AS85" s="1047">
        <f t="shared" si="80"/>
        <v>1</v>
      </c>
      <c r="AT85" s="1047">
        <f t="shared" si="81"/>
        <v>1</v>
      </c>
      <c r="AU85" s="1047">
        <f t="shared" si="82"/>
        <v>1</v>
      </c>
    </row>
    <row r="86" spans="1:49" s="172" customFormat="1" ht="15" customHeight="1" x14ac:dyDescent="0.2">
      <c r="A86" s="1619" t="s">
        <v>1492</v>
      </c>
      <c r="B86" s="2266" t="s">
        <v>799</v>
      </c>
      <c r="C86" s="2267"/>
      <c r="D86" s="773" t="s">
        <v>1616</v>
      </c>
      <c r="E86" s="1354" t="s">
        <v>1617</v>
      </c>
      <c r="F86" s="773" t="s">
        <v>1618</v>
      </c>
      <c r="G86" s="773" t="s">
        <v>1619</v>
      </c>
      <c r="H86" s="1355" t="s">
        <v>1620</v>
      </c>
      <c r="I86" s="1356" t="s">
        <v>1621</v>
      </c>
      <c r="J86" s="773" t="s">
        <v>1622</v>
      </c>
      <c r="K86" s="1355" t="s">
        <v>1623</v>
      </c>
      <c r="L86" s="1357" t="s">
        <v>1624</v>
      </c>
      <c r="M86" s="772" t="s">
        <v>1625</v>
      </c>
      <c r="N86" s="1355" t="s">
        <v>1626</v>
      </c>
      <c r="O86" s="1356" t="s">
        <v>1627</v>
      </c>
      <c r="P86" s="773" t="s">
        <v>1628</v>
      </c>
      <c r="Q86" s="1355" t="s">
        <v>1629</v>
      </c>
      <c r="R86" s="1356" t="s">
        <v>1630</v>
      </c>
      <c r="S86" s="172" t="str">
        <f t="shared" si="8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91" t="str">
        <f>IF(AND(E86&gt;0,OR(N86=""))," * No olvide digitar la variable Pueblos Originarios Hombres. Digite Cero si no tiene.",IF(N86&gt;E86," * La variable Pueblos Originarios Hombres no puede ser Mayor al Total Hombres.",""))</f>
        <v xml:space="preserve"> * La variable Pueblos Originarios Hombres no puede ser Mayor al Total Hombres.</v>
      </c>
      <c r="AL86" s="191" t="str">
        <f>IF(AND(F86&gt;0,OR(O86=""))," * No olvide digitar la variable Pueblos Originarios Mujeres. Digite Cero si no tiene.",IF(O86&gt;F86," * La variable Pueblos Originarios Mujeres no puede ser Mayor al Total Mujeres.",""))</f>
        <v xml:space="preserve"> * La variable Pueblos Originarios Mujeres no puede ser Mayor al Total Mujeres.</v>
      </c>
      <c r="AM86" s="191" t="str">
        <f t="shared" si="78"/>
        <v xml:space="preserve"> * La variable Migrantes Hombres no puede ser Mayor al Total Hombres.</v>
      </c>
      <c r="AN86" s="1347" t="str">
        <f>IF(AND($F86&gt;0,OR(R86=""))," * No olvide digitar la variable Migrantes Mujeres. Digite Cero si no tiene.",IF(R86&gt;$F86," * La variable Migrantes Mujeres no puede ser Mayor al Total Mujeres.",""))</f>
        <v xml:space="preserve"> * La variable Migrantes Mujeres no puede ser Mayor al Total Mujeres.</v>
      </c>
      <c r="AO86" s="108"/>
      <c r="AP86" s="108"/>
      <c r="AQ86" s="108"/>
      <c r="AR86" s="1047">
        <f t="shared" si="79"/>
        <v>1</v>
      </c>
      <c r="AS86" s="1047">
        <f t="shared" si="80"/>
        <v>1</v>
      </c>
      <c r="AT86" s="1047">
        <f t="shared" si="81"/>
        <v>1</v>
      </c>
      <c r="AU86" s="1047">
        <f t="shared" si="82"/>
        <v>1</v>
      </c>
    </row>
    <row r="87" spans="1:49" s="172" customFormat="1" ht="17.100000000000001" customHeight="1" x14ac:dyDescent="0.15">
      <c r="B87" s="2231" t="s">
        <v>800</v>
      </c>
      <c r="C87" s="2231"/>
      <c r="D87" s="2231"/>
      <c r="E87" s="2231"/>
      <c r="F87" s="2231"/>
      <c r="G87" s="2231"/>
      <c r="H87" s="2231"/>
      <c r="I87" s="2231"/>
      <c r="J87" s="2231"/>
      <c r="K87" s="2231"/>
      <c r="L87" s="2231"/>
      <c r="M87" s="2231"/>
      <c r="N87" s="2231"/>
      <c r="O87" s="2231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</row>
    <row r="88" spans="1:49" s="172" customFormat="1" ht="24" customHeight="1" x14ac:dyDescent="0.15">
      <c r="B88" s="2247" t="s">
        <v>801</v>
      </c>
      <c r="C88" s="2247" t="s">
        <v>802</v>
      </c>
      <c r="D88" s="2222" t="s">
        <v>803</v>
      </c>
      <c r="E88" s="2223"/>
      <c r="F88" s="2245"/>
      <c r="G88" s="2249" t="s">
        <v>730</v>
      </c>
      <c r="H88" s="2223"/>
      <c r="I88" s="2224"/>
      <c r="J88" s="2222" t="s">
        <v>52</v>
      </c>
      <c r="K88" s="2223"/>
      <c r="L88" s="2224"/>
      <c r="M88" s="2222" t="s">
        <v>804</v>
      </c>
      <c r="N88" s="2223"/>
      <c r="O88" s="2224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</row>
    <row r="89" spans="1:49" s="172" customFormat="1" ht="27.75" customHeight="1" x14ac:dyDescent="0.15">
      <c r="B89" s="2248"/>
      <c r="C89" s="2248"/>
      <c r="D89" s="1291" t="s">
        <v>226</v>
      </c>
      <c r="E89" s="1291" t="s">
        <v>763</v>
      </c>
      <c r="F89" s="1520" t="s">
        <v>85</v>
      </c>
      <c r="G89" s="1525" t="s">
        <v>226</v>
      </c>
      <c r="H89" s="1291" t="s">
        <v>763</v>
      </c>
      <c r="I89" s="1089" t="s">
        <v>85</v>
      </c>
      <c r="J89" s="1291" t="s">
        <v>226</v>
      </c>
      <c r="K89" s="1291" t="s">
        <v>763</v>
      </c>
      <c r="L89" s="1089" t="s">
        <v>85</v>
      </c>
      <c r="M89" s="1291" t="s">
        <v>226</v>
      </c>
      <c r="N89" s="1291" t="s">
        <v>763</v>
      </c>
      <c r="O89" s="1089" t="s">
        <v>85</v>
      </c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</row>
    <row r="90" spans="1:49" s="172" customFormat="1" ht="15" customHeight="1" x14ac:dyDescent="0.2">
      <c r="A90" s="1615" t="s">
        <v>1493</v>
      </c>
      <c r="B90" s="1973" t="s">
        <v>805</v>
      </c>
      <c r="C90" s="217" t="s">
        <v>761</v>
      </c>
      <c r="D90" s="785" t="s">
        <v>1616</v>
      </c>
      <c r="E90" s="135" t="s">
        <v>1617</v>
      </c>
      <c r="F90" s="157" t="s">
        <v>1618</v>
      </c>
      <c r="G90" s="786" t="s">
        <v>1619</v>
      </c>
      <c r="H90" s="135" t="s">
        <v>1620</v>
      </c>
      <c r="I90" s="136" t="s">
        <v>1621</v>
      </c>
      <c r="J90" s="785" t="s">
        <v>1622</v>
      </c>
      <c r="K90" s="135" t="s">
        <v>1623</v>
      </c>
      <c r="L90" s="136" t="s">
        <v>1624</v>
      </c>
      <c r="M90" s="787" t="s">
        <v>1625</v>
      </c>
      <c r="N90" s="135" t="s">
        <v>1626</v>
      </c>
      <c r="O90" s="136" t="s">
        <v>1627</v>
      </c>
      <c r="P90" s="172" t="str">
        <f>AK90&amp;AL90&amp;AM90&amp;AN90&amp;AO90&amp;AP90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90" s="108"/>
      <c r="AC90" s="108"/>
      <c r="AD90" s="108"/>
      <c r="AE90" s="108"/>
      <c r="AF90" s="108"/>
      <c r="AG90" s="108"/>
      <c r="AH90" s="108"/>
      <c r="AI90" s="108"/>
      <c r="AJ90" s="108"/>
      <c r="AK90" s="191" t="str">
        <f>IF(AND($E90&gt;0,OR($H90=""))," * No olvide digitar la variable Pueblos Originarios Hombres. Digite Cero si no tiene.",IF($H90&gt;$E90," * La variable Pueblos Originarios Hombres no puede ser Mayor al Total Hombres.",""))</f>
        <v xml:space="preserve"> * La variable Pueblos Originarios Hombres no puede ser Mayor al Total Hombres.</v>
      </c>
      <c r="AL90" s="191" t="str">
        <f>IF(AND($F90&gt;0,OR($I90=""))," * No olvide digitar la variable Pueblos Originarios Mujeres. Digite Cero si no tiene.",IF($I90&gt;$F90," * La variable Pueblos Originarios Mujeres no puede ser Mayor al Total Mujeres.",""))</f>
        <v xml:space="preserve"> * La variable Pueblos Originarios Mujeres no puede ser Mayor al Total Mujeres.</v>
      </c>
      <c r="AM90" s="191" t="str">
        <f>IF(AND($E90&gt;0,OR($K90=""))," * No olvide digitar la variable Migrantes Hombres. Digite Cero si no tiene.",IF($K90&gt;$E90," * La variable Migrantes Hombres no puede ser Mayor al Total Hombres.",""))</f>
        <v xml:space="preserve"> * La variable Migrantes Hombres no puede ser Mayor al Total Hombres.</v>
      </c>
      <c r="AN90" s="191" t="str">
        <f>IF(AND($F90&gt;0,OR($L90=""))," * No olvide digitar la variable Migrantes Mujeres. Digite Cero si no tiene.",IF($L90&gt;$F90," * La variable Migrantes Mujeres no puede ser Mayor al Total Mujeres.",""))</f>
        <v xml:space="preserve"> * La variable Migrantes Mujeres no puede ser Mayor al Total Mujeres.</v>
      </c>
      <c r="AO90" s="191" t="str">
        <f>IF(AND($E90&gt;0,OR($N90=""))," * No olvide digitar la variable Espacios Amigables Hombres. Digite Cero si no tiene.",IF($N90&gt;$E90," * La variable Espacios Amigables Hombres no puede ser Mayor al Total Hombres.",""))</f>
        <v xml:space="preserve"> * La variable Espacios Amigables Hombres no puede ser Mayor al Total Hombres.</v>
      </c>
      <c r="AP90" s="191" t="str">
        <f>IF(AND($F90&gt;0,OR(O90=""))," * No olvide digitar la variable Espacios Amigables Mujeres. Digite Cero si no tiene.",IF(O90&gt;$F90," * La variable Espacios Amigables Mujeres no puede ser Mayor al Total Mujeres.",""))</f>
        <v xml:space="preserve"> * La variable Espacios Amigables Mujeres no puede ser Mayor al Total Mujeres.</v>
      </c>
      <c r="AQ90" s="108"/>
      <c r="AR90" s="1047">
        <f>IF(AND($E90&gt;0,OR(H90="")),1,IF(H90&gt;$E90,1,0))</f>
        <v>1</v>
      </c>
      <c r="AS90" s="1047">
        <f>IF(AND($F90&gt;0,OR(I90="")),1,IF(I90&gt;$F90,1,0))</f>
        <v>1</v>
      </c>
      <c r="AT90" s="1047">
        <f>IF(AND($E90&gt;0,OR(K90="")),1,IF(K90&gt;$E90,1,0))</f>
        <v>1</v>
      </c>
      <c r="AU90" s="1047">
        <f>IF(AND($F90&gt;0,OR(L90="")),1,IF(L90&gt;$F90,1,0))</f>
        <v>1</v>
      </c>
      <c r="AV90" s="1047">
        <f>IF(AND($E90&gt;0,OR(N90="")),1,IF(N90&gt;$E90,1,0))</f>
        <v>1</v>
      </c>
      <c r="AW90" s="1047">
        <f>IF(AND($F90&gt;0,OR(O90="")),1,IF(O90&gt;$F90,1,0))</f>
        <v>1</v>
      </c>
    </row>
    <row r="91" spans="1:49" s="172" customFormat="1" ht="15" customHeight="1" x14ac:dyDescent="0.2">
      <c r="A91" s="1615" t="s">
        <v>1494</v>
      </c>
      <c r="B91" s="1975"/>
      <c r="C91" s="1388" t="s">
        <v>806</v>
      </c>
      <c r="D91" s="788" t="s">
        <v>1616</v>
      </c>
      <c r="E91" s="143" t="s">
        <v>1617</v>
      </c>
      <c r="F91" s="159" t="s">
        <v>1618</v>
      </c>
      <c r="G91" s="789" t="s">
        <v>1619</v>
      </c>
      <c r="H91" s="143" t="s">
        <v>1620</v>
      </c>
      <c r="I91" s="144" t="s">
        <v>1621</v>
      </c>
      <c r="J91" s="788" t="s">
        <v>1622</v>
      </c>
      <c r="K91" s="143" t="s">
        <v>1623</v>
      </c>
      <c r="L91" s="144" t="s">
        <v>1624</v>
      </c>
      <c r="M91" s="790" t="s">
        <v>1625</v>
      </c>
      <c r="N91" s="143" t="s">
        <v>1626</v>
      </c>
      <c r="O91" s="144" t="s">
        <v>1627</v>
      </c>
      <c r="P91" s="172" t="str">
        <f t="shared" ref="P91:P102" si="84">AK91&amp;AL91&amp;AM91&amp;AN91&amp;AO91&amp;AP91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91" s="108"/>
      <c r="AC91" s="108"/>
      <c r="AD91" s="108"/>
      <c r="AE91" s="108"/>
      <c r="AF91" s="108"/>
      <c r="AG91" s="108"/>
      <c r="AH91" s="108"/>
      <c r="AI91" s="108"/>
      <c r="AJ91" s="108"/>
      <c r="AK91" s="191" t="str">
        <f t="shared" ref="AK91:AK103" si="85">IF(AND($E91&gt;0,OR($H91=""))," * No olvide digitar la variable Pueblos Originarios Hombres. Digite Cero si no tiene.",IF($H91&gt;$E91," * La variable Pueblos Originarios Hombres no puede ser Mayor al Total Hombres.",""))</f>
        <v xml:space="preserve"> * La variable Pueblos Originarios Hombres no puede ser Mayor al Total Hombres.</v>
      </c>
      <c r="AL91" s="191" t="str">
        <f t="shared" ref="AL91:AL103" si="86">IF(AND($F91&gt;0,OR($I91=""))," * No olvide digitar la variable Pueblos Originarios Mujeres. Digite Cero si no tiene.",IF($I91&gt;$F91," * La variable Pueblos Originarios Mujeres no puede ser Mayor al Total Mujeres.",""))</f>
        <v xml:space="preserve"> * La variable Pueblos Originarios Mujeres no puede ser Mayor al Total Mujeres.</v>
      </c>
      <c r="AM91" s="191" t="str">
        <f t="shared" ref="AM91:AM103" si="87">IF(AND($E91&gt;0,OR($K91=""))," * No olvide digitar la variable Migrantes Hombres. Digite Cero si no tiene.",IF($K91&gt;$E91," * La variable Migrantes Hombres no puede ser Mayor al Total Hombres.",""))</f>
        <v xml:space="preserve"> * La variable Migrantes Hombres no puede ser Mayor al Total Hombres.</v>
      </c>
      <c r="AN91" s="191" t="str">
        <f t="shared" ref="AN91:AN103" si="88">IF(AND($F91&gt;0,OR($L91=""))," * No olvide digitar la variable Migrantes Mujeres. Digite Cero si no tiene.",IF($L91&gt;$F91," * La variable Migrantes Mujeres no puede ser Mayor al Total Mujeres.",""))</f>
        <v xml:space="preserve"> * La variable Migrantes Mujeres no puede ser Mayor al Total Mujeres.</v>
      </c>
      <c r="AO91" s="191" t="str">
        <f t="shared" ref="AO91:AO103" si="89">IF(AND($E91&gt;0,OR($N91=""))," * No olvide digitar la variable Espacios Amigables Hombres. Digite Cero si no tiene.",IF($N91&gt;$E91," * La variable Espacios Amigables Hombres no puede ser Mayor al Total Hombres.",""))</f>
        <v xml:space="preserve"> * La variable Espacios Amigables Hombres no puede ser Mayor al Total Hombres.</v>
      </c>
      <c r="AP91" s="191" t="str">
        <f t="shared" ref="AP91:AP103" si="90">IF(AND($F91&gt;0,OR(O91=""))," * No olvide digitar la variable Espacios Amigables Mujeres. Digite Cero si no tiene.",IF(O91&gt;$F91," * La variable Espacios Amigables Mujeres no puede ser Mayor al Total Mujeres.",""))</f>
        <v xml:space="preserve"> * La variable Espacios Amigables Mujeres no puede ser Mayor al Total Mujeres.</v>
      </c>
      <c r="AQ91" s="108"/>
      <c r="AR91" s="1047">
        <f t="shared" ref="AR91:AR103" si="91">IF(AND($E91&gt;0,OR(H91="")),1,IF(H91&gt;$E91,1,0))</f>
        <v>1</v>
      </c>
      <c r="AS91" s="1047">
        <f t="shared" ref="AS91:AS103" si="92">IF(AND($F91&gt;0,OR(I91="")),1,IF(I91&gt;$F91,1,0))</f>
        <v>1</v>
      </c>
      <c r="AT91" s="1047">
        <f t="shared" ref="AT91:AT103" si="93">IF(AND($E91&gt;0,OR(K91="")),1,IF(K91&gt;$E91,1,0))</f>
        <v>1</v>
      </c>
      <c r="AU91" s="1047">
        <f t="shared" ref="AU91:AU103" si="94">IF(AND($F91&gt;0,OR(L91="")),1,IF(L91&gt;$F91,1,0))</f>
        <v>1</v>
      </c>
      <c r="AV91" s="1047">
        <f t="shared" ref="AV91:AV103" si="95">IF(AND($E91&gt;0,OR(N91="")),1,IF(N91&gt;$E91,1,0))</f>
        <v>1</v>
      </c>
      <c r="AW91" s="1047">
        <f t="shared" ref="AW91:AW103" si="96">IF(AND($F91&gt;0,OR(O91="")),1,IF(O91&gt;$F91,1,0))</f>
        <v>1</v>
      </c>
    </row>
    <row r="92" spans="1:49" s="172" customFormat="1" ht="15" customHeight="1" x14ac:dyDescent="0.25">
      <c r="A92" s="1615" t="s">
        <v>1495</v>
      </c>
      <c r="B92" s="1973" t="s">
        <v>807</v>
      </c>
      <c r="C92" s="217" t="s">
        <v>761</v>
      </c>
      <c r="D92" s="791" t="s">
        <v>1616</v>
      </c>
      <c r="E92" s="145" t="s">
        <v>1617</v>
      </c>
      <c r="F92" s="160" t="s">
        <v>1618</v>
      </c>
      <c r="G92" s="779" t="s">
        <v>1619</v>
      </c>
      <c r="H92" s="145" t="s">
        <v>1620</v>
      </c>
      <c r="I92" s="146" t="s">
        <v>1621</v>
      </c>
      <c r="J92" s="791" t="s">
        <v>1622</v>
      </c>
      <c r="K92" s="145" t="s">
        <v>1623</v>
      </c>
      <c r="L92" s="146" t="s">
        <v>1624</v>
      </c>
      <c r="M92" s="780" t="s">
        <v>1625</v>
      </c>
      <c r="N92" s="145" t="s">
        <v>1626</v>
      </c>
      <c r="O92" s="146" t="s">
        <v>1627</v>
      </c>
      <c r="P92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Q92" s="606"/>
      <c r="AB92" s="108"/>
      <c r="AC92" s="108"/>
      <c r="AD92" s="108"/>
      <c r="AE92" s="108"/>
      <c r="AF92" s="108"/>
      <c r="AG92" s="108"/>
      <c r="AH92" s="108"/>
      <c r="AI92" s="108"/>
      <c r="AJ92" s="108"/>
      <c r="AK92" s="191" t="str">
        <f t="shared" si="85"/>
        <v xml:space="preserve"> * La variable Pueblos Originarios Hombres no puede ser Mayor al Total Hombres.</v>
      </c>
      <c r="AL92" s="191" t="str">
        <f t="shared" si="86"/>
        <v xml:space="preserve"> * La variable Pueblos Originarios Mujeres no puede ser Mayor al Total Mujeres.</v>
      </c>
      <c r="AM92" s="191" t="str">
        <f t="shared" si="87"/>
        <v xml:space="preserve"> * La variable Migrantes Hombres no puede ser Mayor al Total Hombres.</v>
      </c>
      <c r="AN92" s="191" t="str">
        <f t="shared" si="88"/>
        <v xml:space="preserve"> * La variable Migrantes Mujeres no puede ser Mayor al Total Mujeres.</v>
      </c>
      <c r="AO92" s="191" t="str">
        <f t="shared" si="89"/>
        <v xml:space="preserve"> * La variable Espacios Amigables Hombres no puede ser Mayor al Total Hombres.</v>
      </c>
      <c r="AP92" s="191" t="str">
        <f t="shared" si="90"/>
        <v xml:space="preserve"> * La variable Espacios Amigables Mujeres no puede ser Mayor al Total Mujeres.</v>
      </c>
      <c r="AQ92" s="108"/>
      <c r="AR92" s="1047">
        <f t="shared" si="91"/>
        <v>1</v>
      </c>
      <c r="AS92" s="1047">
        <f t="shared" si="92"/>
        <v>1</v>
      </c>
      <c r="AT92" s="1047">
        <f t="shared" si="93"/>
        <v>1</v>
      </c>
      <c r="AU92" s="1047">
        <f t="shared" si="94"/>
        <v>1</v>
      </c>
      <c r="AV92" s="1047">
        <f t="shared" si="95"/>
        <v>1</v>
      </c>
      <c r="AW92" s="1047">
        <f t="shared" si="96"/>
        <v>1</v>
      </c>
    </row>
    <row r="93" spans="1:49" s="172" customFormat="1" ht="15" customHeight="1" x14ac:dyDescent="0.2">
      <c r="A93" s="1615" t="s">
        <v>1496</v>
      </c>
      <c r="B93" s="1975"/>
      <c r="C93" s="1388" t="s">
        <v>806</v>
      </c>
      <c r="D93" s="792" t="s">
        <v>1616</v>
      </c>
      <c r="E93" s="155" t="s">
        <v>1617</v>
      </c>
      <c r="F93" s="161" t="s">
        <v>1618</v>
      </c>
      <c r="G93" s="772" t="s">
        <v>1619</v>
      </c>
      <c r="H93" s="155" t="s">
        <v>1620</v>
      </c>
      <c r="I93" s="156" t="s">
        <v>1621</v>
      </c>
      <c r="J93" s="792" t="s">
        <v>1622</v>
      </c>
      <c r="K93" s="155" t="s">
        <v>1623</v>
      </c>
      <c r="L93" s="156" t="s">
        <v>1624</v>
      </c>
      <c r="M93" s="773" t="s">
        <v>1625</v>
      </c>
      <c r="N93" s="155" t="s">
        <v>1626</v>
      </c>
      <c r="O93" s="156" t="s">
        <v>1627</v>
      </c>
      <c r="P93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93" s="108"/>
      <c r="AC93" s="108"/>
      <c r="AD93" s="108"/>
      <c r="AE93" s="108"/>
      <c r="AF93" s="108"/>
      <c r="AG93" s="108"/>
      <c r="AH93" s="108"/>
      <c r="AI93" s="108"/>
      <c r="AJ93" s="108"/>
      <c r="AK93" s="191" t="str">
        <f t="shared" si="85"/>
        <v xml:space="preserve"> * La variable Pueblos Originarios Hombres no puede ser Mayor al Total Hombres.</v>
      </c>
      <c r="AL93" s="191" t="str">
        <f t="shared" si="86"/>
        <v xml:space="preserve"> * La variable Pueblos Originarios Mujeres no puede ser Mayor al Total Mujeres.</v>
      </c>
      <c r="AM93" s="191" t="str">
        <f t="shared" si="87"/>
        <v xml:space="preserve"> * La variable Migrantes Hombres no puede ser Mayor al Total Hombres.</v>
      </c>
      <c r="AN93" s="191" t="str">
        <f t="shared" si="88"/>
        <v xml:space="preserve"> * La variable Migrantes Mujeres no puede ser Mayor al Total Mujeres.</v>
      </c>
      <c r="AO93" s="191" t="str">
        <f>IF(AND($E93&gt;0,OR($N93=""))," * No olvide digitar la variable Espacios Amigables Hombres. Digite Cero si no tiene.",IF($N93&gt;$E93," * La variable Espacios Amigables Hombres no puede ser Mayor al Total Hombres.",""))</f>
        <v xml:space="preserve"> * La variable Espacios Amigables Hombres no puede ser Mayor al Total Hombres.</v>
      </c>
      <c r="AP93" s="191" t="str">
        <f t="shared" si="90"/>
        <v xml:space="preserve"> * La variable Espacios Amigables Mujeres no puede ser Mayor al Total Mujeres.</v>
      </c>
      <c r="AQ93" s="108"/>
      <c r="AR93" s="1047">
        <f t="shared" si="91"/>
        <v>1</v>
      </c>
      <c r="AS93" s="1047">
        <f t="shared" si="92"/>
        <v>1</v>
      </c>
      <c r="AT93" s="1047">
        <f t="shared" si="93"/>
        <v>1</v>
      </c>
      <c r="AU93" s="1047">
        <f t="shared" si="94"/>
        <v>1</v>
      </c>
      <c r="AV93" s="1047">
        <f t="shared" si="95"/>
        <v>1</v>
      </c>
      <c r="AW93" s="1047">
        <f>IF(AND($F93&gt;0,OR(O93="")),1,IF(O93&gt;$F93,1,0))</f>
        <v>1</v>
      </c>
    </row>
    <row r="94" spans="1:49" s="172" customFormat="1" ht="15" customHeight="1" x14ac:dyDescent="0.2">
      <c r="A94" s="1615" t="s">
        <v>1497</v>
      </c>
      <c r="B94" s="1973" t="s">
        <v>808</v>
      </c>
      <c r="C94" s="217" t="s">
        <v>761</v>
      </c>
      <c r="D94" s="791" t="s">
        <v>1616</v>
      </c>
      <c r="E94" s="145" t="s">
        <v>1617</v>
      </c>
      <c r="F94" s="160" t="s">
        <v>1618</v>
      </c>
      <c r="G94" s="779" t="s">
        <v>1619</v>
      </c>
      <c r="H94" s="145" t="s">
        <v>1620</v>
      </c>
      <c r="I94" s="146" t="s">
        <v>1621</v>
      </c>
      <c r="J94" s="791" t="s">
        <v>1622</v>
      </c>
      <c r="K94" s="145" t="s">
        <v>1623</v>
      </c>
      <c r="L94" s="146" t="s">
        <v>1624</v>
      </c>
      <c r="M94" s="780" t="s">
        <v>1625</v>
      </c>
      <c r="N94" s="145" t="s">
        <v>1626</v>
      </c>
      <c r="O94" s="146" t="s">
        <v>1627</v>
      </c>
      <c r="P94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94" s="108"/>
      <c r="AC94" s="108"/>
      <c r="AD94" s="108"/>
      <c r="AE94" s="108"/>
      <c r="AF94" s="108"/>
      <c r="AG94" s="108"/>
      <c r="AH94" s="108"/>
      <c r="AI94" s="108"/>
      <c r="AJ94" s="108"/>
      <c r="AK94" s="191" t="str">
        <f t="shared" si="85"/>
        <v xml:space="preserve"> * La variable Pueblos Originarios Hombres no puede ser Mayor al Total Hombres.</v>
      </c>
      <c r="AL94" s="191" t="str">
        <f t="shared" si="86"/>
        <v xml:space="preserve"> * La variable Pueblos Originarios Mujeres no puede ser Mayor al Total Mujeres.</v>
      </c>
      <c r="AM94" s="191" t="str">
        <f t="shared" si="87"/>
        <v xml:space="preserve"> * La variable Migrantes Hombres no puede ser Mayor al Total Hombres.</v>
      </c>
      <c r="AN94" s="191" t="str">
        <f t="shared" si="88"/>
        <v xml:space="preserve"> * La variable Migrantes Mujeres no puede ser Mayor al Total Mujeres.</v>
      </c>
      <c r="AO94" s="191" t="str">
        <f t="shared" si="89"/>
        <v xml:space="preserve"> * La variable Espacios Amigables Hombres no puede ser Mayor al Total Hombres.</v>
      </c>
      <c r="AP94" s="191" t="str">
        <f t="shared" si="90"/>
        <v xml:space="preserve"> * La variable Espacios Amigables Mujeres no puede ser Mayor al Total Mujeres.</v>
      </c>
      <c r="AQ94" s="108"/>
      <c r="AR94" s="1047">
        <f t="shared" si="91"/>
        <v>1</v>
      </c>
      <c r="AS94" s="1047">
        <f t="shared" si="92"/>
        <v>1</v>
      </c>
      <c r="AT94" s="1047">
        <f t="shared" si="93"/>
        <v>1</v>
      </c>
      <c r="AU94" s="1047">
        <f t="shared" si="94"/>
        <v>1</v>
      </c>
      <c r="AV94" s="1047">
        <f t="shared" si="95"/>
        <v>1</v>
      </c>
      <c r="AW94" s="1047">
        <f t="shared" si="96"/>
        <v>1</v>
      </c>
    </row>
    <row r="95" spans="1:49" s="172" customFormat="1" ht="15" customHeight="1" x14ac:dyDescent="0.25">
      <c r="A95" s="1615" t="s">
        <v>1498</v>
      </c>
      <c r="B95" s="1975"/>
      <c r="C95" s="1388" t="s">
        <v>806</v>
      </c>
      <c r="D95" s="792" t="s">
        <v>1616</v>
      </c>
      <c r="E95" s="155" t="s">
        <v>1617</v>
      </c>
      <c r="F95" s="161" t="s">
        <v>1618</v>
      </c>
      <c r="G95" s="772" t="s">
        <v>1619</v>
      </c>
      <c r="H95" s="155" t="s">
        <v>1620</v>
      </c>
      <c r="I95" s="156" t="s">
        <v>1621</v>
      </c>
      <c r="J95" s="792" t="s">
        <v>1622</v>
      </c>
      <c r="K95" s="155" t="s">
        <v>1623</v>
      </c>
      <c r="L95" s="156" t="s">
        <v>1624</v>
      </c>
      <c r="M95" s="773" t="s">
        <v>1625</v>
      </c>
      <c r="N95" s="155" t="s">
        <v>1626</v>
      </c>
      <c r="O95" s="156" t="s">
        <v>1627</v>
      </c>
      <c r="P95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Q95" s="606"/>
      <c r="AB95" s="108"/>
      <c r="AC95" s="108"/>
      <c r="AD95" s="108"/>
      <c r="AE95" s="108"/>
      <c r="AF95" s="108"/>
      <c r="AG95" s="108"/>
      <c r="AH95" s="108"/>
      <c r="AI95" s="108"/>
      <c r="AJ95" s="108"/>
      <c r="AK95" s="191" t="str">
        <f t="shared" si="85"/>
        <v xml:space="preserve"> * La variable Pueblos Originarios Hombres no puede ser Mayor al Total Hombres.</v>
      </c>
      <c r="AL95" s="191" t="str">
        <f t="shared" si="86"/>
        <v xml:space="preserve"> * La variable Pueblos Originarios Mujeres no puede ser Mayor al Total Mujeres.</v>
      </c>
      <c r="AM95" s="191" t="str">
        <f t="shared" si="87"/>
        <v xml:space="preserve"> * La variable Migrantes Hombres no puede ser Mayor al Total Hombres.</v>
      </c>
      <c r="AN95" s="191" t="str">
        <f t="shared" si="88"/>
        <v xml:space="preserve"> * La variable Migrantes Mujeres no puede ser Mayor al Total Mujeres.</v>
      </c>
      <c r="AO95" s="191" t="str">
        <f t="shared" si="89"/>
        <v xml:space="preserve"> * La variable Espacios Amigables Hombres no puede ser Mayor al Total Hombres.</v>
      </c>
      <c r="AP95" s="191" t="str">
        <f t="shared" si="90"/>
        <v xml:space="preserve"> * La variable Espacios Amigables Mujeres no puede ser Mayor al Total Mujeres.</v>
      </c>
      <c r="AQ95" s="108"/>
      <c r="AR95" s="1047">
        <f t="shared" si="91"/>
        <v>1</v>
      </c>
      <c r="AS95" s="1047">
        <f t="shared" si="92"/>
        <v>1</v>
      </c>
      <c r="AT95" s="1047">
        <f t="shared" si="93"/>
        <v>1</v>
      </c>
      <c r="AU95" s="1047">
        <f t="shared" si="94"/>
        <v>1</v>
      </c>
      <c r="AV95" s="1047">
        <f t="shared" si="95"/>
        <v>1</v>
      </c>
      <c r="AW95" s="1047">
        <f t="shared" si="96"/>
        <v>1</v>
      </c>
    </row>
    <row r="96" spans="1:49" s="172" customFormat="1" ht="15" customHeight="1" x14ac:dyDescent="0.2">
      <c r="A96" s="1615" t="s">
        <v>1499</v>
      </c>
      <c r="B96" s="1973" t="s">
        <v>809</v>
      </c>
      <c r="C96" s="217" t="s">
        <v>761</v>
      </c>
      <c r="D96" s="791" t="s">
        <v>1616</v>
      </c>
      <c r="E96" s="145" t="s">
        <v>1617</v>
      </c>
      <c r="F96" s="160" t="s">
        <v>1618</v>
      </c>
      <c r="G96" s="779" t="s">
        <v>1619</v>
      </c>
      <c r="H96" s="145" t="s">
        <v>1620</v>
      </c>
      <c r="I96" s="146" t="s">
        <v>1621</v>
      </c>
      <c r="J96" s="791" t="s">
        <v>1622</v>
      </c>
      <c r="K96" s="145" t="s">
        <v>1623</v>
      </c>
      <c r="L96" s="146" t="s">
        <v>1624</v>
      </c>
      <c r="M96" s="780" t="s">
        <v>1625</v>
      </c>
      <c r="N96" s="145" t="s">
        <v>1626</v>
      </c>
      <c r="O96" s="146" t="s">
        <v>1627</v>
      </c>
      <c r="P96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96" s="108"/>
      <c r="AC96" s="108"/>
      <c r="AD96" s="108"/>
      <c r="AE96" s="108"/>
      <c r="AF96" s="108"/>
      <c r="AG96" s="108"/>
      <c r="AH96" s="108"/>
      <c r="AI96" s="108"/>
      <c r="AJ96" s="108"/>
      <c r="AK96" s="191" t="str">
        <f t="shared" si="85"/>
        <v xml:space="preserve"> * La variable Pueblos Originarios Hombres no puede ser Mayor al Total Hombres.</v>
      </c>
      <c r="AL96" s="191" t="str">
        <f t="shared" si="86"/>
        <v xml:space="preserve"> * La variable Pueblos Originarios Mujeres no puede ser Mayor al Total Mujeres.</v>
      </c>
      <c r="AM96" s="191" t="str">
        <f t="shared" si="87"/>
        <v xml:space="preserve"> * La variable Migrantes Hombres no puede ser Mayor al Total Hombres.</v>
      </c>
      <c r="AN96" s="191" t="str">
        <f t="shared" si="88"/>
        <v xml:space="preserve"> * La variable Migrantes Mujeres no puede ser Mayor al Total Mujeres.</v>
      </c>
      <c r="AO96" s="191" t="str">
        <f t="shared" si="89"/>
        <v xml:space="preserve"> * La variable Espacios Amigables Hombres no puede ser Mayor al Total Hombres.</v>
      </c>
      <c r="AP96" s="191" t="str">
        <f t="shared" si="90"/>
        <v xml:space="preserve"> * La variable Espacios Amigables Mujeres no puede ser Mayor al Total Mujeres.</v>
      </c>
      <c r="AQ96" s="108"/>
      <c r="AR96" s="1047">
        <f t="shared" si="91"/>
        <v>1</v>
      </c>
      <c r="AS96" s="1047">
        <f t="shared" si="92"/>
        <v>1</v>
      </c>
      <c r="AT96" s="1047">
        <f t="shared" si="93"/>
        <v>1</v>
      </c>
      <c r="AU96" s="1047">
        <f t="shared" si="94"/>
        <v>1</v>
      </c>
      <c r="AV96" s="1047">
        <f t="shared" si="95"/>
        <v>1</v>
      </c>
      <c r="AW96" s="1047">
        <f t="shared" si="96"/>
        <v>1</v>
      </c>
    </row>
    <row r="97" spans="1:49" s="172" customFormat="1" ht="15" customHeight="1" x14ac:dyDescent="0.2">
      <c r="A97" s="1615" t="s">
        <v>1500</v>
      </c>
      <c r="B97" s="1975"/>
      <c r="C97" s="1388" t="s">
        <v>806</v>
      </c>
      <c r="D97" s="792" t="s">
        <v>1616</v>
      </c>
      <c r="E97" s="155" t="s">
        <v>1617</v>
      </c>
      <c r="F97" s="161" t="s">
        <v>1618</v>
      </c>
      <c r="G97" s="772" t="s">
        <v>1619</v>
      </c>
      <c r="H97" s="155" t="s">
        <v>1620</v>
      </c>
      <c r="I97" s="156" t="s">
        <v>1621</v>
      </c>
      <c r="J97" s="792" t="s">
        <v>1622</v>
      </c>
      <c r="K97" s="155" t="s">
        <v>1623</v>
      </c>
      <c r="L97" s="156" t="s">
        <v>1624</v>
      </c>
      <c r="M97" s="773" t="s">
        <v>1625</v>
      </c>
      <c r="N97" s="155" t="s">
        <v>1626</v>
      </c>
      <c r="O97" s="156" t="s">
        <v>1627</v>
      </c>
      <c r="P97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97" s="108"/>
      <c r="AC97" s="108"/>
      <c r="AD97" s="108"/>
      <c r="AE97" s="108"/>
      <c r="AF97" s="108"/>
      <c r="AG97" s="108"/>
      <c r="AH97" s="108"/>
      <c r="AI97" s="108"/>
      <c r="AJ97" s="108"/>
      <c r="AK97" s="191" t="str">
        <f t="shared" si="85"/>
        <v xml:space="preserve"> * La variable Pueblos Originarios Hombres no puede ser Mayor al Total Hombres.</v>
      </c>
      <c r="AL97" s="191" t="str">
        <f t="shared" si="86"/>
        <v xml:space="preserve"> * La variable Pueblos Originarios Mujeres no puede ser Mayor al Total Mujeres.</v>
      </c>
      <c r="AM97" s="191" t="str">
        <f t="shared" si="87"/>
        <v xml:space="preserve"> * La variable Migrantes Hombres no puede ser Mayor al Total Hombres.</v>
      </c>
      <c r="AN97" s="191" t="str">
        <f t="shared" si="88"/>
        <v xml:space="preserve"> * La variable Migrantes Mujeres no puede ser Mayor al Total Mujeres.</v>
      </c>
      <c r="AO97" s="191" t="str">
        <f t="shared" si="89"/>
        <v xml:space="preserve"> * La variable Espacios Amigables Hombres no puede ser Mayor al Total Hombres.</v>
      </c>
      <c r="AP97" s="191" t="str">
        <f t="shared" si="90"/>
        <v xml:space="preserve"> * La variable Espacios Amigables Mujeres no puede ser Mayor al Total Mujeres.</v>
      </c>
      <c r="AQ97" s="108"/>
      <c r="AR97" s="1047">
        <f t="shared" si="91"/>
        <v>1</v>
      </c>
      <c r="AS97" s="1047">
        <f t="shared" si="92"/>
        <v>1</v>
      </c>
      <c r="AT97" s="1047">
        <f t="shared" si="93"/>
        <v>1</v>
      </c>
      <c r="AU97" s="1047">
        <f t="shared" si="94"/>
        <v>1</v>
      </c>
      <c r="AV97" s="1047">
        <f t="shared" si="95"/>
        <v>1</v>
      </c>
      <c r="AW97" s="1047">
        <f t="shared" si="96"/>
        <v>1</v>
      </c>
    </row>
    <row r="98" spans="1:49" s="172" customFormat="1" ht="15" customHeight="1" x14ac:dyDescent="0.2">
      <c r="A98" s="1615" t="s">
        <v>1501</v>
      </c>
      <c r="B98" s="1973" t="s">
        <v>810</v>
      </c>
      <c r="C98" s="217" t="s">
        <v>761</v>
      </c>
      <c r="D98" s="791" t="s">
        <v>1616</v>
      </c>
      <c r="E98" s="145" t="s">
        <v>1617</v>
      </c>
      <c r="F98" s="160" t="s">
        <v>1618</v>
      </c>
      <c r="G98" s="779" t="s">
        <v>1619</v>
      </c>
      <c r="H98" s="145" t="s">
        <v>1620</v>
      </c>
      <c r="I98" s="146" t="s">
        <v>1621</v>
      </c>
      <c r="J98" s="791" t="s">
        <v>1622</v>
      </c>
      <c r="K98" s="145" t="s">
        <v>1623</v>
      </c>
      <c r="L98" s="146" t="s">
        <v>1624</v>
      </c>
      <c r="M98" s="780" t="s">
        <v>1625</v>
      </c>
      <c r="N98" s="145" t="s">
        <v>1626</v>
      </c>
      <c r="O98" s="146" t="s">
        <v>1627</v>
      </c>
      <c r="P98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98" s="108"/>
      <c r="AC98" s="108"/>
      <c r="AD98" s="108"/>
      <c r="AE98" s="108"/>
      <c r="AF98" s="108"/>
      <c r="AG98" s="108"/>
      <c r="AH98" s="108"/>
      <c r="AI98" s="108"/>
      <c r="AJ98" s="108"/>
      <c r="AK98" s="191" t="str">
        <f t="shared" si="85"/>
        <v xml:space="preserve"> * La variable Pueblos Originarios Hombres no puede ser Mayor al Total Hombres.</v>
      </c>
      <c r="AL98" s="191" t="str">
        <f t="shared" si="86"/>
        <v xml:space="preserve"> * La variable Pueblos Originarios Mujeres no puede ser Mayor al Total Mujeres.</v>
      </c>
      <c r="AM98" s="191" t="str">
        <f t="shared" si="87"/>
        <v xml:space="preserve"> * La variable Migrantes Hombres no puede ser Mayor al Total Hombres.</v>
      </c>
      <c r="AN98" s="191" t="str">
        <f t="shared" si="88"/>
        <v xml:space="preserve"> * La variable Migrantes Mujeres no puede ser Mayor al Total Mujeres.</v>
      </c>
      <c r="AO98" s="191" t="str">
        <f t="shared" si="89"/>
        <v xml:space="preserve"> * La variable Espacios Amigables Hombres no puede ser Mayor al Total Hombres.</v>
      </c>
      <c r="AP98" s="191" t="str">
        <f t="shared" si="90"/>
        <v xml:space="preserve"> * La variable Espacios Amigables Mujeres no puede ser Mayor al Total Mujeres.</v>
      </c>
      <c r="AQ98" s="108"/>
      <c r="AR98" s="1047">
        <f t="shared" si="91"/>
        <v>1</v>
      </c>
      <c r="AS98" s="1047">
        <f t="shared" si="92"/>
        <v>1</v>
      </c>
      <c r="AT98" s="1047">
        <f t="shared" si="93"/>
        <v>1</v>
      </c>
      <c r="AU98" s="1047">
        <f t="shared" si="94"/>
        <v>1</v>
      </c>
      <c r="AV98" s="1047">
        <f t="shared" si="95"/>
        <v>1</v>
      </c>
      <c r="AW98" s="1047">
        <f t="shared" si="96"/>
        <v>1</v>
      </c>
    </row>
    <row r="99" spans="1:49" s="172" customFormat="1" ht="15" customHeight="1" x14ac:dyDescent="0.2">
      <c r="A99" s="1615" t="s">
        <v>1502</v>
      </c>
      <c r="B99" s="1975"/>
      <c r="C99" s="1388" t="s">
        <v>806</v>
      </c>
      <c r="D99" s="792" t="s">
        <v>1616</v>
      </c>
      <c r="E99" s="155" t="s">
        <v>1617</v>
      </c>
      <c r="F99" s="161" t="s">
        <v>1618</v>
      </c>
      <c r="G99" s="772" t="s">
        <v>1619</v>
      </c>
      <c r="H99" s="155" t="s">
        <v>1620</v>
      </c>
      <c r="I99" s="156" t="s">
        <v>1621</v>
      </c>
      <c r="J99" s="792" t="s">
        <v>1622</v>
      </c>
      <c r="K99" s="155" t="s">
        <v>1623</v>
      </c>
      <c r="L99" s="156" t="s">
        <v>1624</v>
      </c>
      <c r="M99" s="773" t="s">
        <v>1625</v>
      </c>
      <c r="N99" s="155" t="s">
        <v>1626</v>
      </c>
      <c r="O99" s="156" t="s">
        <v>1627</v>
      </c>
      <c r="P99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99" s="108"/>
      <c r="AC99" s="108"/>
      <c r="AD99" s="108"/>
      <c r="AE99" s="108"/>
      <c r="AF99" s="108"/>
      <c r="AG99" s="108"/>
      <c r="AH99" s="108"/>
      <c r="AI99" s="108"/>
      <c r="AJ99" s="108"/>
      <c r="AK99" s="191" t="str">
        <f t="shared" si="85"/>
        <v xml:space="preserve"> * La variable Pueblos Originarios Hombres no puede ser Mayor al Total Hombres.</v>
      </c>
      <c r="AL99" s="191" t="str">
        <f t="shared" si="86"/>
        <v xml:space="preserve"> * La variable Pueblos Originarios Mujeres no puede ser Mayor al Total Mujeres.</v>
      </c>
      <c r="AM99" s="191" t="str">
        <f t="shared" si="87"/>
        <v xml:space="preserve"> * La variable Migrantes Hombres no puede ser Mayor al Total Hombres.</v>
      </c>
      <c r="AN99" s="191" t="str">
        <f t="shared" si="88"/>
        <v xml:space="preserve"> * La variable Migrantes Mujeres no puede ser Mayor al Total Mujeres.</v>
      </c>
      <c r="AO99" s="191" t="str">
        <f t="shared" si="89"/>
        <v xml:space="preserve"> * La variable Espacios Amigables Hombres no puede ser Mayor al Total Hombres.</v>
      </c>
      <c r="AP99" s="191" t="str">
        <f t="shared" si="90"/>
        <v xml:space="preserve"> * La variable Espacios Amigables Mujeres no puede ser Mayor al Total Mujeres.</v>
      </c>
      <c r="AQ99" s="108"/>
      <c r="AR99" s="1047">
        <f t="shared" si="91"/>
        <v>1</v>
      </c>
      <c r="AS99" s="1047">
        <f t="shared" si="92"/>
        <v>1</v>
      </c>
      <c r="AT99" s="1047">
        <f t="shared" si="93"/>
        <v>1</v>
      </c>
      <c r="AU99" s="1047">
        <f t="shared" si="94"/>
        <v>1</v>
      </c>
      <c r="AV99" s="1047">
        <f t="shared" si="95"/>
        <v>1</v>
      </c>
      <c r="AW99" s="1047">
        <f t="shared" si="96"/>
        <v>1</v>
      </c>
    </row>
    <row r="100" spans="1:49" s="172" customFormat="1" ht="15" customHeight="1" x14ac:dyDescent="0.2">
      <c r="A100" s="1615" t="s">
        <v>1503</v>
      </c>
      <c r="B100" s="1973" t="s">
        <v>811</v>
      </c>
      <c r="C100" s="217" t="s">
        <v>761</v>
      </c>
      <c r="D100" s="791" t="s">
        <v>1616</v>
      </c>
      <c r="E100" s="145" t="s">
        <v>1617</v>
      </c>
      <c r="F100" s="160" t="s">
        <v>1618</v>
      </c>
      <c r="G100" s="779" t="s">
        <v>1619</v>
      </c>
      <c r="H100" s="145" t="s">
        <v>1620</v>
      </c>
      <c r="I100" s="146" t="s">
        <v>1621</v>
      </c>
      <c r="J100" s="791" t="s">
        <v>1622</v>
      </c>
      <c r="K100" s="145" t="s">
        <v>1623</v>
      </c>
      <c r="L100" s="146" t="s">
        <v>1624</v>
      </c>
      <c r="M100" s="780" t="s">
        <v>1625</v>
      </c>
      <c r="N100" s="145" t="s">
        <v>1626</v>
      </c>
      <c r="O100" s="146" t="s">
        <v>1627</v>
      </c>
      <c r="P100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91" t="str">
        <f t="shared" si="85"/>
        <v xml:space="preserve"> * La variable Pueblos Originarios Hombres no puede ser Mayor al Total Hombres.</v>
      </c>
      <c r="AL100" s="191" t="str">
        <f t="shared" si="86"/>
        <v xml:space="preserve"> * La variable Pueblos Originarios Mujeres no puede ser Mayor al Total Mujeres.</v>
      </c>
      <c r="AM100" s="191" t="str">
        <f t="shared" si="87"/>
        <v xml:space="preserve"> * La variable Migrantes Hombres no puede ser Mayor al Total Hombres.</v>
      </c>
      <c r="AN100" s="191" t="str">
        <f t="shared" si="88"/>
        <v xml:space="preserve"> * La variable Migrantes Mujeres no puede ser Mayor al Total Mujeres.</v>
      </c>
      <c r="AO100" s="191" t="str">
        <f t="shared" si="89"/>
        <v xml:space="preserve"> * La variable Espacios Amigables Hombres no puede ser Mayor al Total Hombres.</v>
      </c>
      <c r="AP100" s="191" t="str">
        <f t="shared" si="90"/>
        <v xml:space="preserve"> * La variable Espacios Amigables Mujeres no puede ser Mayor al Total Mujeres.</v>
      </c>
      <c r="AQ100" s="108"/>
      <c r="AR100" s="1047">
        <f t="shared" si="91"/>
        <v>1</v>
      </c>
      <c r="AS100" s="1047">
        <f t="shared" si="92"/>
        <v>1</v>
      </c>
      <c r="AT100" s="1047">
        <f t="shared" si="93"/>
        <v>1</v>
      </c>
      <c r="AU100" s="1047">
        <f t="shared" si="94"/>
        <v>1</v>
      </c>
      <c r="AV100" s="1047">
        <f t="shared" si="95"/>
        <v>1</v>
      </c>
      <c r="AW100" s="1047">
        <f t="shared" si="96"/>
        <v>1</v>
      </c>
    </row>
    <row r="101" spans="1:49" s="172" customFormat="1" ht="15" customHeight="1" x14ac:dyDescent="0.2">
      <c r="A101" s="1615" t="s">
        <v>1504</v>
      </c>
      <c r="B101" s="1975"/>
      <c r="C101" s="1094" t="s">
        <v>806</v>
      </c>
      <c r="D101" s="792" t="s">
        <v>1616</v>
      </c>
      <c r="E101" s="155" t="s">
        <v>1617</v>
      </c>
      <c r="F101" s="161" t="s">
        <v>1618</v>
      </c>
      <c r="G101" s="772" t="s">
        <v>1619</v>
      </c>
      <c r="H101" s="155" t="s">
        <v>1620</v>
      </c>
      <c r="I101" s="156" t="s">
        <v>1621</v>
      </c>
      <c r="J101" s="792" t="s">
        <v>1622</v>
      </c>
      <c r="K101" s="155" t="s">
        <v>1623</v>
      </c>
      <c r="L101" s="156" t="s">
        <v>1624</v>
      </c>
      <c r="M101" s="773" t="s">
        <v>1625</v>
      </c>
      <c r="N101" s="155" t="s">
        <v>1626</v>
      </c>
      <c r="O101" s="156" t="s">
        <v>1627</v>
      </c>
      <c r="P101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91" t="str">
        <f t="shared" si="85"/>
        <v xml:space="preserve"> * La variable Pueblos Originarios Hombres no puede ser Mayor al Total Hombres.</v>
      </c>
      <c r="AL101" s="191" t="str">
        <f t="shared" si="86"/>
        <v xml:space="preserve"> * La variable Pueblos Originarios Mujeres no puede ser Mayor al Total Mujeres.</v>
      </c>
      <c r="AM101" s="191" t="str">
        <f t="shared" si="87"/>
        <v xml:space="preserve"> * La variable Migrantes Hombres no puede ser Mayor al Total Hombres.</v>
      </c>
      <c r="AN101" s="191" t="str">
        <f t="shared" si="88"/>
        <v xml:space="preserve"> * La variable Migrantes Mujeres no puede ser Mayor al Total Mujeres.</v>
      </c>
      <c r="AO101" s="191" t="str">
        <f t="shared" si="89"/>
        <v xml:space="preserve"> * La variable Espacios Amigables Hombres no puede ser Mayor al Total Hombres.</v>
      </c>
      <c r="AP101" s="191" t="str">
        <f t="shared" si="90"/>
        <v xml:space="preserve"> * La variable Espacios Amigables Mujeres no puede ser Mayor al Total Mujeres.</v>
      </c>
      <c r="AQ101" s="108"/>
      <c r="AR101" s="1047">
        <f t="shared" si="91"/>
        <v>1</v>
      </c>
      <c r="AS101" s="1047">
        <f t="shared" si="92"/>
        <v>1</v>
      </c>
      <c r="AT101" s="1047">
        <f t="shared" si="93"/>
        <v>1</v>
      </c>
      <c r="AU101" s="1047">
        <f t="shared" si="94"/>
        <v>1</v>
      </c>
      <c r="AV101" s="1047">
        <f t="shared" si="95"/>
        <v>1</v>
      </c>
      <c r="AW101" s="1047">
        <f t="shared" si="96"/>
        <v>1</v>
      </c>
    </row>
    <row r="102" spans="1:49" s="172" customFormat="1" ht="15" customHeight="1" x14ac:dyDescent="0.2">
      <c r="A102" s="1615" t="s">
        <v>1505</v>
      </c>
      <c r="B102" s="1973" t="s">
        <v>812</v>
      </c>
      <c r="C102" s="218" t="s">
        <v>761</v>
      </c>
      <c r="D102" s="793" t="s">
        <v>1616</v>
      </c>
      <c r="E102" s="135" t="s">
        <v>1617</v>
      </c>
      <c r="F102" s="157" t="s">
        <v>1618</v>
      </c>
      <c r="G102" s="770" t="s">
        <v>1619</v>
      </c>
      <c r="H102" s="135" t="s">
        <v>1620</v>
      </c>
      <c r="I102" s="136" t="s">
        <v>1621</v>
      </c>
      <c r="J102" s="793" t="s">
        <v>1622</v>
      </c>
      <c r="K102" s="135" t="s">
        <v>1623</v>
      </c>
      <c r="L102" s="136" t="s">
        <v>1624</v>
      </c>
      <c r="M102" s="771" t="s">
        <v>1625</v>
      </c>
      <c r="N102" s="135" t="s">
        <v>1626</v>
      </c>
      <c r="O102" s="136" t="s">
        <v>1627</v>
      </c>
      <c r="P102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91" t="str">
        <f t="shared" si="85"/>
        <v xml:space="preserve"> * La variable Pueblos Originarios Hombres no puede ser Mayor al Total Hombres.</v>
      </c>
      <c r="AL102" s="191" t="str">
        <f t="shared" si="86"/>
        <v xml:space="preserve"> * La variable Pueblos Originarios Mujeres no puede ser Mayor al Total Mujeres.</v>
      </c>
      <c r="AM102" s="191" t="str">
        <f t="shared" si="87"/>
        <v xml:space="preserve"> * La variable Migrantes Hombres no puede ser Mayor al Total Hombres.</v>
      </c>
      <c r="AN102" s="191" t="str">
        <f t="shared" si="88"/>
        <v xml:space="preserve"> * La variable Migrantes Mujeres no puede ser Mayor al Total Mujeres.</v>
      </c>
      <c r="AO102" s="191" t="str">
        <f t="shared" si="89"/>
        <v xml:space="preserve"> * La variable Espacios Amigables Hombres no puede ser Mayor al Total Hombres.</v>
      </c>
      <c r="AP102" s="191" t="str">
        <f t="shared" si="90"/>
        <v xml:space="preserve"> * La variable Espacios Amigables Mujeres no puede ser Mayor al Total Mujeres.</v>
      </c>
      <c r="AQ102" s="108"/>
      <c r="AR102" s="1047">
        <f t="shared" si="91"/>
        <v>1</v>
      </c>
      <c r="AS102" s="1047">
        <f t="shared" si="92"/>
        <v>1</v>
      </c>
      <c r="AT102" s="1047">
        <f t="shared" si="93"/>
        <v>1</v>
      </c>
      <c r="AU102" s="1047">
        <f t="shared" si="94"/>
        <v>1</v>
      </c>
      <c r="AV102" s="1047">
        <f t="shared" si="95"/>
        <v>1</v>
      </c>
      <c r="AW102" s="1047">
        <f t="shared" si="96"/>
        <v>1</v>
      </c>
    </row>
    <row r="103" spans="1:49" s="172" customFormat="1" ht="15" customHeight="1" x14ac:dyDescent="0.2">
      <c r="A103" s="1615" t="s">
        <v>1506</v>
      </c>
      <c r="B103" s="1975"/>
      <c r="C103" s="1094" t="s">
        <v>806</v>
      </c>
      <c r="D103" s="776" t="s">
        <v>1616</v>
      </c>
      <c r="E103" s="155" t="s">
        <v>1617</v>
      </c>
      <c r="F103" s="162" t="s">
        <v>1618</v>
      </c>
      <c r="G103" s="777" t="s">
        <v>1619</v>
      </c>
      <c r="H103" s="155" t="s">
        <v>1620</v>
      </c>
      <c r="I103" s="156" t="s">
        <v>1621</v>
      </c>
      <c r="J103" s="776" t="s">
        <v>1622</v>
      </c>
      <c r="K103" s="155" t="s">
        <v>1623</v>
      </c>
      <c r="L103" s="156" t="s">
        <v>1624</v>
      </c>
      <c r="M103" s="778" t="s">
        <v>1625</v>
      </c>
      <c r="N103" s="155" t="s">
        <v>1626</v>
      </c>
      <c r="O103" s="156" t="s">
        <v>1627</v>
      </c>
      <c r="P103" s="172" t="str">
        <f>AK103&amp;AL103&amp;AM103&amp;AN103&amp;AO103&amp;AP103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Q103" s="794"/>
      <c r="R103" s="794"/>
      <c r="S103" s="794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91" t="str">
        <f t="shared" si="85"/>
        <v xml:space="preserve"> * La variable Pueblos Originarios Hombres no puede ser Mayor al Total Hombres.</v>
      </c>
      <c r="AL103" s="191" t="str">
        <f t="shared" si="86"/>
        <v xml:space="preserve"> * La variable Pueblos Originarios Mujeres no puede ser Mayor al Total Mujeres.</v>
      </c>
      <c r="AM103" s="191" t="str">
        <f t="shared" si="87"/>
        <v xml:space="preserve"> * La variable Migrantes Hombres no puede ser Mayor al Total Hombres.</v>
      </c>
      <c r="AN103" s="191" t="str">
        <f t="shared" si="88"/>
        <v xml:space="preserve"> * La variable Migrantes Mujeres no puede ser Mayor al Total Mujeres.</v>
      </c>
      <c r="AO103" s="191" t="str">
        <f t="shared" si="89"/>
        <v xml:space="preserve"> * La variable Espacios Amigables Hombres no puede ser Mayor al Total Hombres.</v>
      </c>
      <c r="AP103" s="191" t="str">
        <f t="shared" si="90"/>
        <v xml:space="preserve"> * La variable Espacios Amigables Mujeres no puede ser Mayor al Total Mujeres.</v>
      </c>
      <c r="AQ103" s="108"/>
      <c r="AR103" s="1047">
        <f t="shared" si="91"/>
        <v>1</v>
      </c>
      <c r="AS103" s="1047">
        <f t="shared" si="92"/>
        <v>1</v>
      </c>
      <c r="AT103" s="1047">
        <f t="shared" si="93"/>
        <v>1</v>
      </c>
      <c r="AU103" s="1047">
        <f t="shared" si="94"/>
        <v>1</v>
      </c>
      <c r="AV103" s="1047">
        <f t="shared" si="95"/>
        <v>1</v>
      </c>
      <c r="AW103" s="1047">
        <f t="shared" si="96"/>
        <v>1</v>
      </c>
    </row>
    <row r="104" spans="1:49" ht="15" customHeight="1" x14ac:dyDescent="0.15"/>
    <row r="105" spans="1:49" ht="15" customHeight="1" x14ac:dyDescent="0.15">
      <c r="A105" s="108" t="s">
        <v>1507</v>
      </c>
    </row>
    <row r="106" spans="1:49" ht="14.25" x14ac:dyDescent="0.2">
      <c r="A106" s="1615" t="s">
        <v>1508</v>
      </c>
    </row>
    <row r="107" spans="1:49" ht="14.25" x14ac:dyDescent="0.2">
      <c r="A107" s="1615" t="s">
        <v>1509</v>
      </c>
    </row>
    <row r="108" spans="1:49" x14ac:dyDescent="0.15">
      <c r="A108" s="108" t="s">
        <v>1017</v>
      </c>
      <c r="B108" s="176"/>
      <c r="C108" s="176"/>
    </row>
    <row r="109" spans="1:49" ht="14.25" x14ac:dyDescent="0.2">
      <c r="A109" s="1619" t="s">
        <v>1488</v>
      </c>
      <c r="B109" s="1484">
        <f>SUM(D16:D42,D12,,D49:D54,D58:D67,D71:D78,D82:D86,D90:D103)</f>
        <v>0</v>
      </c>
      <c r="C109" s="189" t="s">
        <v>206</v>
      </c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</row>
    <row r="110" spans="1:49" ht="14.25" x14ac:dyDescent="0.2">
      <c r="A110" s="1619" t="s">
        <v>1489</v>
      </c>
      <c r="B110" s="1484">
        <f>SUM(AR12:AW103)</f>
        <v>288</v>
      </c>
      <c r="C110" s="189" t="s">
        <v>207</v>
      </c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</row>
    <row r="111" spans="1:49" ht="11.45" customHeight="1" x14ac:dyDescent="0.2">
      <c r="A111" s="1619" t="s">
        <v>1490</v>
      </c>
    </row>
    <row r="112" spans="1:49" ht="14.25" x14ac:dyDescent="0.2">
      <c r="A112" s="1619" t="s">
        <v>1491</v>
      </c>
    </row>
    <row r="113" spans="1:1" ht="14.25" x14ac:dyDescent="0.2">
      <c r="A113" s="1619" t="s">
        <v>1492</v>
      </c>
    </row>
  </sheetData>
  <mergeCells count="93">
    <mergeCell ref="B14:C15"/>
    <mergeCell ref="D14:F14"/>
    <mergeCell ref="B24:B30"/>
    <mergeCell ref="B35:B43"/>
    <mergeCell ref="B16:B23"/>
    <mergeCell ref="B31:B34"/>
    <mergeCell ref="B76:C76"/>
    <mergeCell ref="B71:C71"/>
    <mergeCell ref="B72:C72"/>
    <mergeCell ref="B73:C73"/>
    <mergeCell ref="B74:C74"/>
    <mergeCell ref="B45:C48"/>
    <mergeCell ref="G45:I47"/>
    <mergeCell ref="B56:C57"/>
    <mergeCell ref="B52:C52"/>
    <mergeCell ref="B75:C75"/>
    <mergeCell ref="B53:C53"/>
    <mergeCell ref="B54:C54"/>
    <mergeCell ref="B49:C49"/>
    <mergeCell ref="B82:C82"/>
    <mergeCell ref="B83:C83"/>
    <mergeCell ref="B84:C84"/>
    <mergeCell ref="B85:C85"/>
    <mergeCell ref="B86:C86"/>
    <mergeCell ref="B102:B103"/>
    <mergeCell ref="B96:B97"/>
    <mergeCell ref="B98:B99"/>
    <mergeCell ref="B94:B95"/>
    <mergeCell ref="B90:B91"/>
    <mergeCell ref="B92:B93"/>
    <mergeCell ref="B100:B101"/>
    <mergeCell ref="M10:O10"/>
    <mergeCell ref="AK9:AL9"/>
    <mergeCell ref="M56:O56"/>
    <mergeCell ref="AM9:AN9"/>
    <mergeCell ref="D45:F47"/>
    <mergeCell ref="D56:F56"/>
    <mergeCell ref="P56:R56"/>
    <mergeCell ref="P45:R47"/>
    <mergeCell ref="M45:O47"/>
    <mergeCell ref="P14:R14"/>
    <mergeCell ref="M14:O14"/>
    <mergeCell ref="J14:L14"/>
    <mergeCell ref="G14:I14"/>
    <mergeCell ref="J45:L47"/>
    <mergeCell ref="M80:O80"/>
    <mergeCell ref="P80:R80"/>
    <mergeCell ref="G56:I56"/>
    <mergeCell ref="J56:L56"/>
    <mergeCell ref="B64:C64"/>
    <mergeCell ref="B67:C67"/>
    <mergeCell ref="B58:C58"/>
    <mergeCell ref="B60:C60"/>
    <mergeCell ref="B61:C61"/>
    <mergeCell ref="B62:C62"/>
    <mergeCell ref="B63:C63"/>
    <mergeCell ref="B59:C59"/>
    <mergeCell ref="B65:C65"/>
    <mergeCell ref="B66:C66"/>
    <mergeCell ref="B77:C77"/>
    <mergeCell ref="B78:C78"/>
    <mergeCell ref="J88:L88"/>
    <mergeCell ref="M88:O88"/>
    <mergeCell ref="D69:F69"/>
    <mergeCell ref="G69:I69"/>
    <mergeCell ref="J69:L69"/>
    <mergeCell ref="M69:O69"/>
    <mergeCell ref="B79:R79"/>
    <mergeCell ref="B87:O87"/>
    <mergeCell ref="B88:B89"/>
    <mergeCell ref="B80:C81"/>
    <mergeCell ref="C88:C89"/>
    <mergeCell ref="D88:F88"/>
    <mergeCell ref="G88:I88"/>
    <mergeCell ref="D80:F80"/>
    <mergeCell ref="G80:I80"/>
    <mergeCell ref="J80:L80"/>
    <mergeCell ref="P69:R69"/>
    <mergeCell ref="B69:C70"/>
    <mergeCell ref="B7:R7"/>
    <mergeCell ref="B9:R9"/>
    <mergeCell ref="B13:R13"/>
    <mergeCell ref="B44:R44"/>
    <mergeCell ref="B55:R55"/>
    <mergeCell ref="B68:R68"/>
    <mergeCell ref="B50:C50"/>
    <mergeCell ref="B51:C51"/>
    <mergeCell ref="P10:R10"/>
    <mergeCell ref="B12:C12"/>
    <mergeCell ref="B10:C11"/>
    <mergeCell ref="D10:F10"/>
    <mergeCell ref="G10:I10"/>
    <mergeCell ref="J10:L10"/>
  </mergeCells>
  <dataValidations count="8">
    <dataValidation allowBlank="1" showInputMessage="1" showErrorMessage="1" errorTitle=" Error de ingreso" error="Debe ingresar sólo números enteros positivos." sqref="T15 T17 Q92 Q95" xr:uid="{00000000-0002-0000-0800-000000000000}"/>
    <dataValidation type="whole" operator="greaterThanOrEqual" allowBlank="1" showInputMessage="1" showErrorMessage="1" sqref="S79:U79 P80 M80 H16:R43 H49:R54 H58:R67 H71:R78 H81:R86 E90:O103" xr:uid="{00000000-0002-0000-0800-000001000000}">
      <formula1>0</formula1>
    </dataValidation>
    <dataValidation operator="greaterThanOrEqual" allowBlank="1" showInputMessage="1" showErrorMessage="1" sqref="J80" xr:uid="{8435063D-577A-46A5-BE43-87765374FC61}"/>
    <dataValidation type="whole" allowBlank="1" showInputMessage="1" showErrorMessage="1" sqref="H12 R12" xr:uid="{3E23ED1A-4F32-4AF6-9F74-DBC30C2C424E}">
      <formula1>0</formula1>
      <formula2>9.99999999999999E+36</formula2>
    </dataValidation>
    <dataValidation type="whole" allowBlank="1" showInputMessage="1" showErrorMessage="1" sqref="I12 K12" xr:uid="{E77B68CD-5D46-4387-8550-E1E51256FF83}">
      <formula1>0</formula1>
      <formula2>9.99999999999999E+39</formula2>
    </dataValidation>
    <dataValidation type="whole" allowBlank="1" showInputMessage="1" showErrorMessage="1" sqref="L12" xr:uid="{0A94C353-72BF-458A-8115-BA4EB9FC1619}">
      <formula1>0</formula1>
      <formula2>9.99999999999999E+40</formula2>
    </dataValidation>
    <dataValidation type="whole" allowBlank="1" showInputMessage="1" showErrorMessage="1" sqref="N12:O12" xr:uid="{9266D78D-8E6A-4884-8372-B75F932B394E}">
      <formula1>0</formula1>
      <formula2>9.99999999999999E+38</formula2>
    </dataValidation>
    <dataValidation type="whole" allowBlank="1" showInputMessage="1" showErrorMessage="1" sqref="Q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B38"/>
  <sheetViews>
    <sheetView showGridLines="0" zoomScaleNormal="100" workbookViewId="0"/>
  </sheetViews>
  <sheetFormatPr baseColWidth="10" defaultColWidth="11.42578125" defaultRowHeight="15" x14ac:dyDescent="0.25"/>
  <cols>
    <col min="1" max="1" width="17.28515625" style="108" customWidth="1"/>
    <col min="2" max="2" width="40" style="172" customWidth="1"/>
    <col min="3" max="3" width="21.85546875" style="172" customWidth="1"/>
    <col min="4" max="4" width="27.28515625" style="172" customWidth="1"/>
    <col min="5" max="5" width="18.85546875" style="172" customWidth="1"/>
    <col min="6" max="7" width="11.140625" style="172" customWidth="1"/>
    <col min="8" max="19" width="10" style="172" customWidth="1"/>
    <col min="20" max="33" width="10" style="108" customWidth="1"/>
    <col min="34" max="35" width="9.28515625" style="108" customWidth="1"/>
    <col min="36" max="45" width="9.5703125" style="108" customWidth="1"/>
    <col min="46" max="46" width="11.7109375" style="108" customWidth="1"/>
    <col min="47" max="47" width="11" style="108" customWidth="1"/>
    <col min="48" max="48" width="10.5703125" style="108" customWidth="1"/>
    <col min="49" max="49" width="10.140625" style="108" customWidth="1"/>
    <col min="50" max="50" width="15.140625" style="108" customWidth="1"/>
    <col min="51" max="51" width="14.140625" style="108" customWidth="1"/>
    <col min="52" max="52" width="7.85546875" style="108" customWidth="1"/>
    <col min="53" max="54" width="12.140625" style="108" customWidth="1"/>
    <col min="80" max="96" width="12.140625" style="108" hidden="1" customWidth="1"/>
    <col min="97" max="103" width="12.140625" style="108" customWidth="1"/>
    <col min="104" max="105" width="11.7109375" style="108" customWidth="1"/>
    <col min="106" max="106" width="11.42578125" style="108" customWidth="1"/>
    <col min="107" max="16384" width="11.42578125" style="108"/>
  </cols>
  <sheetData>
    <row r="1" spans="1:101" ht="13.5" customHeight="1" x14ac:dyDescent="0.25">
      <c r="B1" s="33" t="s">
        <v>0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233"/>
    </row>
    <row r="2" spans="1:101" ht="13.5" customHeight="1" x14ac:dyDescent="0.25">
      <c r="B2" s="33" t="str">
        <f>CONCATENATE("COMUNA: ",NOMBRE!$B$2,"   ","( ",NOMBRE!$C$2,NOMBRE!$D$2,NOMBRE!$E$2,NOMBRE!$F$2,NOMBRE!$G$2," )")</f>
        <v>COMUNA:    (  )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233"/>
    </row>
    <row r="3" spans="1:101" ht="13.5" customHeight="1" x14ac:dyDescent="0.25">
      <c r="B3" s="33" t="str">
        <f>CONCATENATE("ESTABLECIMIENTO/ESTRATEGIA: ",NOMBRE!$B$3,"   ","( ",NOMBRE!$C$3,NOMBRE!$D$3,NOMBRE!$E$3,NOMBRE!$F$3,NOMBRE!$G$3,NOMBRE!$H$3," )")</f>
        <v>ESTABLECIMIENTO/ESTRATEGIA:    (  )</v>
      </c>
      <c r="C3" s="121"/>
      <c r="D3" s="122"/>
      <c r="E3" s="121"/>
      <c r="F3" s="121"/>
      <c r="G3" s="121"/>
      <c r="H3" s="121"/>
      <c r="I3" s="121"/>
      <c r="J3" s="121"/>
      <c r="K3" s="121"/>
      <c r="L3" s="121"/>
      <c r="M3" s="233"/>
    </row>
    <row r="4" spans="1:101" ht="13.5" customHeight="1" x14ac:dyDescent="0.25">
      <c r="B4" s="33" t="str">
        <f>CONCATENATE("MES: ",NOMBRE!$B$6,"   ","( ",NOMBRE!$C$6,NOMBRE!$D$6," )")</f>
        <v>MES:    (  )</v>
      </c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233"/>
    </row>
    <row r="5" spans="1:101" ht="13.5" customHeight="1" x14ac:dyDescent="0.25">
      <c r="B5" s="33" t="str">
        <f>CONCATENATE("AÑO: ",NOMBRE!$B$7)</f>
        <v>AÑO: 2025</v>
      </c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233"/>
    </row>
    <row r="6" spans="1:101" x14ac:dyDescent="0.25">
      <c r="B6" s="123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233"/>
    </row>
    <row r="7" spans="1:101" ht="18" customHeight="1" x14ac:dyDescent="0.25">
      <c r="B7" s="2275" t="s">
        <v>813</v>
      </c>
      <c r="C7" s="2275"/>
      <c r="D7" s="2275"/>
      <c r="E7" s="2275"/>
      <c r="F7" s="2275"/>
      <c r="G7" s="2275"/>
      <c r="H7" s="2275"/>
      <c r="I7" s="2275"/>
      <c r="J7" s="2275"/>
      <c r="K7" s="2275"/>
      <c r="L7" s="2275"/>
      <c r="M7" s="2275"/>
      <c r="N7" s="2275"/>
      <c r="O7" s="2275"/>
      <c r="P7" s="2275"/>
      <c r="Q7" s="2275"/>
      <c r="R7" s="2275"/>
      <c r="S7" s="2275"/>
      <c r="T7" s="2275"/>
      <c r="U7" s="2275"/>
      <c r="V7" s="2275"/>
      <c r="W7" s="2275"/>
      <c r="X7" s="2275"/>
      <c r="Y7" s="2275"/>
      <c r="Z7" s="2275"/>
      <c r="AA7" s="2275"/>
      <c r="AB7" s="2275"/>
      <c r="AC7" s="2275"/>
      <c r="AD7" s="1101"/>
      <c r="AE7" s="1101"/>
      <c r="AF7" s="1101"/>
      <c r="AG7" s="1101"/>
      <c r="AH7" s="1101"/>
      <c r="AI7" s="1101"/>
      <c r="AJ7" s="1101"/>
      <c r="AK7" s="1101"/>
      <c r="AL7" s="1101"/>
      <c r="AM7" s="1101"/>
      <c r="AN7" s="1101"/>
      <c r="AO7" s="1101"/>
      <c r="AP7" s="1101"/>
      <c r="AQ7" s="1101"/>
      <c r="AR7" s="1101"/>
      <c r="AS7" s="1101"/>
    </row>
    <row r="8" spans="1:101" ht="17.100000000000001" customHeight="1" x14ac:dyDescent="0.25">
      <c r="B8" s="2278" t="s">
        <v>814</v>
      </c>
      <c r="C8" s="2278"/>
      <c r="D8" s="2278"/>
      <c r="E8" s="2278"/>
      <c r="F8" s="2278"/>
      <c r="G8" s="2278"/>
      <c r="H8" s="2278"/>
      <c r="I8" s="2278"/>
      <c r="J8" s="2278"/>
      <c r="K8" s="2278"/>
      <c r="L8" s="233"/>
      <c r="M8" s="233"/>
    </row>
    <row r="9" spans="1:101" ht="15" customHeight="1" x14ac:dyDescent="0.25">
      <c r="B9" s="2301" t="s">
        <v>815</v>
      </c>
      <c r="C9" s="2301"/>
      <c r="D9" s="2302"/>
      <c r="E9" s="2290" t="s">
        <v>49</v>
      </c>
      <c r="F9" s="2291"/>
      <c r="G9" s="2292"/>
      <c r="H9" s="2288" t="s">
        <v>376</v>
      </c>
      <c r="I9" s="1989"/>
      <c r="J9" s="1989"/>
      <c r="K9" s="1989"/>
      <c r="L9" s="1989"/>
      <c r="M9" s="1989"/>
      <c r="N9" s="1989"/>
      <c r="O9" s="1989"/>
      <c r="P9" s="1989"/>
      <c r="Q9" s="1989"/>
      <c r="R9" s="1989"/>
      <c r="S9" s="1989"/>
      <c r="T9" s="1989"/>
      <c r="U9" s="1989"/>
      <c r="V9" s="1989"/>
      <c r="W9" s="1989"/>
      <c r="X9" s="1989"/>
      <c r="Y9" s="1989"/>
      <c r="Z9" s="1989"/>
      <c r="AA9" s="1989"/>
      <c r="AB9" s="1989"/>
      <c r="AC9" s="1989"/>
      <c r="AD9" s="1989"/>
      <c r="AE9" s="1989"/>
      <c r="AF9" s="1989"/>
      <c r="AG9" s="1989"/>
      <c r="AH9" s="1989"/>
      <c r="AI9" s="1989"/>
      <c r="AJ9" s="1989"/>
      <c r="AK9" s="1989"/>
      <c r="AL9" s="1989"/>
      <c r="AM9" s="1989"/>
      <c r="AN9" s="1989"/>
      <c r="AO9" s="1989"/>
      <c r="AP9" s="1989"/>
      <c r="AQ9" s="1989"/>
      <c r="AR9" s="1989"/>
      <c r="AS9" s="2289"/>
      <c r="AT9" s="1748" t="s">
        <v>624</v>
      </c>
      <c r="AU9" s="1753"/>
      <c r="AV9" s="1749" t="s">
        <v>51</v>
      </c>
      <c r="AW9" s="2283" t="s">
        <v>108</v>
      </c>
      <c r="AX9" s="2283" t="s">
        <v>615</v>
      </c>
      <c r="AY9" s="2279" t="s">
        <v>378</v>
      </c>
      <c r="CB9" s="1763" t="s">
        <v>624</v>
      </c>
      <c r="CC9" s="1753"/>
      <c r="CD9" s="1970" t="s">
        <v>51</v>
      </c>
      <c r="CE9" s="1970" t="s">
        <v>576</v>
      </c>
      <c r="CF9" s="1970" t="s">
        <v>816</v>
      </c>
      <c r="CG9" s="1970" t="s">
        <v>817</v>
      </c>
      <c r="CH9" s="2053"/>
      <c r="CI9" s="2053"/>
      <c r="CJ9" s="2053"/>
      <c r="CK9" s="2053"/>
      <c r="CL9" s="2053"/>
      <c r="CM9" s="1763" t="s">
        <v>624</v>
      </c>
      <c r="CN9" s="1753"/>
      <c r="CO9" s="1970" t="s">
        <v>51</v>
      </c>
      <c r="CP9" s="1970" t="s">
        <v>576</v>
      </c>
      <c r="CQ9" s="1970" t="s">
        <v>816</v>
      </c>
      <c r="CR9" s="1763" t="s">
        <v>817</v>
      </c>
      <c r="CS9" s="2053"/>
      <c r="CT9" s="2053"/>
      <c r="CU9" s="2053"/>
      <c r="CV9" s="2053"/>
      <c r="CW9" s="2053"/>
    </row>
    <row r="10" spans="1:101" ht="15" customHeight="1" x14ac:dyDescent="0.25">
      <c r="B10" s="2303"/>
      <c r="C10" s="2303"/>
      <c r="D10" s="2304"/>
      <c r="E10" s="2293"/>
      <c r="F10" s="2294"/>
      <c r="G10" s="2295"/>
      <c r="H10" s="1937" t="s">
        <v>818</v>
      </c>
      <c r="I10" s="1853"/>
      <c r="J10" s="1945" t="s">
        <v>380</v>
      </c>
      <c r="K10" s="1945"/>
      <c r="L10" s="2128" t="s">
        <v>819</v>
      </c>
      <c r="M10" s="2299"/>
      <c r="N10" s="1945" t="s">
        <v>405</v>
      </c>
      <c r="O10" s="1945"/>
      <c r="P10" s="1937" t="s">
        <v>317</v>
      </c>
      <c r="Q10" s="1853"/>
      <c r="R10" s="1945" t="s">
        <v>57</v>
      </c>
      <c r="S10" s="1945"/>
      <c r="T10" s="2281" t="s">
        <v>58</v>
      </c>
      <c r="U10" s="2285"/>
      <c r="V10" s="2282" t="s">
        <v>59</v>
      </c>
      <c r="W10" s="2282"/>
      <c r="X10" s="2281" t="s">
        <v>60</v>
      </c>
      <c r="Y10" s="2285"/>
      <c r="Z10" s="2282" t="s">
        <v>61</v>
      </c>
      <c r="AA10" s="2282"/>
      <c r="AB10" s="2281" t="s">
        <v>62</v>
      </c>
      <c r="AC10" s="2285"/>
      <c r="AD10" s="2282" t="s">
        <v>63</v>
      </c>
      <c r="AE10" s="2282"/>
      <c r="AF10" s="2281" t="s">
        <v>64</v>
      </c>
      <c r="AG10" s="2285"/>
      <c r="AH10" s="2281" t="s">
        <v>65</v>
      </c>
      <c r="AI10" s="2285"/>
      <c r="AJ10" s="2282" t="s">
        <v>66</v>
      </c>
      <c r="AK10" s="2282"/>
      <c r="AL10" s="2281" t="s">
        <v>67</v>
      </c>
      <c r="AM10" s="2285"/>
      <c r="AN10" s="1945" t="s">
        <v>406</v>
      </c>
      <c r="AO10" s="1945"/>
      <c r="AP10" s="1937" t="s">
        <v>407</v>
      </c>
      <c r="AQ10" s="1853"/>
      <c r="AR10" s="1945" t="s">
        <v>408</v>
      </c>
      <c r="AS10" s="2129"/>
      <c r="AT10" s="1750"/>
      <c r="AU10" s="1706"/>
      <c r="AV10" s="2287"/>
      <c r="AW10" s="2284"/>
      <c r="AX10" s="2284"/>
      <c r="AY10" s="2280"/>
      <c r="CB10" s="1764"/>
      <c r="CC10" s="1706"/>
      <c r="CD10" s="1991"/>
      <c r="CE10" s="1991"/>
      <c r="CF10" s="1991"/>
      <c r="CG10" s="1991"/>
      <c r="CH10" s="2053"/>
      <c r="CI10" s="2053"/>
      <c r="CJ10" s="2053"/>
      <c r="CK10" s="2053"/>
      <c r="CL10" s="2053"/>
      <c r="CM10" s="1764"/>
      <c r="CN10" s="1706"/>
      <c r="CO10" s="1991"/>
      <c r="CP10" s="1991"/>
      <c r="CQ10" s="1991"/>
      <c r="CR10" s="2307"/>
      <c r="CS10" s="2053"/>
      <c r="CT10" s="2053"/>
      <c r="CU10" s="2053"/>
      <c r="CV10" s="2053"/>
      <c r="CW10" s="2053"/>
    </row>
    <row r="11" spans="1:101" ht="15" customHeight="1" x14ac:dyDescent="0.25">
      <c r="B11" s="2305"/>
      <c r="C11" s="2305"/>
      <c r="D11" s="2306"/>
      <c r="E11" s="1532" t="s">
        <v>226</v>
      </c>
      <c r="F11" s="1300" t="s">
        <v>86</v>
      </c>
      <c r="G11" s="1301" t="s">
        <v>227</v>
      </c>
      <c r="H11" s="1240" t="s">
        <v>410</v>
      </c>
      <c r="I11" s="1090" t="s">
        <v>227</v>
      </c>
      <c r="J11" s="1462" t="s">
        <v>410</v>
      </c>
      <c r="K11" s="124" t="s">
        <v>227</v>
      </c>
      <c r="L11" s="1240" t="s">
        <v>410</v>
      </c>
      <c r="M11" s="1090" t="s">
        <v>227</v>
      </c>
      <c r="N11" s="1462" t="s">
        <v>410</v>
      </c>
      <c r="O11" s="124" t="s">
        <v>227</v>
      </c>
      <c r="P11" s="1240" t="s">
        <v>410</v>
      </c>
      <c r="Q11" s="1090" t="s">
        <v>227</v>
      </c>
      <c r="R11" s="1462" t="s">
        <v>410</v>
      </c>
      <c r="S11" s="124" t="s">
        <v>227</v>
      </c>
      <c r="T11" s="1240" t="s">
        <v>410</v>
      </c>
      <c r="U11" s="1090" t="s">
        <v>227</v>
      </c>
      <c r="V11" s="1462" t="s">
        <v>410</v>
      </c>
      <c r="W11" s="124" t="s">
        <v>227</v>
      </c>
      <c r="X11" s="1240" t="s">
        <v>410</v>
      </c>
      <c r="Y11" s="1090" t="s">
        <v>227</v>
      </c>
      <c r="Z11" s="1462" t="s">
        <v>410</v>
      </c>
      <c r="AA11" s="124" t="s">
        <v>227</v>
      </c>
      <c r="AB11" s="1240" t="s">
        <v>410</v>
      </c>
      <c r="AC11" s="1090" t="s">
        <v>227</v>
      </c>
      <c r="AD11" s="1462" t="s">
        <v>410</v>
      </c>
      <c r="AE11" s="124" t="s">
        <v>227</v>
      </c>
      <c r="AF11" s="1240" t="s">
        <v>410</v>
      </c>
      <c r="AG11" s="1090" t="s">
        <v>227</v>
      </c>
      <c r="AH11" s="1240" t="s">
        <v>410</v>
      </c>
      <c r="AI11" s="1090" t="s">
        <v>227</v>
      </c>
      <c r="AJ11" s="1462" t="s">
        <v>410</v>
      </c>
      <c r="AK11" s="124" t="s">
        <v>227</v>
      </c>
      <c r="AL11" s="1240" t="s">
        <v>410</v>
      </c>
      <c r="AM11" s="1090" t="s">
        <v>227</v>
      </c>
      <c r="AN11" s="1462" t="s">
        <v>410</v>
      </c>
      <c r="AO11" s="124" t="s">
        <v>227</v>
      </c>
      <c r="AP11" s="1240" t="s">
        <v>410</v>
      </c>
      <c r="AQ11" s="1090" t="s">
        <v>227</v>
      </c>
      <c r="AR11" s="1462" t="s">
        <v>410</v>
      </c>
      <c r="AS11" s="125" t="s">
        <v>227</v>
      </c>
      <c r="AT11" s="175" t="s">
        <v>625</v>
      </c>
      <c r="AU11" s="1090" t="s">
        <v>627</v>
      </c>
      <c r="AV11" s="1751"/>
      <c r="AW11" s="1838"/>
      <c r="AX11" s="1838"/>
      <c r="AY11" s="1704"/>
      <c r="CB11" s="1456" t="s">
        <v>625</v>
      </c>
      <c r="CC11" s="1456" t="s">
        <v>820</v>
      </c>
      <c r="CD11" s="1708"/>
      <c r="CE11" s="1708"/>
      <c r="CF11" s="1708"/>
      <c r="CG11" s="1708"/>
      <c r="CH11" s="184"/>
      <c r="CI11" s="184"/>
      <c r="CJ11" s="184"/>
      <c r="CK11" s="184"/>
      <c r="CL11" s="184"/>
      <c r="CM11" s="1456" t="s">
        <v>625</v>
      </c>
      <c r="CN11" s="1456" t="s">
        <v>820</v>
      </c>
      <c r="CO11" s="1708"/>
      <c r="CP11" s="1708"/>
      <c r="CQ11" s="1708"/>
      <c r="CR11" s="1764"/>
      <c r="CS11" s="184"/>
      <c r="CT11" s="184"/>
      <c r="CU11" s="184"/>
      <c r="CV11" s="184"/>
      <c r="CW11" s="184"/>
    </row>
    <row r="12" spans="1:101" ht="15" customHeight="1" x14ac:dyDescent="0.25">
      <c r="A12" s="1620" t="s">
        <v>1510</v>
      </c>
      <c r="B12" s="1753" t="s">
        <v>821</v>
      </c>
      <c r="C12" s="2300" t="s">
        <v>613</v>
      </c>
      <c r="D12" s="596" t="s">
        <v>822</v>
      </c>
      <c r="E12" s="1132" t="s">
        <v>1616</v>
      </c>
      <c r="F12" s="1128" t="s">
        <v>1617</v>
      </c>
      <c r="G12" s="597" t="s">
        <v>1618</v>
      </c>
      <c r="H12" s="618" t="s">
        <v>1619</v>
      </c>
      <c r="I12" s="619" t="s">
        <v>1620</v>
      </c>
      <c r="J12" s="618" t="s">
        <v>1621</v>
      </c>
      <c r="K12" s="619" t="s">
        <v>1622</v>
      </c>
      <c r="L12" s="618" t="s">
        <v>1623</v>
      </c>
      <c r="M12" s="619" t="s">
        <v>1624</v>
      </c>
      <c r="N12" s="618" t="s">
        <v>1625</v>
      </c>
      <c r="O12" s="619" t="s">
        <v>1626</v>
      </c>
      <c r="P12" s="618" t="s">
        <v>1627</v>
      </c>
      <c r="Q12" s="146" t="s">
        <v>1628</v>
      </c>
      <c r="R12" s="618" t="s">
        <v>1629</v>
      </c>
      <c r="S12" s="146" t="s">
        <v>1630</v>
      </c>
      <c r="T12" s="618" t="s">
        <v>1631</v>
      </c>
      <c r="U12" s="146" t="s">
        <v>1632</v>
      </c>
      <c r="V12" s="618" t="s">
        <v>1633</v>
      </c>
      <c r="W12" s="146" t="s">
        <v>1634</v>
      </c>
      <c r="X12" s="618" t="s">
        <v>1635</v>
      </c>
      <c r="Y12" s="146" t="s">
        <v>1636</v>
      </c>
      <c r="Z12" s="618" t="s">
        <v>1637</v>
      </c>
      <c r="AA12" s="146" t="s">
        <v>1638</v>
      </c>
      <c r="AB12" s="618" t="s">
        <v>1639</v>
      </c>
      <c r="AC12" s="146" t="s">
        <v>1640</v>
      </c>
      <c r="AD12" s="618" t="s">
        <v>1641</v>
      </c>
      <c r="AE12" s="146" t="s">
        <v>1642</v>
      </c>
      <c r="AF12" s="618" t="s">
        <v>1643</v>
      </c>
      <c r="AG12" s="146" t="s">
        <v>1644</v>
      </c>
      <c r="AH12" s="618" t="s">
        <v>1645</v>
      </c>
      <c r="AI12" s="146" t="s">
        <v>1646</v>
      </c>
      <c r="AJ12" s="618" t="s">
        <v>1647</v>
      </c>
      <c r="AK12" s="619" t="s">
        <v>1648</v>
      </c>
      <c r="AL12" s="618" t="s">
        <v>1649</v>
      </c>
      <c r="AM12" s="619" t="s">
        <v>1650</v>
      </c>
      <c r="AN12" s="618" t="s">
        <v>1651</v>
      </c>
      <c r="AO12" s="619" t="s">
        <v>1652</v>
      </c>
      <c r="AP12" s="618" t="s">
        <v>1653</v>
      </c>
      <c r="AQ12" s="619" t="s">
        <v>1654</v>
      </c>
      <c r="AR12" s="618" t="s">
        <v>1655</v>
      </c>
      <c r="AS12" s="622" t="s">
        <v>1656</v>
      </c>
      <c r="AT12" s="639" t="s">
        <v>1657</v>
      </c>
      <c r="AU12" s="619" t="s">
        <v>1658</v>
      </c>
      <c r="AV12" s="901" t="s">
        <v>1659</v>
      </c>
      <c r="AW12" s="640" t="s">
        <v>1660</v>
      </c>
      <c r="AX12" s="640" t="s">
        <v>1661</v>
      </c>
      <c r="AY12" s="146" t="s">
        <v>1662</v>
      </c>
      <c r="AZ12" s="187" t="str">
        <f>CB12&amp;CC12&amp;CD12&amp;CE12&amp;CF12&amp;CG12</f>
        <v xml:space="preserve"> * La variable Trans Masculino no debe ser mayor al Total Mujeres. * La variable Pueblos Originarios no puede ser Mayor al Total Ambos Sexos. * La variable Migrantes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CB12" s="191" t="str">
        <f>IF(AND($G12&gt;0,OR($AT12=""))," * No olvide digitar la variable Trans Masculino. Digite Cero si no tiene.",IF($AT12&gt;$G12," * La variable Trans Masculino no debe ser mayor al Total Mujeres.",""))</f>
        <v xml:space="preserve"> * La variable Trans Masculino no debe ser mayor al Total Mujeres.</v>
      </c>
      <c r="CC12" s="1091"/>
      <c r="CD12" s="191" t="str">
        <f>IF(AND($E12&gt;0,OR($AV12=""))," * No olvide digitar la variable Pueblos Originarios. Digite Cero si no tiene.",IF($AV12&gt;E12," * La variable Pueblos Originarios no puede ser Mayor al Total Ambos Sexos.",""))</f>
        <v xml:space="preserve"> * La variable Pueblos Originarios no puede ser Mayor al Total Ambos Sexos.</v>
      </c>
      <c r="CE12" s="191" t="str">
        <f>IF(AND($E12&gt;0,OR($AW12=""))," * No olvide digitar la variable Migrantes. Digite Cero si no tiene.",IF($AW12&gt;$E12," * La variable Migrantes no puede ser Mayor al Total Ambos Sexos.",""))</f>
        <v xml:space="preserve"> * La variable Migrantes no puede ser Mayor al Total Ambos Sexos.</v>
      </c>
      <c r="CF12" s="191" t="str">
        <f>IF(AND($E12&gt;0,OR($AX12=""))," * No olvide digitar la variable Niños, Niñas, Adolescentes y Jóvenes SENAME. Digite Cero si no tiene.",IF($AX12&gt;$E12," * La variable Niños, Niñas, Adolescentes y Jóvenes SENAME no puede ser Mayor al Total Ambos Sexos.",""))</f>
        <v xml:space="preserve"> * La variable Niños, Niñas, Adolescentes y Jóvenes SENAME no puede ser Mayor al Total Ambos Sexos.</v>
      </c>
      <c r="CG12" s="191" t="str">
        <f>IF(AND($E12&gt;0,OR($AY12=""))," * No olvide digitar la variable Niños, Niñas, Adolescentes y Jóvenes Mejor Niñez. Digite Cero si no tiene.",IF($AY12&gt;$E12,"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M12" s="1047">
        <f>IF(AND($G12&gt;0,OR($AT12="")),1,IF($AT12&gt;$G12,1,0))</f>
        <v>1</v>
      </c>
      <c r="CN12" s="1091"/>
      <c r="CO12" s="1047">
        <f>IF(AND($E12&gt;0,OR($AV12="")),1,IF($AV12&gt;P12,1,0))</f>
        <v>1</v>
      </c>
      <c r="CP12" s="1047">
        <f>IF(AND($E12&gt;0,OR($AW12="")),1,IF($AW12&gt;$E12,1,0))</f>
        <v>1</v>
      </c>
      <c r="CQ12" s="1047">
        <f>IF(AND($E12&gt;0,OR($AX12="")),1,IF($AX12&gt;$E12,1,0))</f>
        <v>1</v>
      </c>
      <c r="CR12" s="1047">
        <f>IF(AND($E12&gt;0,OR($AY12="")),1,IF($AY12&gt;$E12,1,0))</f>
        <v>1</v>
      </c>
      <c r="CS12" s="1092"/>
    </row>
    <row r="13" spans="1:101" ht="15" customHeight="1" x14ac:dyDescent="0.25">
      <c r="A13" s="1620" t="s">
        <v>1511</v>
      </c>
      <c r="B13" s="2286"/>
      <c r="C13" s="2298"/>
      <c r="D13" s="598" t="s">
        <v>823</v>
      </c>
      <c r="E13" s="1133" t="s">
        <v>1616</v>
      </c>
      <c r="F13" s="1129" t="s">
        <v>1617</v>
      </c>
      <c r="G13" s="599" t="s">
        <v>1618</v>
      </c>
      <c r="H13" s="620" t="s">
        <v>1619</v>
      </c>
      <c r="I13" s="621" t="s">
        <v>1620</v>
      </c>
      <c r="J13" s="620" t="s">
        <v>1621</v>
      </c>
      <c r="K13" s="621" t="s">
        <v>1622</v>
      </c>
      <c r="L13" s="620" t="s">
        <v>1623</v>
      </c>
      <c r="M13" s="621" t="s">
        <v>1624</v>
      </c>
      <c r="N13" s="620" t="s">
        <v>1625</v>
      </c>
      <c r="O13" s="621" t="s">
        <v>1626</v>
      </c>
      <c r="P13" s="620" t="s">
        <v>1627</v>
      </c>
      <c r="Q13" s="156" t="s">
        <v>1628</v>
      </c>
      <c r="R13" s="620" t="s">
        <v>1629</v>
      </c>
      <c r="S13" s="156" t="s">
        <v>1630</v>
      </c>
      <c r="T13" s="620" t="s">
        <v>1631</v>
      </c>
      <c r="U13" s="156" t="s">
        <v>1632</v>
      </c>
      <c r="V13" s="620" t="s">
        <v>1633</v>
      </c>
      <c r="W13" s="156" t="s">
        <v>1634</v>
      </c>
      <c r="X13" s="620" t="s">
        <v>1635</v>
      </c>
      <c r="Y13" s="156" t="s">
        <v>1636</v>
      </c>
      <c r="Z13" s="620" t="s">
        <v>1637</v>
      </c>
      <c r="AA13" s="156" t="s">
        <v>1638</v>
      </c>
      <c r="AB13" s="620" t="s">
        <v>1639</v>
      </c>
      <c r="AC13" s="156" t="s">
        <v>1640</v>
      </c>
      <c r="AD13" s="620" t="s">
        <v>1641</v>
      </c>
      <c r="AE13" s="156" t="s">
        <v>1642</v>
      </c>
      <c r="AF13" s="620" t="s">
        <v>1643</v>
      </c>
      <c r="AG13" s="156" t="s">
        <v>1644</v>
      </c>
      <c r="AH13" s="620" t="s">
        <v>1645</v>
      </c>
      <c r="AI13" s="156" t="s">
        <v>1646</v>
      </c>
      <c r="AJ13" s="620" t="s">
        <v>1647</v>
      </c>
      <c r="AK13" s="621" t="s">
        <v>1648</v>
      </c>
      <c r="AL13" s="620" t="s">
        <v>1649</v>
      </c>
      <c r="AM13" s="621" t="s">
        <v>1650</v>
      </c>
      <c r="AN13" s="620" t="s">
        <v>1651</v>
      </c>
      <c r="AO13" s="621" t="s">
        <v>1652</v>
      </c>
      <c r="AP13" s="620" t="s">
        <v>1653</v>
      </c>
      <c r="AQ13" s="621" t="s">
        <v>1654</v>
      </c>
      <c r="AR13" s="620" t="s">
        <v>1655</v>
      </c>
      <c r="AS13" s="623" t="s">
        <v>1656</v>
      </c>
      <c r="AT13" s="641" t="s">
        <v>1657</v>
      </c>
      <c r="AU13" s="621" t="s">
        <v>1658</v>
      </c>
      <c r="AV13" s="590" t="s">
        <v>1659</v>
      </c>
      <c r="AW13" s="642" t="s">
        <v>1660</v>
      </c>
      <c r="AX13" s="642" t="s">
        <v>1661</v>
      </c>
      <c r="AY13" s="156" t="s">
        <v>1662</v>
      </c>
      <c r="AZ13" s="187" t="str">
        <f t="shared" ref="AZ13:AZ17" si="0">CB13&amp;CC13&amp;CD13&amp;CE13&amp;CF13&amp;CG13</f>
        <v xml:space="preserve"> * La variable Trans Masculino no debe ser mayor al Total Mujeres. * La variable Pueblos Originarios no puede ser Mayor al Total Ambos Sexos. * La variable Migrantes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CB13" s="191" t="str">
        <f t="shared" ref="CB13:CB17" si="1">IF(AND($G13&gt;0,OR($AT13=""))," * No olvide digitar la variable Trans Masculino. Digite Cero si no tiene.",IF($AT13&gt;$G13," * La variable Trans Masculino no debe ser mayor al Total Mujeres.",""))</f>
        <v xml:space="preserve"> * La variable Trans Masculino no debe ser mayor al Total Mujeres.</v>
      </c>
      <c r="CC13" s="1091"/>
      <c r="CD13" s="191" t="str">
        <f t="shared" ref="CD13:CD17" si="2">IF(AND($E13&gt;0,OR($AV13=""))," * No olvide digitar la variable Pueblos Originarios. Digite Cero si no tiene.",IF($AV13&gt;E13," * La variable Pueblos Originarios no puede ser Mayor al Total Ambos Sexos.",""))</f>
        <v xml:space="preserve"> * La variable Pueblos Originarios no puede ser Mayor al Total Ambos Sexos.</v>
      </c>
      <c r="CE13" s="191" t="str">
        <f t="shared" ref="CE13:CE17" si="3">IF(AND($E13&gt;0,OR($AW13=""))," * No olvide digitar la variable Migrantes. Digite Cero si no tiene.",IF($AW13&gt;$E13," * La variable Migrantes no puede ser Mayor al Total Ambos Sexos.",""))</f>
        <v xml:space="preserve"> * La variable Migrantes no puede ser Mayor al Total Ambos Sexos.</v>
      </c>
      <c r="CF13" s="191" t="str">
        <f t="shared" ref="CF13:CF17" si="4">IF(AND($E13&gt;0,OR($AX13=""))," * No olvide digitar la variable Niños, Niñas, Adolescentes y Jóvenes SENAME. Digite Cero si no tiene.",IF($AX13&gt;$E13," * La variable Niños, Niñas, Adolescentes y Jóvenes SENAME no puede ser Mayor al Total Ambos Sexos.",""))</f>
        <v xml:space="preserve"> * La variable Niños, Niñas, Adolescentes y Jóvenes SENAME no puede ser Mayor al Total Ambos Sexos.</v>
      </c>
      <c r="CG13" s="191" t="str">
        <f t="shared" ref="CG13:CG17" si="5">IF(AND($E13&gt;0,OR($AY13=""))," * No olvide digitar la variable Niños, Niñas, Adolescentes y Jóvenes Mejor Niñez. Digite Cero si no tiene.",IF($AY13&gt;$E13,"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M13" s="1047">
        <f t="shared" ref="CM13:CM17" si="6">IF(AND($G13&gt;0,OR($AT13="")),1,IF($AT13&gt;$G13,1,0))</f>
        <v>1</v>
      </c>
      <c r="CN13" s="1091"/>
      <c r="CO13" s="1047">
        <f t="shared" ref="CO13:CO17" si="7">IF(AND($E13&gt;0,OR($AV13="")),1,IF($AV13&gt;P13,1,0))</f>
        <v>1</v>
      </c>
      <c r="CP13" s="1047">
        <f t="shared" ref="CP13:CP17" si="8">IF(AND($E13&gt;0,OR($AW13="")),1,IF($AW13&gt;$E13,1,0))</f>
        <v>1</v>
      </c>
      <c r="CQ13" s="1047">
        <f t="shared" ref="CQ13:CQ17" si="9">IF(AND($E13&gt;0,OR($AX13="")),1,IF($AX13&gt;$E13,1,0))</f>
        <v>1</v>
      </c>
      <c r="CR13" s="1047">
        <f t="shared" ref="CR13:CR17" si="10">IF(AND($E13&gt;0,OR($AY13="")),1,IF($AY13&gt;$E13,1,0))</f>
        <v>1</v>
      </c>
      <c r="CS13" s="1092"/>
    </row>
    <row r="14" spans="1:101" ht="15" customHeight="1" x14ac:dyDescent="0.25">
      <c r="A14" s="1620" t="s">
        <v>1512</v>
      </c>
      <c r="B14" s="2286"/>
      <c r="C14" s="2297" t="s">
        <v>824</v>
      </c>
      <c r="D14" s="600" t="s">
        <v>825</v>
      </c>
      <c r="E14" s="1132" t="s">
        <v>1616</v>
      </c>
      <c r="F14" s="1130" t="s">
        <v>1617</v>
      </c>
      <c r="G14" s="601" t="s">
        <v>1618</v>
      </c>
      <c r="H14" s="135" t="s">
        <v>1619</v>
      </c>
      <c r="I14" s="136" t="s">
        <v>1620</v>
      </c>
      <c r="J14" s="135" t="s">
        <v>1621</v>
      </c>
      <c r="K14" s="136" t="s">
        <v>1622</v>
      </c>
      <c r="L14" s="135" t="s">
        <v>1623</v>
      </c>
      <c r="M14" s="136" t="s">
        <v>1624</v>
      </c>
      <c r="N14" s="135" t="s">
        <v>1625</v>
      </c>
      <c r="O14" s="136" t="s">
        <v>1626</v>
      </c>
      <c r="P14" s="135" t="s">
        <v>1627</v>
      </c>
      <c r="Q14" s="136" t="s">
        <v>1628</v>
      </c>
      <c r="R14" s="135" t="s">
        <v>1629</v>
      </c>
      <c r="S14" s="136" t="s">
        <v>1630</v>
      </c>
      <c r="T14" s="135" t="s">
        <v>1631</v>
      </c>
      <c r="U14" s="136" t="s">
        <v>1632</v>
      </c>
      <c r="V14" s="135" t="s">
        <v>1633</v>
      </c>
      <c r="W14" s="136" t="s">
        <v>1634</v>
      </c>
      <c r="X14" s="135" t="s">
        <v>1635</v>
      </c>
      <c r="Y14" s="136" t="s">
        <v>1636</v>
      </c>
      <c r="Z14" s="135" t="s">
        <v>1637</v>
      </c>
      <c r="AA14" s="136" t="s">
        <v>1638</v>
      </c>
      <c r="AB14" s="135" t="s">
        <v>1639</v>
      </c>
      <c r="AC14" s="136" t="s">
        <v>1640</v>
      </c>
      <c r="AD14" s="135" t="s">
        <v>1641</v>
      </c>
      <c r="AE14" s="136" t="s">
        <v>1642</v>
      </c>
      <c r="AF14" s="135" t="s">
        <v>1643</v>
      </c>
      <c r="AG14" s="136" t="s">
        <v>1644</v>
      </c>
      <c r="AH14" s="135" t="s">
        <v>1645</v>
      </c>
      <c r="AI14" s="136" t="s">
        <v>1646</v>
      </c>
      <c r="AJ14" s="135" t="s">
        <v>1647</v>
      </c>
      <c r="AK14" s="136" t="s">
        <v>1648</v>
      </c>
      <c r="AL14" s="135" t="s">
        <v>1649</v>
      </c>
      <c r="AM14" s="136" t="s">
        <v>1650</v>
      </c>
      <c r="AN14" s="135" t="s">
        <v>1651</v>
      </c>
      <c r="AO14" s="136" t="s">
        <v>1652</v>
      </c>
      <c r="AP14" s="135" t="s">
        <v>1653</v>
      </c>
      <c r="AQ14" s="136" t="s">
        <v>1654</v>
      </c>
      <c r="AR14" s="135" t="s">
        <v>1655</v>
      </c>
      <c r="AS14" s="141" t="s">
        <v>1656</v>
      </c>
      <c r="AT14" s="643" t="s">
        <v>1657</v>
      </c>
      <c r="AU14" s="136" t="s">
        <v>1658</v>
      </c>
      <c r="AV14" s="153" t="s">
        <v>1659</v>
      </c>
      <c r="AW14" s="644" t="s">
        <v>1660</v>
      </c>
      <c r="AX14" s="644" t="s">
        <v>1661</v>
      </c>
      <c r="AY14" s="136" t="s">
        <v>1662</v>
      </c>
      <c r="AZ14" s="187" t="str">
        <f t="shared" si="0"/>
        <v xml:space="preserve"> * La variable Trans Masculino no debe ser mayor al Total Mujeres. * La variable Trans Femenino no debe ser mayor al Total Hombres. * La variable Pueblos Originarios no puede ser Mayor al Total Ambos Sexos. * La variable Migrantes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CB14" s="191" t="str">
        <f t="shared" si="1"/>
        <v xml:space="preserve"> * La variable Trans Masculino no debe ser mayor al Total Mujeres.</v>
      </c>
      <c r="CC14" s="191" t="str">
        <f>IF(AND($F14&gt;0,OR($AU14=""))," * No olvide digitar la variable Trans Femenino. Digite Cero si no tiene.",IF($AU14&gt;$F14," * La variable Trans Femenino no debe ser mayor al Total Hombres.",""))</f>
        <v xml:space="preserve"> * La variable Trans Femenino no debe ser mayor al Total Hombres.</v>
      </c>
      <c r="CD14" s="191" t="str">
        <f t="shared" si="2"/>
        <v xml:space="preserve"> * La variable Pueblos Originarios no puede ser Mayor al Total Ambos Sexos.</v>
      </c>
      <c r="CE14" s="191" t="str">
        <f t="shared" si="3"/>
        <v xml:space="preserve"> * La variable Migrantes no puede ser Mayor al Total Ambos Sexos.</v>
      </c>
      <c r="CF14" s="191" t="str">
        <f t="shared" si="4"/>
        <v xml:space="preserve"> * La variable Niños, Niñas, Adolescentes y Jóvenes SENAME no puede ser Mayor al Total Ambos Sexos.</v>
      </c>
      <c r="CG14" s="191" t="str">
        <f t="shared" si="5"/>
        <v xml:space="preserve"> * La variable Niños, Niñas, Adolescentes y Jóvenes Mejor Niñez no puede ser Mayor al Total Ambos Sexos.</v>
      </c>
      <c r="CM14" s="1047">
        <f t="shared" si="6"/>
        <v>1</v>
      </c>
      <c r="CN14" s="1047">
        <f>IF(AND($F14&gt;0,OR($AU14="")),1,IF($AU14&gt;$F14,1,0))</f>
        <v>1</v>
      </c>
      <c r="CO14" s="1047">
        <f t="shared" si="7"/>
        <v>1</v>
      </c>
      <c r="CP14" s="1047">
        <f t="shared" si="8"/>
        <v>1</v>
      </c>
      <c r="CQ14" s="1047">
        <f t="shared" si="9"/>
        <v>1</v>
      </c>
      <c r="CR14" s="1047">
        <f t="shared" si="10"/>
        <v>1</v>
      </c>
      <c r="CS14" s="1092"/>
    </row>
    <row r="15" spans="1:101" ht="15" customHeight="1" x14ac:dyDescent="0.25">
      <c r="A15" s="1620" t="s">
        <v>1513</v>
      </c>
      <c r="B15" s="1706"/>
      <c r="C15" s="2298"/>
      <c r="D15" s="598" t="s">
        <v>826</v>
      </c>
      <c r="E15" s="1134" t="s">
        <v>1616</v>
      </c>
      <c r="F15" s="1131" t="s">
        <v>1617</v>
      </c>
      <c r="G15" s="599" t="s">
        <v>1618</v>
      </c>
      <c r="H15" s="155" t="s">
        <v>1619</v>
      </c>
      <c r="I15" s="156" t="s">
        <v>1620</v>
      </c>
      <c r="J15" s="155" t="s">
        <v>1621</v>
      </c>
      <c r="K15" s="156" t="s">
        <v>1622</v>
      </c>
      <c r="L15" s="155" t="s">
        <v>1623</v>
      </c>
      <c r="M15" s="156" t="s">
        <v>1624</v>
      </c>
      <c r="N15" s="155" t="s">
        <v>1625</v>
      </c>
      <c r="O15" s="156" t="s">
        <v>1626</v>
      </c>
      <c r="P15" s="155" t="s">
        <v>1627</v>
      </c>
      <c r="Q15" s="156" t="s">
        <v>1628</v>
      </c>
      <c r="R15" s="155" t="s">
        <v>1629</v>
      </c>
      <c r="S15" s="156" t="s">
        <v>1630</v>
      </c>
      <c r="T15" s="155" t="s">
        <v>1631</v>
      </c>
      <c r="U15" s="156" t="s">
        <v>1632</v>
      </c>
      <c r="V15" s="155" t="s">
        <v>1633</v>
      </c>
      <c r="W15" s="156" t="s">
        <v>1634</v>
      </c>
      <c r="X15" s="155" t="s">
        <v>1635</v>
      </c>
      <c r="Y15" s="156" t="s">
        <v>1636</v>
      </c>
      <c r="Z15" s="155" t="s">
        <v>1637</v>
      </c>
      <c r="AA15" s="156" t="s">
        <v>1638</v>
      </c>
      <c r="AB15" s="155" t="s">
        <v>1639</v>
      </c>
      <c r="AC15" s="156" t="s">
        <v>1640</v>
      </c>
      <c r="AD15" s="155" t="s">
        <v>1641</v>
      </c>
      <c r="AE15" s="156" t="s">
        <v>1642</v>
      </c>
      <c r="AF15" s="155" t="s">
        <v>1643</v>
      </c>
      <c r="AG15" s="156" t="s">
        <v>1644</v>
      </c>
      <c r="AH15" s="155" t="s">
        <v>1645</v>
      </c>
      <c r="AI15" s="156" t="s">
        <v>1646</v>
      </c>
      <c r="AJ15" s="155" t="s">
        <v>1647</v>
      </c>
      <c r="AK15" s="156" t="s">
        <v>1648</v>
      </c>
      <c r="AL15" s="155" t="s">
        <v>1649</v>
      </c>
      <c r="AM15" s="156" t="s">
        <v>1650</v>
      </c>
      <c r="AN15" s="155" t="s">
        <v>1651</v>
      </c>
      <c r="AO15" s="156" t="s">
        <v>1652</v>
      </c>
      <c r="AP15" s="155" t="s">
        <v>1653</v>
      </c>
      <c r="AQ15" s="156" t="s">
        <v>1654</v>
      </c>
      <c r="AR15" s="155" t="s">
        <v>1655</v>
      </c>
      <c r="AS15" s="171" t="s">
        <v>1656</v>
      </c>
      <c r="AT15" s="641" t="s">
        <v>1657</v>
      </c>
      <c r="AU15" s="156" t="s">
        <v>1658</v>
      </c>
      <c r="AV15" s="590" t="s">
        <v>1659</v>
      </c>
      <c r="AW15" s="642" t="s">
        <v>1660</v>
      </c>
      <c r="AX15" s="642" t="s">
        <v>1661</v>
      </c>
      <c r="AY15" s="156" t="s">
        <v>1662</v>
      </c>
      <c r="AZ15" s="187" t="str">
        <f t="shared" si="0"/>
        <v xml:space="preserve"> * La variable Trans Masculino no debe ser mayor al Total Mujeres. * La variable Trans Femenino no debe ser mayor al Total Hombres. * La variable Pueblos Originarios no puede ser Mayor al Total Ambos Sexos. * La variable Migrantes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CB15" s="191" t="str">
        <f t="shared" si="1"/>
        <v xml:space="preserve"> * La variable Trans Masculino no debe ser mayor al Total Mujeres.</v>
      </c>
      <c r="CC15" s="191" t="str">
        <f>IF(AND($F15&gt;0,OR($AU15=""))," * No olvide digitar la variable Trans Femenino. Digite Cero si no tiene.",IF($AU15&gt;$F15," * La variable Trans Femenino no debe ser mayor al Total Hombres.",""))</f>
        <v xml:space="preserve"> * La variable Trans Femenino no debe ser mayor al Total Hombres.</v>
      </c>
      <c r="CD15" s="191" t="str">
        <f t="shared" si="2"/>
        <v xml:space="preserve"> * La variable Pueblos Originarios no puede ser Mayor al Total Ambos Sexos.</v>
      </c>
      <c r="CE15" s="191" t="str">
        <f t="shared" si="3"/>
        <v xml:space="preserve"> * La variable Migrantes no puede ser Mayor al Total Ambos Sexos.</v>
      </c>
      <c r="CF15" s="191" t="str">
        <f t="shared" si="4"/>
        <v xml:space="preserve"> * La variable Niños, Niñas, Adolescentes y Jóvenes SENAME no puede ser Mayor al Total Ambos Sexos.</v>
      </c>
      <c r="CG15" s="191" t="str">
        <f t="shared" si="5"/>
        <v xml:space="preserve"> * La variable Niños, Niñas, Adolescentes y Jóvenes Mejor Niñez no puede ser Mayor al Total Ambos Sexos.</v>
      </c>
      <c r="CM15" s="1047">
        <f t="shared" si="6"/>
        <v>1</v>
      </c>
      <c r="CN15" s="1047">
        <f>IF(AND($F15&gt;0,OR($AU15="")),1,IF($AU15&gt;$F15,1,0))</f>
        <v>1</v>
      </c>
      <c r="CO15" s="1047">
        <f t="shared" si="7"/>
        <v>1</v>
      </c>
      <c r="CP15" s="1047">
        <f t="shared" si="8"/>
        <v>1</v>
      </c>
      <c r="CQ15" s="1047">
        <f t="shared" si="9"/>
        <v>1</v>
      </c>
      <c r="CR15" s="1047">
        <f t="shared" si="10"/>
        <v>1</v>
      </c>
      <c r="CS15" s="1092"/>
    </row>
    <row r="16" spans="1:101" ht="15" customHeight="1" x14ac:dyDescent="0.25">
      <c r="A16" s="1620" t="s">
        <v>1514</v>
      </c>
      <c r="B16" s="1753" t="s">
        <v>827</v>
      </c>
      <c r="C16" s="1114" t="s">
        <v>613</v>
      </c>
      <c r="D16" s="711" t="s">
        <v>828</v>
      </c>
      <c r="E16" s="1135" t="s">
        <v>1616</v>
      </c>
      <c r="F16" s="1128" t="s">
        <v>1617</v>
      </c>
      <c r="G16" s="597" t="s">
        <v>1618</v>
      </c>
      <c r="H16" s="618" t="s">
        <v>1619</v>
      </c>
      <c r="I16" s="619" t="s">
        <v>1620</v>
      </c>
      <c r="J16" s="618" t="s">
        <v>1621</v>
      </c>
      <c r="K16" s="619" t="s">
        <v>1622</v>
      </c>
      <c r="L16" s="618" t="s">
        <v>1623</v>
      </c>
      <c r="M16" s="619" t="s">
        <v>1624</v>
      </c>
      <c r="N16" s="618" t="s">
        <v>1625</v>
      </c>
      <c r="O16" s="619" t="s">
        <v>1626</v>
      </c>
      <c r="P16" s="618" t="s">
        <v>1627</v>
      </c>
      <c r="Q16" s="146" t="s">
        <v>1628</v>
      </c>
      <c r="R16" s="618" t="s">
        <v>1629</v>
      </c>
      <c r="S16" s="146" t="s">
        <v>1630</v>
      </c>
      <c r="T16" s="618" t="s">
        <v>1631</v>
      </c>
      <c r="U16" s="146" t="s">
        <v>1632</v>
      </c>
      <c r="V16" s="618" t="s">
        <v>1633</v>
      </c>
      <c r="W16" s="146" t="s">
        <v>1634</v>
      </c>
      <c r="X16" s="618" t="s">
        <v>1635</v>
      </c>
      <c r="Y16" s="146" t="s">
        <v>1636</v>
      </c>
      <c r="Z16" s="618" t="s">
        <v>1637</v>
      </c>
      <c r="AA16" s="146" t="s">
        <v>1638</v>
      </c>
      <c r="AB16" s="618" t="s">
        <v>1639</v>
      </c>
      <c r="AC16" s="146" t="s">
        <v>1640</v>
      </c>
      <c r="AD16" s="618" t="s">
        <v>1641</v>
      </c>
      <c r="AE16" s="146" t="s">
        <v>1642</v>
      </c>
      <c r="AF16" s="618" t="s">
        <v>1643</v>
      </c>
      <c r="AG16" s="146" t="s">
        <v>1644</v>
      </c>
      <c r="AH16" s="618" t="s">
        <v>1645</v>
      </c>
      <c r="AI16" s="146" t="s">
        <v>1646</v>
      </c>
      <c r="AJ16" s="618" t="s">
        <v>1647</v>
      </c>
      <c r="AK16" s="619" t="s">
        <v>1648</v>
      </c>
      <c r="AL16" s="618" t="s">
        <v>1649</v>
      </c>
      <c r="AM16" s="619" t="s">
        <v>1650</v>
      </c>
      <c r="AN16" s="618" t="s">
        <v>1651</v>
      </c>
      <c r="AO16" s="619" t="s">
        <v>1652</v>
      </c>
      <c r="AP16" s="618" t="s">
        <v>1653</v>
      </c>
      <c r="AQ16" s="619" t="s">
        <v>1654</v>
      </c>
      <c r="AR16" s="618" t="s">
        <v>1655</v>
      </c>
      <c r="AS16" s="622" t="s">
        <v>1656</v>
      </c>
      <c r="AT16" s="639" t="s">
        <v>1657</v>
      </c>
      <c r="AU16" s="619" t="s">
        <v>1658</v>
      </c>
      <c r="AV16" s="901" t="s">
        <v>1659</v>
      </c>
      <c r="AW16" s="640" t="s">
        <v>1660</v>
      </c>
      <c r="AX16" s="640" t="s">
        <v>1661</v>
      </c>
      <c r="AY16" s="146" t="s">
        <v>1662</v>
      </c>
      <c r="AZ16" s="187" t="str">
        <f t="shared" si="0"/>
        <v xml:space="preserve"> * La variable Trans Masculino no debe ser mayor al Total Mujeres. * La variable Pueblos Originarios no puede ser Mayor al Total Ambos Sexos. * La variable Migrantes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CB16" s="191" t="str">
        <f t="shared" si="1"/>
        <v xml:space="preserve"> * La variable Trans Masculino no debe ser mayor al Total Mujeres.</v>
      </c>
      <c r="CC16" s="1091"/>
      <c r="CD16" s="191" t="str">
        <f t="shared" si="2"/>
        <v xml:space="preserve"> * La variable Pueblos Originarios no puede ser Mayor al Total Ambos Sexos.</v>
      </c>
      <c r="CE16" s="191" t="str">
        <f t="shared" si="3"/>
        <v xml:space="preserve"> * La variable Migrantes no puede ser Mayor al Total Ambos Sexos.</v>
      </c>
      <c r="CF16" s="191" t="str">
        <f t="shared" si="4"/>
        <v xml:space="preserve"> * La variable Niños, Niñas, Adolescentes y Jóvenes SENAME no puede ser Mayor al Total Ambos Sexos.</v>
      </c>
      <c r="CG16" s="191" t="str">
        <f t="shared" si="5"/>
        <v xml:space="preserve"> * La variable Niños, Niñas, Adolescentes y Jóvenes Mejor Niñez no puede ser Mayor al Total Ambos Sexos.</v>
      </c>
      <c r="CM16" s="1047">
        <f t="shared" si="6"/>
        <v>1</v>
      </c>
      <c r="CN16" s="1091"/>
      <c r="CO16" s="1047">
        <f t="shared" si="7"/>
        <v>1</v>
      </c>
      <c r="CP16" s="1047">
        <f t="shared" si="8"/>
        <v>1</v>
      </c>
      <c r="CQ16" s="1047">
        <f t="shared" si="9"/>
        <v>1</v>
      </c>
      <c r="CR16" s="1047">
        <f t="shared" si="10"/>
        <v>1</v>
      </c>
      <c r="CS16" s="1092"/>
    </row>
    <row r="17" spans="1:106" ht="15" customHeight="1" x14ac:dyDescent="0.25">
      <c r="A17" s="1620" t="s">
        <v>1515</v>
      </c>
      <c r="B17" s="1706"/>
      <c r="C17" s="1113" t="s">
        <v>824</v>
      </c>
      <c r="D17" s="712" t="s">
        <v>828</v>
      </c>
      <c r="E17" s="1134" t="s">
        <v>1616</v>
      </c>
      <c r="F17" s="1131" t="s">
        <v>1617</v>
      </c>
      <c r="G17" s="599" t="s">
        <v>1618</v>
      </c>
      <c r="H17" s="155" t="s">
        <v>1619</v>
      </c>
      <c r="I17" s="156" t="s">
        <v>1620</v>
      </c>
      <c r="J17" s="155" t="s">
        <v>1621</v>
      </c>
      <c r="K17" s="156" t="s">
        <v>1622</v>
      </c>
      <c r="L17" s="155" t="s">
        <v>1623</v>
      </c>
      <c r="M17" s="156" t="s">
        <v>1624</v>
      </c>
      <c r="N17" s="155" t="s">
        <v>1625</v>
      </c>
      <c r="O17" s="156" t="s">
        <v>1626</v>
      </c>
      <c r="P17" s="155" t="s">
        <v>1627</v>
      </c>
      <c r="Q17" s="156" t="s">
        <v>1628</v>
      </c>
      <c r="R17" s="155" t="s">
        <v>1629</v>
      </c>
      <c r="S17" s="156" t="s">
        <v>1630</v>
      </c>
      <c r="T17" s="155" t="s">
        <v>1631</v>
      </c>
      <c r="U17" s="156" t="s">
        <v>1632</v>
      </c>
      <c r="V17" s="155" t="s">
        <v>1633</v>
      </c>
      <c r="W17" s="156" t="s">
        <v>1634</v>
      </c>
      <c r="X17" s="155" t="s">
        <v>1635</v>
      </c>
      <c r="Y17" s="156" t="s">
        <v>1636</v>
      </c>
      <c r="Z17" s="155" t="s">
        <v>1637</v>
      </c>
      <c r="AA17" s="156" t="s">
        <v>1638</v>
      </c>
      <c r="AB17" s="155" t="s">
        <v>1639</v>
      </c>
      <c r="AC17" s="156" t="s">
        <v>1640</v>
      </c>
      <c r="AD17" s="155" t="s">
        <v>1641</v>
      </c>
      <c r="AE17" s="156" t="s">
        <v>1642</v>
      </c>
      <c r="AF17" s="155" t="s">
        <v>1643</v>
      </c>
      <c r="AG17" s="156" t="s">
        <v>1644</v>
      </c>
      <c r="AH17" s="155" t="s">
        <v>1645</v>
      </c>
      <c r="AI17" s="156" t="s">
        <v>1646</v>
      </c>
      <c r="AJ17" s="155" t="s">
        <v>1647</v>
      </c>
      <c r="AK17" s="156" t="s">
        <v>1648</v>
      </c>
      <c r="AL17" s="155" t="s">
        <v>1649</v>
      </c>
      <c r="AM17" s="156" t="s">
        <v>1650</v>
      </c>
      <c r="AN17" s="155" t="s">
        <v>1651</v>
      </c>
      <c r="AO17" s="156" t="s">
        <v>1652</v>
      </c>
      <c r="AP17" s="155" t="s">
        <v>1653</v>
      </c>
      <c r="AQ17" s="156" t="s">
        <v>1654</v>
      </c>
      <c r="AR17" s="155" t="s">
        <v>1655</v>
      </c>
      <c r="AS17" s="171" t="s">
        <v>1656</v>
      </c>
      <c r="AT17" s="641" t="s">
        <v>1657</v>
      </c>
      <c r="AU17" s="156" t="s">
        <v>1658</v>
      </c>
      <c r="AV17" s="590" t="s">
        <v>1659</v>
      </c>
      <c r="AW17" s="642" t="s">
        <v>1660</v>
      </c>
      <c r="AX17" s="642" t="s">
        <v>1661</v>
      </c>
      <c r="AY17" s="156" t="s">
        <v>1662</v>
      </c>
      <c r="AZ17" s="187" t="str">
        <f t="shared" si="0"/>
        <v xml:space="preserve"> * La variable Trans Masculino no debe ser mayor al Total Mujeres. * La variable Trans Femenino no debe ser mayor al Total Hombres. * La variable Pueblos Originarios no puede ser Mayor al Total Ambos Sexos. * La variable Migrantes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CB17" s="191" t="str">
        <f t="shared" si="1"/>
        <v xml:space="preserve"> * La variable Trans Masculino no debe ser mayor al Total Mujeres.</v>
      </c>
      <c r="CC17" s="191" t="str">
        <f>IF(AND($F17&gt;0,OR($AU17=""))," * No olvide digitar la variable Trans Femenino. Digite Cero si no tiene.",IF($AU17&gt;$F17," * La variable Trans Femenino no debe ser mayor al Total Hombres.",""))</f>
        <v xml:space="preserve"> * La variable Trans Femenino no debe ser mayor al Total Hombres.</v>
      </c>
      <c r="CD17" s="191" t="str">
        <f t="shared" si="2"/>
        <v xml:space="preserve"> * La variable Pueblos Originarios no puede ser Mayor al Total Ambos Sexos.</v>
      </c>
      <c r="CE17" s="191" t="str">
        <f t="shared" si="3"/>
        <v xml:space="preserve"> * La variable Migrantes no puede ser Mayor al Total Ambos Sexos.</v>
      </c>
      <c r="CF17" s="191" t="str">
        <f t="shared" si="4"/>
        <v xml:space="preserve"> * La variable Niños, Niñas, Adolescentes y Jóvenes SENAME no puede ser Mayor al Total Ambos Sexos.</v>
      </c>
      <c r="CG17" s="191" t="str">
        <f t="shared" si="5"/>
        <v xml:space="preserve"> * La variable Niños, Niñas, Adolescentes y Jóvenes Mejor Niñez no puede ser Mayor al Total Ambos Sexos.</v>
      </c>
      <c r="CM17" s="1047">
        <f t="shared" si="6"/>
        <v>1</v>
      </c>
      <c r="CN17" s="1047">
        <f>IF(AND($F17&gt;0,OR($AU17="")),1,IF($AU17&gt;$F17,1,0))</f>
        <v>1</v>
      </c>
      <c r="CO17" s="1047">
        <f t="shared" si="7"/>
        <v>1</v>
      </c>
      <c r="CP17" s="1047">
        <f t="shared" si="8"/>
        <v>1</v>
      </c>
      <c r="CQ17" s="1047">
        <f t="shared" si="9"/>
        <v>1</v>
      </c>
      <c r="CR17" s="1047">
        <f t="shared" si="10"/>
        <v>1</v>
      </c>
      <c r="CS17" s="1092"/>
    </row>
    <row r="18" spans="1:106" ht="17.100000000000001" customHeight="1" x14ac:dyDescent="0.25">
      <c r="B18" s="2276" t="s">
        <v>829</v>
      </c>
      <c r="C18" s="2276"/>
      <c r="D18" s="2276"/>
      <c r="E18" s="2276"/>
      <c r="F18" s="2276"/>
      <c r="G18" s="2277"/>
      <c r="H18" s="233"/>
      <c r="I18" s="233"/>
      <c r="J18" s="233"/>
      <c r="K18" s="233"/>
      <c r="L18" s="233"/>
      <c r="M18" s="233"/>
      <c r="R18" s="34"/>
    </row>
    <row r="19" spans="1:106" ht="15" customHeight="1" x14ac:dyDescent="0.25">
      <c r="B19" s="2296" t="s">
        <v>815</v>
      </c>
      <c r="C19" s="2290" t="s">
        <v>49</v>
      </c>
      <c r="D19" s="2291"/>
      <c r="E19" s="2292"/>
      <c r="F19" s="2288" t="s">
        <v>376</v>
      </c>
      <c r="G19" s="1989"/>
      <c r="H19" s="1989"/>
      <c r="I19" s="1989"/>
      <c r="J19" s="1989"/>
      <c r="K19" s="1989"/>
      <c r="L19" s="1989"/>
      <c r="M19" s="1989"/>
      <c r="N19" s="1989"/>
      <c r="O19" s="1989"/>
      <c r="P19" s="1989"/>
      <c r="Q19" s="1989"/>
      <c r="R19" s="1989"/>
      <c r="S19" s="1989"/>
      <c r="T19" s="1989"/>
      <c r="U19" s="1989"/>
      <c r="V19" s="1989"/>
      <c r="W19" s="1989"/>
      <c r="X19" s="1989"/>
      <c r="Y19" s="1989"/>
      <c r="Z19" s="1989"/>
      <c r="AA19" s="1989"/>
      <c r="AB19" s="1989"/>
      <c r="AC19" s="1989"/>
      <c r="AD19" s="1989"/>
      <c r="AE19" s="1989"/>
      <c r="AF19" s="1989"/>
      <c r="AG19" s="2289"/>
      <c r="AH19" s="1748" t="s">
        <v>624</v>
      </c>
      <c r="AI19" s="1753"/>
      <c r="AJ19" s="1749" t="s">
        <v>51</v>
      </c>
      <c r="AK19" s="1753" t="s">
        <v>108</v>
      </c>
      <c r="CC19" s="2053"/>
      <c r="CD19" s="2053"/>
      <c r="CE19" s="2053"/>
      <c r="CF19" s="2053"/>
      <c r="CG19" s="2053"/>
      <c r="CH19" s="2053"/>
      <c r="CI19" s="2053"/>
      <c r="CN19" s="2053"/>
      <c r="CO19" s="2053"/>
      <c r="CP19" s="2053"/>
      <c r="CQ19" s="2053"/>
      <c r="CR19" s="2053"/>
      <c r="CS19" s="2053"/>
      <c r="CT19" s="2053"/>
      <c r="CU19" s="2053"/>
      <c r="CV19" s="2053"/>
    </row>
    <row r="20" spans="1:106" ht="15" customHeight="1" x14ac:dyDescent="0.25">
      <c r="B20" s="2296"/>
      <c r="C20" s="2293"/>
      <c r="D20" s="2294"/>
      <c r="E20" s="2295"/>
      <c r="F20" s="1937" t="s">
        <v>57</v>
      </c>
      <c r="G20" s="1853"/>
      <c r="H20" s="1937" t="s">
        <v>58</v>
      </c>
      <c r="I20" s="1853"/>
      <c r="J20" s="1937" t="s">
        <v>59</v>
      </c>
      <c r="K20" s="1853"/>
      <c r="L20" s="2281" t="s">
        <v>60</v>
      </c>
      <c r="M20" s="2282"/>
      <c r="N20" s="2281" t="s">
        <v>61</v>
      </c>
      <c r="O20" s="2282"/>
      <c r="P20" s="2281" t="s">
        <v>62</v>
      </c>
      <c r="Q20" s="2282"/>
      <c r="R20" s="2281" t="s">
        <v>63</v>
      </c>
      <c r="S20" s="2282"/>
      <c r="T20" s="2281" t="s">
        <v>64</v>
      </c>
      <c r="U20" s="2282"/>
      <c r="V20" s="2281" t="s">
        <v>65</v>
      </c>
      <c r="W20" s="2282"/>
      <c r="X20" s="2281" t="s">
        <v>66</v>
      </c>
      <c r="Y20" s="2282"/>
      <c r="Z20" s="2281" t="s">
        <v>67</v>
      </c>
      <c r="AA20" s="2282"/>
      <c r="AB20" s="1937" t="s">
        <v>406</v>
      </c>
      <c r="AC20" s="1945"/>
      <c r="AD20" s="1937" t="s">
        <v>407</v>
      </c>
      <c r="AE20" s="1945"/>
      <c r="AF20" s="1937" t="s">
        <v>408</v>
      </c>
      <c r="AG20" s="2129"/>
      <c r="AH20" s="1750"/>
      <c r="AI20" s="1706"/>
      <c r="AJ20" s="2287"/>
      <c r="AK20" s="2286"/>
      <c r="CC20" s="2053"/>
      <c r="CD20" s="2053"/>
      <c r="CE20" s="2053"/>
      <c r="CF20" s="2053"/>
      <c r="CG20" s="2053"/>
      <c r="CH20" s="2053"/>
      <c r="CI20" s="2053"/>
      <c r="CN20" s="2053"/>
      <c r="CO20" s="2053"/>
      <c r="CP20" s="2053"/>
      <c r="CQ20" s="2053"/>
      <c r="CR20" s="2053"/>
      <c r="CS20" s="2053"/>
      <c r="CT20" s="2053"/>
      <c r="CU20" s="2053"/>
      <c r="CV20" s="2053"/>
      <c r="DB20" s="108" t="s">
        <v>830</v>
      </c>
    </row>
    <row r="21" spans="1:106" ht="15" customHeight="1" x14ac:dyDescent="0.25">
      <c r="B21" s="2296"/>
      <c r="C21" s="1493" t="s">
        <v>226</v>
      </c>
      <c r="D21" s="1300" t="s">
        <v>86</v>
      </c>
      <c r="E21" s="1301" t="s">
        <v>227</v>
      </c>
      <c r="F21" s="1240" t="s">
        <v>410</v>
      </c>
      <c r="G21" s="1090" t="s">
        <v>227</v>
      </c>
      <c r="H21" s="1240" t="s">
        <v>410</v>
      </c>
      <c r="I21" s="1090" t="s">
        <v>227</v>
      </c>
      <c r="J21" s="1240" t="s">
        <v>410</v>
      </c>
      <c r="K21" s="1090" t="s">
        <v>227</v>
      </c>
      <c r="L21" s="1240" t="s">
        <v>410</v>
      </c>
      <c r="M21" s="1090" t="s">
        <v>227</v>
      </c>
      <c r="N21" s="1240" t="s">
        <v>410</v>
      </c>
      <c r="O21" s="1090" t="s">
        <v>227</v>
      </c>
      <c r="P21" s="1240" t="s">
        <v>410</v>
      </c>
      <c r="Q21" s="1090" t="s">
        <v>227</v>
      </c>
      <c r="R21" s="1240" t="s">
        <v>410</v>
      </c>
      <c r="S21" s="1090" t="s">
        <v>227</v>
      </c>
      <c r="T21" s="1240" t="s">
        <v>410</v>
      </c>
      <c r="U21" s="1090" t="s">
        <v>227</v>
      </c>
      <c r="V21" s="1240" t="s">
        <v>410</v>
      </c>
      <c r="W21" s="1090" t="s">
        <v>227</v>
      </c>
      <c r="X21" s="1240" t="s">
        <v>410</v>
      </c>
      <c r="Y21" s="1090" t="s">
        <v>227</v>
      </c>
      <c r="Z21" s="1240" t="s">
        <v>410</v>
      </c>
      <c r="AA21" s="1090" t="s">
        <v>227</v>
      </c>
      <c r="AB21" s="1240" t="s">
        <v>410</v>
      </c>
      <c r="AC21" s="1090" t="s">
        <v>227</v>
      </c>
      <c r="AD21" s="1240" t="s">
        <v>410</v>
      </c>
      <c r="AE21" s="1090" t="s">
        <v>227</v>
      </c>
      <c r="AF21" s="1240" t="s">
        <v>410</v>
      </c>
      <c r="AG21" s="125" t="s">
        <v>227</v>
      </c>
      <c r="AH21" s="175" t="s">
        <v>625</v>
      </c>
      <c r="AI21" s="1090" t="s">
        <v>627</v>
      </c>
      <c r="AJ21" s="1751"/>
      <c r="AK21" s="1706"/>
      <c r="CC21" s="184"/>
      <c r="CD21" s="184"/>
      <c r="CE21" s="2053"/>
      <c r="CF21" s="2053"/>
      <c r="CG21" s="184"/>
      <c r="CH21" s="184"/>
      <c r="CI21" s="184"/>
      <c r="CN21" s="184"/>
      <c r="CO21" s="184"/>
      <c r="CP21" s="184"/>
      <c r="CQ21" s="184"/>
      <c r="CR21" s="2053"/>
      <c r="CS21" s="2053"/>
      <c r="CT21" s="184"/>
      <c r="CU21" s="184"/>
      <c r="CV21" s="184"/>
    </row>
    <row r="22" spans="1:106" ht="15" customHeight="1" x14ac:dyDescent="0.25">
      <c r="A22" s="1620" t="s">
        <v>1516</v>
      </c>
      <c r="B22" s="1533" t="s">
        <v>831</v>
      </c>
      <c r="C22" s="1534" t="s">
        <v>1616</v>
      </c>
      <c r="D22" s="1535" t="s">
        <v>1617</v>
      </c>
      <c r="E22" s="1222" t="s">
        <v>1618</v>
      </c>
      <c r="F22" s="1628" t="s">
        <v>1619</v>
      </c>
      <c r="G22" s="1629" t="s">
        <v>1620</v>
      </c>
      <c r="H22" s="1628" t="s">
        <v>1621</v>
      </c>
      <c r="I22" s="1629" t="s">
        <v>1622</v>
      </c>
      <c r="J22" s="1628" t="s">
        <v>1623</v>
      </c>
      <c r="K22" s="1629" t="s">
        <v>1624</v>
      </c>
      <c r="L22" s="1628" t="s">
        <v>1625</v>
      </c>
      <c r="M22" s="1629" t="s">
        <v>1626</v>
      </c>
      <c r="N22" s="1628" t="s">
        <v>1627</v>
      </c>
      <c r="O22" s="1629" t="s">
        <v>1628</v>
      </c>
      <c r="P22" s="1628" t="s">
        <v>1629</v>
      </c>
      <c r="Q22" s="1629" t="s">
        <v>1630</v>
      </c>
      <c r="R22" s="1628" t="s">
        <v>1631</v>
      </c>
      <c r="S22" s="1629" t="s">
        <v>1632</v>
      </c>
      <c r="T22" s="1628" t="s">
        <v>1633</v>
      </c>
      <c r="U22" s="1629" t="s">
        <v>1634</v>
      </c>
      <c r="V22" s="1628" t="s">
        <v>1635</v>
      </c>
      <c r="W22" s="1629" t="s">
        <v>1636</v>
      </c>
      <c r="X22" s="1628" t="s">
        <v>1637</v>
      </c>
      <c r="Y22" s="1629" t="s">
        <v>1638</v>
      </c>
      <c r="Z22" s="1628" t="s">
        <v>1639</v>
      </c>
      <c r="AA22" s="1629" t="s">
        <v>1640</v>
      </c>
      <c r="AB22" s="1628" t="s">
        <v>1641</v>
      </c>
      <c r="AC22" s="1629" t="s">
        <v>1642</v>
      </c>
      <c r="AD22" s="1628" t="s">
        <v>1643</v>
      </c>
      <c r="AE22" s="1629" t="s">
        <v>1644</v>
      </c>
      <c r="AF22" s="1628" t="s">
        <v>1645</v>
      </c>
      <c r="AG22" s="1630" t="s">
        <v>1646</v>
      </c>
      <c r="AH22" s="1631" t="s">
        <v>1647</v>
      </c>
      <c r="AI22" s="1632" t="s">
        <v>1648</v>
      </c>
      <c r="AJ22" s="1629" t="s">
        <v>1649</v>
      </c>
      <c r="AK22" s="1632" t="s">
        <v>1650</v>
      </c>
      <c r="AL22" s="187" t="str">
        <f>CC22&amp;CD22&amp;CE22&amp;CF22&amp;CG22&amp;CB22</f>
        <v xml:space="preserve"> * La variable Trans Femenino no debe ser mayor al Total Hombres. * La variable Pueblos Originarios no puede ser Mayor al Total Ambos Sexos. * La variable Migrantes no puede ser Mayor al Total Ambos Sexos. * La variable Trans Masculino no debe ser mayor al Total Mujeres.</v>
      </c>
      <c r="CB22" s="191" t="str">
        <f>IF(AND($E22&gt;0,OR($AH22=""))," * No olvide digitar la variable Trans Masculino. Digite Cero si no tiene.",IF($AH22&gt;$E22," * La variable Trans Masculino no debe ser mayor al Total Mujeres.",""))</f>
        <v xml:space="preserve"> * La variable Trans Masculino no debe ser mayor al Total Mujeres.</v>
      </c>
      <c r="CC22" s="191" t="str">
        <f>IF(AND($D22&gt;0,OR($AI22=""))," * No olvide digitar la variable Trans Femenino. Digite Cero si no tiene.",IF($AI22&gt;$D22," * La variable Trans Femenino no debe ser mayor al Total Hombres.",""))</f>
        <v xml:space="preserve"> * La variable Trans Femenino no debe ser mayor al Total Hombres.</v>
      </c>
      <c r="CD22" s="191" t="str">
        <f>IF(AND($C22&gt;0,OR($AJ22=""))," * No olvide digitar la variable Pueblos Originarios. Digite Cero si no tiene.",IF($AJ22&gt;$C22," * La variable Pueblos Originarios no puede ser Mayor al Total Ambos Sexos.",""))</f>
        <v xml:space="preserve"> * La variable Pueblos Originarios no puede ser Mayor al Total Ambos Sexos.</v>
      </c>
      <c r="CE22" s="191" t="str">
        <f>IF(AND($C22&gt;0,OR($AK22=""))," * No olvide digitar la variable Migrantes. Digite Cero si no tiene.",IF($AK22&gt;$C22," * La variable Migrantes no puede ser Mayor al Total Ambos Sexos.",""))</f>
        <v xml:space="preserve"> * La variable Migrantes no puede ser Mayor al Total Ambos Sexos.</v>
      </c>
      <c r="CF22" s="36"/>
      <c r="CK22" s="36"/>
      <c r="CM22" s="1047">
        <f>IF(AND($G22&gt;0,OR($AH22="")),1,IF($AH22&gt;$G22,1,0))</f>
        <v>1</v>
      </c>
      <c r="CN22" s="1047">
        <f>IF(AND($F22&gt;0,OR($AI22="")),1,IF($AI22&gt;$F22,1,0))</f>
        <v>1</v>
      </c>
      <c r="CO22" s="1047">
        <f>IF(AND($C22&gt;0,OR($AJ22="")),1,IF($AJ22&gt;C22,1,0))</f>
        <v>1</v>
      </c>
      <c r="CP22" s="1047">
        <f>IF(AND($C22&gt;0,OR($AK22="")),1,IF($AK22&gt;$C22,1,0))</f>
        <v>1</v>
      </c>
      <c r="CS22" s="36"/>
    </row>
    <row r="23" spans="1:106" x14ac:dyDescent="0.25">
      <c r="CK23" s="36"/>
      <c r="CL23" s="36"/>
      <c r="CM23" s="36"/>
      <c r="CN23" s="36"/>
      <c r="CO23" s="36"/>
      <c r="CP23" s="36"/>
    </row>
    <row r="24" spans="1:106" x14ac:dyDescent="0.25">
      <c r="R24" s="34"/>
      <c r="CK24" s="36"/>
      <c r="CL24" s="36"/>
      <c r="CM24" s="36"/>
      <c r="CN24" s="36"/>
      <c r="CO24" s="36"/>
      <c r="CP24" s="36"/>
    </row>
    <row r="25" spans="1:106" x14ac:dyDescent="0.25">
      <c r="CK25" s="36"/>
      <c r="CL25" s="36"/>
      <c r="CM25" s="36"/>
    </row>
    <row r="26" spans="1:106" x14ac:dyDescent="0.25">
      <c r="CK26" s="36"/>
      <c r="CL26" s="36"/>
      <c r="CM26" s="36"/>
    </row>
    <row r="27" spans="1:106" x14ac:dyDescent="0.25">
      <c r="CK27" s="36"/>
      <c r="CL27" s="36"/>
      <c r="CM27" s="36"/>
    </row>
    <row r="28" spans="1:106" x14ac:dyDescent="0.25">
      <c r="CK28" s="36"/>
      <c r="CL28" s="36"/>
    </row>
    <row r="29" spans="1:106" x14ac:dyDescent="0.25">
      <c r="CK29" s="36"/>
      <c r="CL29" s="36"/>
    </row>
    <row r="30" spans="1:106" x14ac:dyDescent="0.25">
      <c r="CK30" s="36"/>
    </row>
    <row r="33" spans="2:79" ht="14.45" hidden="1" customHeight="1" x14ac:dyDescent="0.15">
      <c r="B33" s="1484">
        <f>SUM(E12:E17,C22)</f>
        <v>0</v>
      </c>
      <c r="C33" s="189" t="s">
        <v>206</v>
      </c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</row>
    <row r="34" spans="2:79" ht="14.45" hidden="1" customHeight="1" x14ac:dyDescent="0.25">
      <c r="B34" s="1484">
        <f>SUM(CM12:CR22)</f>
        <v>37</v>
      </c>
      <c r="C34" s="189" t="s">
        <v>207</v>
      </c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</row>
    <row r="38" spans="2:79" ht="12" customHeight="1" x14ac:dyDescent="0.25"/>
  </sheetData>
  <mergeCells count="86">
    <mergeCell ref="CW9:CW10"/>
    <mergeCell ref="CK9:CK10"/>
    <mergeCell ref="CG9:CG11"/>
    <mergeCell ref="CL9:CL10"/>
    <mergeCell ref="CR9:CR11"/>
    <mergeCell ref="CV9:CV10"/>
    <mergeCell ref="B16:B17"/>
    <mergeCell ref="CU9:CU10"/>
    <mergeCell ref="CF9:CF11"/>
    <mergeCell ref="CQ9:CQ11"/>
    <mergeCell ref="CT9:CT10"/>
    <mergeCell ref="CB9:CC10"/>
    <mergeCell ref="CD9:CD11"/>
    <mergeCell ref="CE9:CE11"/>
    <mergeCell ref="CH9:CH10"/>
    <mergeCell ref="CS9:CS10"/>
    <mergeCell ref="CJ9:CJ10"/>
    <mergeCell ref="CI9:CI10"/>
    <mergeCell ref="CM9:CN10"/>
    <mergeCell ref="B12:B15"/>
    <mergeCell ref="C12:C13"/>
    <mergeCell ref="B9:D11"/>
    <mergeCell ref="L10:M10"/>
    <mergeCell ref="N10:O10"/>
    <mergeCell ref="Z10:AA10"/>
    <mergeCell ref="T10:U10"/>
    <mergeCell ref="X10:Y10"/>
    <mergeCell ref="V10:W10"/>
    <mergeCell ref="P10:Q10"/>
    <mergeCell ref="R10:S10"/>
    <mergeCell ref="E9:G10"/>
    <mergeCell ref="B19:B21"/>
    <mergeCell ref="C19:E20"/>
    <mergeCell ref="F19:AG19"/>
    <mergeCell ref="F20:G20"/>
    <mergeCell ref="H20:I20"/>
    <mergeCell ref="L20:M20"/>
    <mergeCell ref="N20:O20"/>
    <mergeCell ref="P20:Q20"/>
    <mergeCell ref="J20:K20"/>
    <mergeCell ref="T20:U20"/>
    <mergeCell ref="X20:Y20"/>
    <mergeCell ref="AF20:AG20"/>
    <mergeCell ref="C14:C15"/>
    <mergeCell ref="AD20:AE20"/>
    <mergeCell ref="H10:I10"/>
    <mergeCell ref="AD10:AE10"/>
    <mergeCell ref="AF10:AG10"/>
    <mergeCell ref="AW9:AW11"/>
    <mergeCell ref="AK19:AK21"/>
    <mergeCell ref="AJ19:AJ21"/>
    <mergeCell ref="AV9:AV11"/>
    <mergeCell ref="AR10:AS10"/>
    <mergeCell ref="AP10:AQ10"/>
    <mergeCell ref="AT9:AU10"/>
    <mergeCell ref="AH19:AI20"/>
    <mergeCell ref="H9:AS9"/>
    <mergeCell ref="AL10:AM10"/>
    <mergeCell ref="AN10:AO10"/>
    <mergeCell ref="AJ10:AK10"/>
    <mergeCell ref="AB10:AC10"/>
    <mergeCell ref="J10:K10"/>
    <mergeCell ref="CV19:CV20"/>
    <mergeCell ref="CO9:CO11"/>
    <mergeCell ref="CP9:CP11"/>
    <mergeCell ref="CH19:CH20"/>
    <mergeCell ref="CI19:CI20"/>
    <mergeCell ref="CN19:CQ20"/>
    <mergeCell ref="CR19:CR21"/>
    <mergeCell ref="CS19:CS21"/>
    <mergeCell ref="B7:AC7"/>
    <mergeCell ref="B18:G18"/>
    <mergeCell ref="B8:K8"/>
    <mergeCell ref="CT19:CT20"/>
    <mergeCell ref="CU19:CU20"/>
    <mergeCell ref="CC19:CD20"/>
    <mergeCell ref="CE19:CE21"/>
    <mergeCell ref="CF19:CF21"/>
    <mergeCell ref="CG19:CG20"/>
    <mergeCell ref="AY9:AY11"/>
    <mergeCell ref="V20:W20"/>
    <mergeCell ref="R20:S20"/>
    <mergeCell ref="Z20:AA20"/>
    <mergeCell ref="AB20:AC20"/>
    <mergeCell ref="AX9:AX11"/>
    <mergeCell ref="AH10:AI10"/>
  </mergeCells>
  <phoneticPr fontId="25" type="noConversion"/>
  <dataValidations count="1">
    <dataValidation type="whole" operator="greaterThanOrEqual" allowBlank="1" showInputMessage="1" showErrorMessage="1" sqref="H12:AY17 F22:AK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5" max="20" man="1"/>
    <brk id="31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N130"/>
  <sheetViews>
    <sheetView showGridLines="0" zoomScaleNormal="100" workbookViewId="0"/>
  </sheetViews>
  <sheetFormatPr baseColWidth="10" defaultColWidth="11.42578125" defaultRowHeight="15" x14ac:dyDescent="0.25"/>
  <cols>
    <col min="1" max="1" width="18.28515625" style="127" customWidth="1"/>
    <col min="2" max="2" width="23.85546875" style="132" customWidth="1"/>
    <col min="3" max="4" width="20.7109375" style="132" customWidth="1"/>
    <col min="5" max="11" width="18" style="132" customWidth="1"/>
    <col min="12" max="12" width="18" style="127" customWidth="1"/>
    <col min="13" max="13" width="18.5703125" style="127" customWidth="1"/>
    <col min="14" max="14" width="14.7109375" style="180" customWidth="1"/>
    <col min="15" max="26" width="10.140625" style="180" customWidth="1"/>
    <col min="27" max="27" width="12.85546875" style="180" customWidth="1"/>
    <col min="28" max="29" width="12.85546875" style="127" customWidth="1"/>
    <col min="30" max="31" width="11.42578125" style="606" customWidth="1"/>
    <col min="32" max="43" width="12.85546875" style="127" customWidth="1"/>
    <col min="44" max="47" width="11.42578125" style="127" customWidth="1"/>
    <col min="48" max="57" width="11.42578125" style="127" hidden="1" customWidth="1"/>
    <col min="58" max="16384" width="11.42578125" style="127"/>
  </cols>
  <sheetData>
    <row r="1" spans="1:118" s="34" customFormat="1" ht="13.5" customHeight="1" x14ac:dyDescent="0.15">
      <c r="B1" s="33" t="s">
        <v>0</v>
      </c>
    </row>
    <row r="2" spans="1:118" s="34" customFormat="1" ht="13.5" customHeight="1" x14ac:dyDescent="0.15">
      <c r="B2" s="33" t="str">
        <f>CONCATENATE("COMUNA: ",NOMBRE!$B$2,"   ","( ",NOMBRE!$C$2,NOMBRE!$D$2,NOMBRE!$E$2,NOMBRE!$F$2,NOMBRE!$G$2," )")</f>
        <v>COMUNA:    (  )</v>
      </c>
    </row>
    <row r="3" spans="1:118" s="34" customFormat="1" ht="13.5" customHeight="1" x14ac:dyDescent="0.15">
      <c r="B3" s="33" t="str">
        <f>CONCATENATE("ESTABLECIMIENTO/ESTRATEGIA: ",NOMBRE!$B$3,"   ","( ",NOMBRE!$C$3,NOMBRE!$D$3,NOMBRE!$E$3,NOMBRE!$F$3,NOMBRE!$G$3,NOMBRE!$H$3," )")</f>
        <v>ESTABLECIMIENTO/ESTRATEGIA:    (  )</v>
      </c>
      <c r="E3" s="83"/>
    </row>
    <row r="4" spans="1:118" s="34" customFormat="1" ht="13.5" customHeight="1" x14ac:dyDescent="0.15">
      <c r="B4" s="33" t="str">
        <f>CONCATENATE("MES: ",NOMBRE!$B$6,"   ","( ",NOMBRE!$C$6,NOMBRE!$D$6," )")</f>
        <v>MES:    (  )</v>
      </c>
    </row>
    <row r="5" spans="1:118" s="34" customFormat="1" ht="13.5" customHeight="1" x14ac:dyDescent="0.15">
      <c r="B5" s="33" t="str">
        <f>CONCATENATE("AÑO: ",NOMBRE!$B$7)</f>
        <v>AÑO: 2025</v>
      </c>
      <c r="O5" s="2311"/>
      <c r="P5" s="2311"/>
      <c r="Q5" s="968"/>
      <c r="R5" s="968"/>
      <c r="S5" s="968"/>
      <c r="T5" s="968"/>
      <c r="U5" s="968"/>
      <c r="V5" s="968"/>
      <c r="W5" s="968"/>
      <c r="X5" s="968"/>
      <c r="Y5" s="968"/>
      <c r="Z5" s="968"/>
      <c r="AA5" s="968"/>
      <c r="AB5" s="968"/>
      <c r="AC5" s="968"/>
      <c r="AF5" s="968"/>
      <c r="AG5" s="968"/>
      <c r="AH5" s="968"/>
      <c r="AI5" s="968"/>
      <c r="AJ5" s="968"/>
      <c r="AK5" s="968"/>
      <c r="AL5" s="968"/>
      <c r="AM5" s="968"/>
      <c r="AN5" s="968"/>
      <c r="AO5" s="967"/>
    </row>
    <row r="6" spans="1:118" s="34" customFormat="1" ht="15" customHeight="1" x14ac:dyDescent="0.15">
      <c r="B6" s="82"/>
      <c r="O6" s="967"/>
      <c r="P6" s="967"/>
      <c r="Q6" s="967"/>
      <c r="R6" s="967"/>
      <c r="S6" s="967"/>
      <c r="T6" s="967"/>
      <c r="U6" s="967"/>
      <c r="V6" s="967"/>
      <c r="W6" s="967"/>
      <c r="X6" s="967"/>
      <c r="Y6" s="967"/>
      <c r="Z6" s="967"/>
      <c r="AA6" s="967"/>
      <c r="AB6" s="967"/>
      <c r="AC6" s="967"/>
      <c r="AF6" s="967"/>
      <c r="AG6" s="967"/>
      <c r="AH6" s="967"/>
      <c r="AI6" s="967"/>
      <c r="AJ6" s="967"/>
      <c r="AK6" s="967"/>
      <c r="AL6" s="967"/>
      <c r="AM6" s="967"/>
      <c r="AN6" s="967"/>
      <c r="AO6" s="967"/>
    </row>
    <row r="7" spans="1:118" s="34" customFormat="1" ht="32.25" customHeight="1" x14ac:dyDescent="0.15">
      <c r="B7" s="2315" t="s">
        <v>832</v>
      </c>
      <c r="C7" s="2315"/>
      <c r="D7" s="2315"/>
      <c r="E7" s="2315"/>
      <c r="F7" s="2315"/>
      <c r="G7" s="2315"/>
      <c r="H7" s="2315"/>
      <c r="I7" s="1359"/>
      <c r="J7" s="1359"/>
      <c r="K7" s="1359"/>
      <c r="O7" s="967"/>
      <c r="P7" s="967"/>
      <c r="Q7" s="967"/>
      <c r="R7" s="967"/>
      <c r="S7" s="967"/>
      <c r="T7" s="967"/>
      <c r="U7" s="967"/>
      <c r="V7" s="967"/>
      <c r="W7" s="967"/>
      <c r="X7" s="967"/>
      <c r="Y7" s="967"/>
      <c r="Z7" s="967"/>
      <c r="AA7" s="967"/>
      <c r="AB7" s="967"/>
      <c r="AC7" s="967"/>
      <c r="AF7" s="967"/>
      <c r="AG7" s="967"/>
      <c r="AH7" s="967"/>
      <c r="AI7" s="967"/>
      <c r="AJ7" s="967"/>
      <c r="AK7" s="967"/>
      <c r="AL7" s="967"/>
      <c r="AM7" s="967"/>
      <c r="AN7" s="967"/>
      <c r="AO7" s="967"/>
    </row>
    <row r="8" spans="1:118" ht="15" customHeight="1" x14ac:dyDescent="0.25">
      <c r="B8" s="2313" t="s">
        <v>833</v>
      </c>
      <c r="C8" s="2313"/>
      <c r="D8" s="2313"/>
      <c r="E8" s="1358"/>
      <c r="F8" s="1358"/>
      <c r="G8" s="1358"/>
      <c r="H8" s="1358"/>
      <c r="I8" s="1358"/>
      <c r="J8" s="1359"/>
      <c r="K8" s="1359"/>
      <c r="L8" s="1359"/>
      <c r="M8" s="969"/>
      <c r="N8" s="969"/>
      <c r="O8" s="969"/>
      <c r="P8" s="969"/>
      <c r="Q8" s="969"/>
      <c r="R8" s="969"/>
      <c r="S8" s="969"/>
      <c r="T8" s="969"/>
      <c r="U8" s="969"/>
      <c r="V8" s="969"/>
      <c r="W8" s="969"/>
      <c r="X8" s="969"/>
      <c r="Y8" s="969"/>
      <c r="Z8" s="969"/>
      <c r="AA8" s="969"/>
      <c r="AB8" s="969"/>
      <c r="AC8" s="969"/>
      <c r="AF8" s="969"/>
      <c r="AG8" s="969"/>
      <c r="AH8" s="969"/>
      <c r="AI8" s="969"/>
      <c r="AJ8" s="969"/>
      <c r="AK8" s="969"/>
      <c r="AL8" s="969"/>
      <c r="AM8" s="969"/>
      <c r="AN8" s="969"/>
      <c r="AO8" s="126"/>
    </row>
    <row r="9" spans="1:118" s="985" customFormat="1" ht="15" customHeight="1" x14ac:dyDescent="0.25">
      <c r="B9" s="2314" t="s">
        <v>834</v>
      </c>
      <c r="C9" s="2314"/>
      <c r="D9" s="2314"/>
      <c r="E9" s="1358"/>
      <c r="F9" s="1358"/>
      <c r="G9" s="1358"/>
      <c r="H9" s="1358"/>
      <c r="I9" s="1358"/>
      <c r="J9" s="983"/>
      <c r="K9" s="983"/>
      <c r="L9" s="984"/>
      <c r="M9" s="984"/>
      <c r="N9" s="984"/>
      <c r="AD9" s="806"/>
      <c r="AE9" s="806"/>
    </row>
    <row r="10" spans="1:118" ht="61.5" customHeight="1" x14ac:dyDescent="0.25">
      <c r="B10" s="1302" t="s">
        <v>835</v>
      </c>
      <c r="C10" s="1537" t="s">
        <v>836</v>
      </c>
      <c r="D10" s="1565" t="s">
        <v>837</v>
      </c>
      <c r="E10" s="1626" t="s">
        <v>51</v>
      </c>
      <c r="F10" s="1627" t="s">
        <v>108</v>
      </c>
      <c r="G10" s="127"/>
      <c r="H10" s="127"/>
      <c r="I10" s="127"/>
      <c r="J10" s="127"/>
      <c r="K10" s="127"/>
      <c r="N10" s="127"/>
      <c r="O10" s="127"/>
      <c r="P10" s="127"/>
      <c r="Q10" s="127"/>
      <c r="R10" s="127"/>
      <c r="S10" s="127"/>
      <c r="T10" s="127"/>
      <c r="U10" s="127"/>
      <c r="V10" s="127"/>
      <c r="W10" s="127"/>
      <c r="X10" s="127"/>
      <c r="Y10" s="127"/>
      <c r="Z10" s="127"/>
      <c r="AA10" s="127"/>
    </row>
    <row r="11" spans="1:118" s="129" customFormat="1" ht="15" customHeight="1" x14ac:dyDescent="0.2">
      <c r="A11" s="1585" t="s">
        <v>1517</v>
      </c>
      <c r="B11" s="1127" t="s">
        <v>838</v>
      </c>
      <c r="C11" s="1362" t="s">
        <v>1616</v>
      </c>
      <c r="D11" s="1122" t="s">
        <v>1617</v>
      </c>
      <c r="E11" s="1360" t="s">
        <v>1618</v>
      </c>
      <c r="F11" s="1360" t="s">
        <v>1619</v>
      </c>
      <c r="G11" s="36" t="e">
        <f>AV11&amp;AW11</f>
        <v>#VALUE!</v>
      </c>
      <c r="H11" s="86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08"/>
      <c r="AC11" s="108"/>
      <c r="AD11" s="108"/>
      <c r="AE11" s="108"/>
      <c r="AF11" s="108"/>
      <c r="AG11" s="108"/>
      <c r="AH11" s="108"/>
      <c r="AI11" s="108"/>
      <c r="AJ11" s="108"/>
      <c r="AK11" s="108"/>
      <c r="AL11" s="108"/>
      <c r="AM11" s="108"/>
      <c r="AN11" s="108"/>
      <c r="AO11" s="108"/>
      <c r="AP11" s="108"/>
      <c r="AQ11" s="108"/>
      <c r="AR11" s="108"/>
      <c r="AS11" s="108"/>
      <c r="AT11" s="108"/>
      <c r="AU11" s="108"/>
      <c r="AV11" s="191" t="e">
        <f>IF(AND(C11+D11&gt;0,OR(E11=""))," * No olvide digitar la variable Pueblos Originarios. Digite Cero si no tiene.",IF(E11&gt;C11+D11," * La variable Pueblos Originarios no puede ser Mayor a la suma de Mujeres +Trans con Tamizaje Vigente.",""))</f>
        <v>#VALUE!</v>
      </c>
      <c r="AW11" s="191" t="e">
        <f>IF(AND(C11+D11&gt;0,OR(F11=""))," * No olvide digitar la variable Migrantes. Digite Cero si no tiene.",IF(F11&gt;C11+D11," * La variable Migrantes no puede ser Mayor a la suma de Mujeres +Trans con Tamizaje Vigente.",""))</f>
        <v>#VALUE!</v>
      </c>
      <c r="AX11" s="108"/>
      <c r="AY11" s="108"/>
      <c r="AZ11" s="108"/>
      <c r="BA11" s="108"/>
      <c r="BB11" s="108"/>
      <c r="BC11" s="108"/>
      <c r="BD11" s="1047" t="e">
        <f>IF(AND($C11+$D11&gt;0,OR(E11="")),1,IF(E11&gt;$C11+$D11,1,0))</f>
        <v>#VALUE!</v>
      </c>
      <c r="BE11" s="1047" t="e">
        <f>IF(AND($C11+$D11&gt;0,OR(F11="")),1,IF(F11&gt;$C11+$D11,1,0))</f>
        <v>#VALUE!</v>
      </c>
      <c r="BF11" s="108"/>
      <c r="BG11" s="108"/>
      <c r="BH11" s="108"/>
      <c r="BI11" s="108"/>
      <c r="BJ11" s="108"/>
      <c r="BK11" s="108"/>
      <c r="BL11" s="108"/>
      <c r="BM11" s="108"/>
      <c r="BN11" s="108"/>
      <c r="BO11" s="108"/>
      <c r="BP11" s="108"/>
      <c r="BQ11" s="108"/>
      <c r="BR11" s="108"/>
      <c r="BS11" s="108"/>
      <c r="BT11" s="108"/>
      <c r="BU11" s="108"/>
      <c r="BV11" s="108"/>
      <c r="BW11" s="108"/>
      <c r="BX11" s="108"/>
      <c r="BY11" s="108"/>
      <c r="BZ11" s="108"/>
      <c r="CA11" s="108"/>
      <c r="CB11" s="108"/>
      <c r="CC11" s="108"/>
      <c r="CD11" s="108"/>
      <c r="CE11" s="108"/>
      <c r="CH11" s="1047" t="e">
        <f t="shared" ref="CH11" si="0">IF(AND(#REF!&gt;0,OR(E11="")),1,IF(E11&gt;#REF!,1,0))</f>
        <v>#REF!</v>
      </c>
      <c r="CI11" s="1047" t="e">
        <f t="shared" ref="CI11" si="1">IF(AND(#REF!&gt;0,OR(F11="")),1,IF(F11&gt;#REF!,1,0))</f>
        <v>#REF!</v>
      </c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</row>
    <row r="12" spans="1:118" s="129" customFormat="1" ht="15" customHeight="1" x14ac:dyDescent="0.2">
      <c r="A12" s="1585" t="s">
        <v>1518</v>
      </c>
      <c r="B12" s="1118" t="s">
        <v>839</v>
      </c>
      <c r="C12" s="1362" t="s">
        <v>1616</v>
      </c>
      <c r="D12" s="1122" t="s">
        <v>1617</v>
      </c>
      <c r="E12" s="1360" t="s">
        <v>1618</v>
      </c>
      <c r="F12" s="1360" t="s">
        <v>1619</v>
      </c>
      <c r="G12" s="36" t="e">
        <f t="shared" ref="G12:G23" si="2">AV12&amp;AW12</f>
        <v>#VALUE!</v>
      </c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970"/>
      <c r="AV12" s="191" t="e">
        <f t="shared" ref="AV12:AV23" si="3">IF(AND(C12+D12&gt;0,OR(E12=""))," * No olvide digitar la variable Pueblos Originarios. Digite Cero si no tiene.",IF(E12&gt;C12+D12," * La variable Pueblos Originarios no puede ser Mayor a la suma de Mujeres +Trans con Tamizaje Vigente.",""))</f>
        <v>#VALUE!</v>
      </c>
      <c r="AW12" s="191" t="e">
        <f t="shared" ref="AW12:AW23" si="4">IF(AND(C12+D12&gt;0,OR(F12=""))," * No olvide digitar la variable Migrantes. Digite Cero si no tiene.",IF(F12&gt;C12+D12," * La variable Migrantes no puede ser Mayor a la suma de Mujeres +Trans con Tamizaje Vigente.",""))</f>
        <v>#VALUE!</v>
      </c>
      <c r="BC12" s="130"/>
      <c r="BD12" s="1047" t="e">
        <f t="shared" ref="BD12:BD23" si="5">IF(AND($C12+$D12&gt;0,OR(E12="")),1,IF(E12&gt;$C12+$D12,1,0))</f>
        <v>#VALUE!</v>
      </c>
      <c r="BE12" s="1047" t="e">
        <f t="shared" ref="BE12:BE23" si="6">IF(AND($C12+$D12&gt;0,OR(F12="")),1,IF(F12&gt;$C12+$D12,1,0))</f>
        <v>#VALUE!</v>
      </c>
    </row>
    <row r="13" spans="1:118" ht="15" customHeight="1" x14ac:dyDescent="0.25">
      <c r="A13" s="1585" t="s">
        <v>1519</v>
      </c>
      <c r="B13" s="1118" t="s">
        <v>60</v>
      </c>
      <c r="C13" s="1362" t="s">
        <v>1616</v>
      </c>
      <c r="D13" s="1122" t="s">
        <v>1617</v>
      </c>
      <c r="E13" s="1360" t="s">
        <v>1618</v>
      </c>
      <c r="F13" s="1360" t="s">
        <v>1619</v>
      </c>
      <c r="G13" s="36" t="e">
        <f t="shared" si="2"/>
        <v>#VALUE!</v>
      </c>
      <c r="H13" s="127"/>
      <c r="I13" s="127"/>
      <c r="J13" s="127"/>
      <c r="K13" s="127"/>
      <c r="AB13" s="970"/>
      <c r="AF13" s="129"/>
      <c r="AV13" s="191" t="e">
        <f t="shared" si="3"/>
        <v>#VALUE!</v>
      </c>
      <c r="AW13" s="191" t="e">
        <f t="shared" si="4"/>
        <v>#VALUE!</v>
      </c>
      <c r="BC13" s="128"/>
      <c r="BD13" s="1047" t="e">
        <f t="shared" si="5"/>
        <v>#VALUE!</v>
      </c>
      <c r="BE13" s="1047" t="e">
        <f t="shared" si="6"/>
        <v>#VALUE!</v>
      </c>
    </row>
    <row r="14" spans="1:118" ht="15" customHeight="1" x14ac:dyDescent="0.25">
      <c r="A14" s="1585" t="s">
        <v>1520</v>
      </c>
      <c r="B14" s="1118" t="s">
        <v>61</v>
      </c>
      <c r="C14" s="1362" t="s">
        <v>1616</v>
      </c>
      <c r="D14" s="1122" t="s">
        <v>1617</v>
      </c>
      <c r="E14" s="1360" t="s">
        <v>1618</v>
      </c>
      <c r="F14" s="1360" t="s">
        <v>1619</v>
      </c>
      <c r="G14" s="36" t="e">
        <f t="shared" si="2"/>
        <v>#VALUE!</v>
      </c>
      <c r="H14" s="127"/>
      <c r="I14" s="127"/>
      <c r="J14" s="127"/>
      <c r="K14" s="127"/>
      <c r="AB14" s="970"/>
      <c r="AF14" s="129"/>
      <c r="AV14" s="191" t="e">
        <f t="shared" si="3"/>
        <v>#VALUE!</v>
      </c>
      <c r="AW14" s="191" t="e">
        <f t="shared" si="4"/>
        <v>#VALUE!</v>
      </c>
      <c r="BC14" s="128"/>
      <c r="BD14" s="1047" t="e">
        <f t="shared" si="5"/>
        <v>#VALUE!</v>
      </c>
      <c r="BE14" s="1047" t="e">
        <f t="shared" si="6"/>
        <v>#VALUE!</v>
      </c>
    </row>
    <row r="15" spans="1:118" ht="15" customHeight="1" x14ac:dyDescent="0.25">
      <c r="A15" s="1585" t="s">
        <v>1521</v>
      </c>
      <c r="B15" s="1118" t="s">
        <v>62</v>
      </c>
      <c r="C15" s="1362" t="s">
        <v>1616</v>
      </c>
      <c r="D15" s="1122" t="s">
        <v>1617</v>
      </c>
      <c r="E15" s="1360" t="s">
        <v>1618</v>
      </c>
      <c r="F15" s="1360" t="s">
        <v>1619</v>
      </c>
      <c r="G15" s="36" t="e">
        <f t="shared" si="2"/>
        <v>#VALUE!</v>
      </c>
      <c r="H15" s="127"/>
      <c r="I15" s="127"/>
      <c r="J15" s="127"/>
      <c r="K15" s="127"/>
      <c r="AB15" s="970"/>
      <c r="AF15" s="129"/>
      <c r="AV15" s="191" t="e">
        <f t="shared" si="3"/>
        <v>#VALUE!</v>
      </c>
      <c r="AW15" s="191" t="e">
        <f t="shared" si="4"/>
        <v>#VALUE!</v>
      </c>
      <c r="BC15" s="128"/>
      <c r="BD15" s="1047" t="e">
        <f t="shared" si="5"/>
        <v>#VALUE!</v>
      </c>
      <c r="BE15" s="1047" t="e">
        <f t="shared" si="6"/>
        <v>#VALUE!</v>
      </c>
    </row>
    <row r="16" spans="1:118" ht="15" customHeight="1" x14ac:dyDescent="0.25">
      <c r="A16" s="1585" t="s">
        <v>1522</v>
      </c>
      <c r="B16" s="1118" t="s">
        <v>63</v>
      </c>
      <c r="C16" s="1362" t="s">
        <v>1616</v>
      </c>
      <c r="D16" s="1122" t="s">
        <v>1617</v>
      </c>
      <c r="E16" s="1360" t="s">
        <v>1618</v>
      </c>
      <c r="F16" s="1360" t="s">
        <v>1619</v>
      </c>
      <c r="G16" s="36" t="e">
        <f t="shared" si="2"/>
        <v>#VALUE!</v>
      </c>
      <c r="H16" s="127"/>
      <c r="I16" s="127"/>
      <c r="J16" s="127"/>
      <c r="K16" s="127"/>
      <c r="AB16" s="970"/>
      <c r="AF16" s="129"/>
      <c r="AV16" s="191" t="e">
        <f t="shared" si="3"/>
        <v>#VALUE!</v>
      </c>
      <c r="AW16" s="191" t="e">
        <f t="shared" si="4"/>
        <v>#VALUE!</v>
      </c>
      <c r="BC16" s="128"/>
      <c r="BD16" s="1047" t="e">
        <f t="shared" si="5"/>
        <v>#VALUE!</v>
      </c>
      <c r="BE16" s="1047" t="e">
        <f t="shared" si="6"/>
        <v>#VALUE!</v>
      </c>
    </row>
    <row r="17" spans="1:57" ht="15" customHeight="1" x14ac:dyDescent="0.25">
      <c r="A17" s="1585" t="s">
        <v>1523</v>
      </c>
      <c r="B17" s="1118" t="s">
        <v>64</v>
      </c>
      <c r="C17" s="1362" t="s">
        <v>1616</v>
      </c>
      <c r="D17" s="1122" t="s">
        <v>1617</v>
      </c>
      <c r="E17" s="1360" t="s">
        <v>1618</v>
      </c>
      <c r="F17" s="1360" t="s">
        <v>1619</v>
      </c>
      <c r="G17" s="36" t="e">
        <f t="shared" si="2"/>
        <v>#VALUE!</v>
      </c>
      <c r="H17" s="127"/>
      <c r="I17" s="127"/>
      <c r="J17" s="127"/>
      <c r="K17" s="127"/>
      <c r="AB17" s="970"/>
      <c r="AF17" s="129"/>
      <c r="AV17" s="191" t="e">
        <f t="shared" si="3"/>
        <v>#VALUE!</v>
      </c>
      <c r="AW17" s="191" t="e">
        <f t="shared" si="4"/>
        <v>#VALUE!</v>
      </c>
      <c r="BC17" s="128"/>
      <c r="BD17" s="1047" t="e">
        <f t="shared" si="5"/>
        <v>#VALUE!</v>
      </c>
      <c r="BE17" s="1047" t="e">
        <f t="shared" si="6"/>
        <v>#VALUE!</v>
      </c>
    </row>
    <row r="18" spans="1:57" ht="15" customHeight="1" x14ac:dyDescent="0.25">
      <c r="A18" s="1585" t="s">
        <v>1524</v>
      </c>
      <c r="B18" s="1118" t="s">
        <v>65</v>
      </c>
      <c r="C18" s="1362" t="s">
        <v>1616</v>
      </c>
      <c r="D18" s="1122" t="s">
        <v>1617</v>
      </c>
      <c r="E18" s="1360" t="s">
        <v>1618</v>
      </c>
      <c r="F18" s="1360" t="s">
        <v>1619</v>
      </c>
      <c r="G18" s="36" t="e">
        <f t="shared" si="2"/>
        <v>#VALUE!</v>
      </c>
      <c r="H18" s="127"/>
      <c r="I18" s="127"/>
      <c r="J18" s="127"/>
      <c r="K18" s="127"/>
      <c r="AB18" s="970"/>
      <c r="AF18" s="129"/>
      <c r="AV18" s="191" t="e">
        <f t="shared" si="3"/>
        <v>#VALUE!</v>
      </c>
      <c r="AW18" s="191" t="e">
        <f t="shared" si="4"/>
        <v>#VALUE!</v>
      </c>
      <c r="BC18" s="128"/>
      <c r="BD18" s="1047" t="e">
        <f t="shared" si="5"/>
        <v>#VALUE!</v>
      </c>
      <c r="BE18" s="1047" t="e">
        <f t="shared" si="6"/>
        <v>#VALUE!</v>
      </c>
    </row>
    <row r="19" spans="1:57" ht="15" customHeight="1" x14ac:dyDescent="0.25">
      <c r="A19" s="1585" t="s">
        <v>1525</v>
      </c>
      <c r="B19" s="1118" t="s">
        <v>66</v>
      </c>
      <c r="C19" s="1362" t="s">
        <v>1616</v>
      </c>
      <c r="D19" s="1122" t="s">
        <v>1617</v>
      </c>
      <c r="E19" s="1360" t="s">
        <v>1618</v>
      </c>
      <c r="F19" s="1360" t="s">
        <v>1619</v>
      </c>
      <c r="G19" s="36" t="e">
        <f t="shared" si="2"/>
        <v>#VALUE!</v>
      </c>
      <c r="H19" s="127"/>
      <c r="I19" s="127"/>
      <c r="J19" s="127"/>
      <c r="K19" s="127"/>
      <c r="AB19" s="970"/>
      <c r="AF19" s="129"/>
      <c r="AV19" s="191" t="e">
        <f t="shared" si="3"/>
        <v>#VALUE!</v>
      </c>
      <c r="AW19" s="191" t="e">
        <f t="shared" si="4"/>
        <v>#VALUE!</v>
      </c>
      <c r="BC19" s="128"/>
      <c r="BD19" s="1047" t="e">
        <f t="shared" si="5"/>
        <v>#VALUE!</v>
      </c>
      <c r="BE19" s="1047" t="e">
        <f t="shared" si="6"/>
        <v>#VALUE!</v>
      </c>
    </row>
    <row r="20" spans="1:57" ht="15" customHeight="1" x14ac:dyDescent="0.25">
      <c r="A20" s="1585" t="s">
        <v>1526</v>
      </c>
      <c r="B20" s="1118" t="s">
        <v>67</v>
      </c>
      <c r="C20" s="1362" t="s">
        <v>1616</v>
      </c>
      <c r="D20" s="1122" t="s">
        <v>1617</v>
      </c>
      <c r="E20" s="1360" t="s">
        <v>1618</v>
      </c>
      <c r="F20" s="1360" t="s">
        <v>1619</v>
      </c>
      <c r="G20" s="36" t="e">
        <f t="shared" si="2"/>
        <v>#VALUE!</v>
      </c>
      <c r="H20" s="127"/>
      <c r="I20" s="127"/>
      <c r="J20" s="127"/>
      <c r="K20" s="127"/>
      <c r="AB20" s="970"/>
      <c r="AF20" s="129"/>
      <c r="AV20" s="191" t="e">
        <f t="shared" si="3"/>
        <v>#VALUE!</v>
      </c>
      <c r="AW20" s="191" t="e">
        <f t="shared" si="4"/>
        <v>#VALUE!</v>
      </c>
      <c r="BC20" s="128"/>
      <c r="BD20" s="1047" t="e">
        <f t="shared" si="5"/>
        <v>#VALUE!</v>
      </c>
      <c r="BE20" s="1047" t="e">
        <f t="shared" si="6"/>
        <v>#VALUE!</v>
      </c>
    </row>
    <row r="21" spans="1:57" ht="15" customHeight="1" x14ac:dyDescent="0.25">
      <c r="A21" s="1585" t="s">
        <v>1527</v>
      </c>
      <c r="B21" s="1118" t="s">
        <v>406</v>
      </c>
      <c r="C21" s="1362" t="s">
        <v>1616</v>
      </c>
      <c r="D21" s="1122" t="s">
        <v>1617</v>
      </c>
      <c r="E21" s="1360" t="s">
        <v>1618</v>
      </c>
      <c r="F21" s="1360" t="s">
        <v>1619</v>
      </c>
      <c r="G21" s="36" t="e">
        <f t="shared" si="2"/>
        <v>#VALUE!</v>
      </c>
      <c r="H21" s="127"/>
      <c r="I21" s="127"/>
      <c r="J21" s="127"/>
      <c r="K21" s="127"/>
      <c r="AB21" s="970"/>
      <c r="AF21" s="129"/>
      <c r="AV21" s="191" t="e">
        <f t="shared" si="3"/>
        <v>#VALUE!</v>
      </c>
      <c r="AW21" s="191" t="e">
        <f t="shared" si="4"/>
        <v>#VALUE!</v>
      </c>
      <c r="BC21" s="128"/>
      <c r="BD21" s="1047" t="e">
        <f t="shared" si="5"/>
        <v>#VALUE!</v>
      </c>
      <c r="BE21" s="1047" t="e">
        <f t="shared" si="6"/>
        <v>#VALUE!</v>
      </c>
    </row>
    <row r="22" spans="1:57" ht="15" customHeight="1" x14ac:dyDescent="0.25">
      <c r="A22" s="1585" t="s">
        <v>1528</v>
      </c>
      <c r="B22" s="1118" t="s">
        <v>407</v>
      </c>
      <c r="C22" s="1362" t="s">
        <v>1616</v>
      </c>
      <c r="D22" s="1122" t="s">
        <v>1617</v>
      </c>
      <c r="E22" s="1360" t="s">
        <v>1618</v>
      </c>
      <c r="F22" s="1360" t="s">
        <v>1619</v>
      </c>
      <c r="G22" s="36" t="e">
        <f t="shared" si="2"/>
        <v>#VALUE!</v>
      </c>
      <c r="H22" s="127"/>
      <c r="I22" s="127"/>
      <c r="J22" s="127"/>
      <c r="K22" s="127"/>
      <c r="AB22" s="970"/>
      <c r="AF22" s="129"/>
      <c r="AV22" s="191" t="e">
        <f t="shared" si="3"/>
        <v>#VALUE!</v>
      </c>
      <c r="AW22" s="191" t="e">
        <f t="shared" si="4"/>
        <v>#VALUE!</v>
      </c>
      <c r="BC22" s="128"/>
      <c r="BD22" s="1047" t="e">
        <f t="shared" si="5"/>
        <v>#VALUE!</v>
      </c>
      <c r="BE22" s="1047" t="e">
        <f t="shared" si="6"/>
        <v>#VALUE!</v>
      </c>
    </row>
    <row r="23" spans="1:57" ht="15" customHeight="1" x14ac:dyDescent="0.25">
      <c r="A23" s="1585" t="s">
        <v>1529</v>
      </c>
      <c r="B23" s="1118" t="s">
        <v>408</v>
      </c>
      <c r="C23" s="1362" t="s">
        <v>1616</v>
      </c>
      <c r="D23" s="1122" t="s">
        <v>1617</v>
      </c>
      <c r="E23" s="1360" t="s">
        <v>1618</v>
      </c>
      <c r="F23" s="1360" t="s">
        <v>1619</v>
      </c>
      <c r="G23" s="36" t="e">
        <f t="shared" si="2"/>
        <v>#VALUE!</v>
      </c>
      <c r="H23" s="127"/>
      <c r="I23" s="127"/>
      <c r="J23" s="127"/>
      <c r="K23" s="127"/>
      <c r="AB23" s="970"/>
      <c r="AF23" s="129"/>
      <c r="AV23" s="191" t="e">
        <f t="shared" si="3"/>
        <v>#VALUE!</v>
      </c>
      <c r="AW23" s="191" t="e">
        <f t="shared" si="4"/>
        <v>#VALUE!</v>
      </c>
      <c r="BC23" s="128"/>
      <c r="BD23" s="1047" t="e">
        <f t="shared" si="5"/>
        <v>#VALUE!</v>
      </c>
      <c r="BE23" s="1047" t="e">
        <f t="shared" si="6"/>
        <v>#VALUE!</v>
      </c>
    </row>
    <row r="24" spans="1:57" ht="15" customHeight="1" x14ac:dyDescent="0.25">
      <c r="A24" s="1621"/>
      <c r="B24" s="1538" t="s">
        <v>49</v>
      </c>
      <c r="C24" s="1540">
        <f>SUM(C11:C23)</f>
        <v>0</v>
      </c>
      <c r="D24" s="1566">
        <f>SUM(D11:D23)</f>
        <v>0</v>
      </c>
      <c r="E24" s="1361">
        <f>SUM(E11:E23)</f>
        <v>0</v>
      </c>
      <c r="F24" s="1539">
        <f>SUM(F11:F23)</f>
        <v>0</v>
      </c>
      <c r="G24" s="127"/>
      <c r="H24" s="127"/>
      <c r="I24" s="127"/>
      <c r="J24" s="127"/>
      <c r="K24" s="127"/>
      <c r="N24" s="127"/>
      <c r="O24" s="127"/>
      <c r="P24" s="127"/>
      <c r="Q24" s="127"/>
      <c r="R24" s="127"/>
      <c r="S24" s="127"/>
      <c r="T24" s="127"/>
      <c r="U24" s="127"/>
      <c r="V24" s="127"/>
      <c r="W24" s="127"/>
      <c r="X24" s="127"/>
      <c r="Y24" s="127"/>
      <c r="Z24" s="127"/>
      <c r="AA24" s="127"/>
    </row>
    <row r="25" spans="1:57" ht="15.75" customHeight="1" x14ac:dyDescent="0.25">
      <c r="B25" s="2312" t="s">
        <v>840</v>
      </c>
      <c r="C25" s="2312"/>
      <c r="D25" s="2312"/>
      <c r="E25" s="1126"/>
      <c r="F25" s="1126"/>
      <c r="G25" s="1126"/>
      <c r="H25" s="1126"/>
      <c r="I25" s="966"/>
      <c r="J25" s="966"/>
      <c r="K25" s="127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</row>
    <row r="26" spans="1:57" s="126" customFormat="1" ht="17.100000000000001" customHeight="1" x14ac:dyDescent="0.15">
      <c r="B26" s="2314" t="s">
        <v>841</v>
      </c>
      <c r="C26" s="2314"/>
      <c r="D26" s="2314"/>
      <c r="E26" s="1126"/>
      <c r="F26" s="1126"/>
      <c r="G26" s="1126"/>
      <c r="H26" s="1126"/>
      <c r="I26" s="966"/>
      <c r="J26" s="132"/>
      <c r="K26" s="132"/>
      <c r="L26" s="127"/>
      <c r="M26" s="127"/>
      <c r="N26" s="127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/>
      <c r="Z26" s="127"/>
      <c r="AA26" s="127"/>
      <c r="AB26" s="127"/>
      <c r="AC26" s="127"/>
      <c r="AF26" s="127"/>
      <c r="AG26" s="127"/>
      <c r="AH26" s="127"/>
      <c r="AI26" s="127"/>
      <c r="AJ26" s="127"/>
      <c r="AK26" s="127"/>
      <c r="AL26" s="127"/>
      <c r="AM26" s="127"/>
      <c r="AN26" s="127"/>
      <c r="AO26" s="127"/>
    </row>
    <row r="27" spans="1:57" s="126" customFormat="1" ht="48.75" customHeight="1" x14ac:dyDescent="0.15">
      <c r="B27" s="1536" t="s">
        <v>842</v>
      </c>
      <c r="C27" s="1537" t="s">
        <v>843</v>
      </c>
      <c r="D27" s="1567" t="s">
        <v>844</v>
      </c>
      <c r="E27" s="1626" t="s">
        <v>51</v>
      </c>
      <c r="F27" s="1627" t="s">
        <v>108</v>
      </c>
      <c r="G27" s="1126"/>
      <c r="H27" s="1126"/>
      <c r="I27" s="966"/>
      <c r="J27" s="127"/>
      <c r="K27" s="127"/>
      <c r="L27" s="127"/>
      <c r="M27" s="127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  <c r="AB27" s="127"/>
      <c r="AC27" s="127"/>
      <c r="AF27" s="127"/>
      <c r="AG27" s="127"/>
      <c r="AH27" s="127"/>
      <c r="AI27" s="127"/>
      <c r="AJ27" s="127"/>
      <c r="AK27" s="127"/>
      <c r="AL27" s="127"/>
      <c r="AM27" s="127"/>
      <c r="AN27" s="127"/>
      <c r="AO27" s="127"/>
    </row>
    <row r="28" spans="1:57" s="126" customFormat="1" ht="15" customHeight="1" x14ac:dyDescent="0.2">
      <c r="A28" s="1585" t="s">
        <v>1530</v>
      </c>
      <c r="B28" s="1119" t="s">
        <v>60</v>
      </c>
      <c r="C28" s="1365" t="s">
        <v>1616</v>
      </c>
      <c r="D28" s="1568" t="s">
        <v>1617</v>
      </c>
      <c r="E28" s="1360" t="s">
        <v>1618</v>
      </c>
      <c r="F28" s="1360" t="s">
        <v>1619</v>
      </c>
      <c r="G28" s="36" t="e">
        <f t="shared" ref="G28:G34" si="7">AV28&amp;AW28</f>
        <v>#VALUE!</v>
      </c>
      <c r="H28" s="1126"/>
      <c r="I28" s="966"/>
      <c r="J28" s="127"/>
      <c r="K28" s="127"/>
      <c r="L28" s="127"/>
      <c r="M28" s="127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80"/>
      <c r="AB28" s="127"/>
      <c r="AC28" s="127"/>
      <c r="AF28" s="127"/>
      <c r="AG28" s="127"/>
      <c r="AH28" s="127"/>
      <c r="AI28" s="127"/>
      <c r="AJ28" s="127"/>
      <c r="AK28" s="127"/>
      <c r="AL28" s="127"/>
      <c r="AM28" s="127"/>
      <c r="AN28" s="127"/>
      <c r="AO28" s="127"/>
      <c r="AV28" s="191" t="e">
        <f>IF(AND(C28+D28&gt;0,OR(E28=""))," * No olvide digitar la variable Pueblos Originarios. Digite Cero si no tiene.",IF(E28&gt;C28+D28," * La variable Pueblos Originarios no puede ser Mayor a la suma de Mujeres +Trans con examen VPH Vigente.",""))</f>
        <v>#VALUE!</v>
      </c>
      <c r="AW28" s="191" t="e">
        <f>IF(AND(C28+D28&gt;0,OR(F28=""))," * No olvide digitar la variable Migrantes. Digite Cero si no tiene.",IF(F28&gt;C28+D28," * La variable Migrantes no puede ser Mayor a la suma de Mujeres +Trans con examen VPH Vigente.",""))</f>
        <v>#VALUE!</v>
      </c>
      <c r="BA28" s="131"/>
      <c r="BB28" s="131"/>
      <c r="BC28" s="131"/>
      <c r="BD28" s="1047" t="e">
        <f t="shared" ref="BD28:BD34" si="8">IF(AND($C28+$D28&gt;0,OR(E28="")),1,IF(E28&gt;$C28+$D28,1,0))</f>
        <v>#VALUE!</v>
      </c>
      <c r="BE28" s="1047" t="e">
        <f t="shared" ref="BE28:BE34" si="9">IF(AND($C28+$D28&gt;0,OR(F28="")),1,IF(F28&gt;$C28+$D28,1,0))</f>
        <v>#VALUE!</v>
      </c>
    </row>
    <row r="29" spans="1:57" s="126" customFormat="1" ht="15" customHeight="1" x14ac:dyDescent="0.2">
      <c r="A29" s="1585" t="s">
        <v>1531</v>
      </c>
      <c r="B29" s="1118" t="s">
        <v>61</v>
      </c>
      <c r="C29" s="1365" t="s">
        <v>1616</v>
      </c>
      <c r="D29" s="1568" t="s">
        <v>1617</v>
      </c>
      <c r="E29" s="1360" t="s">
        <v>1618</v>
      </c>
      <c r="F29" s="1360" t="s">
        <v>1619</v>
      </c>
      <c r="G29" s="36" t="e">
        <f t="shared" si="7"/>
        <v>#VALUE!</v>
      </c>
      <c r="H29" s="1126"/>
      <c r="I29" s="966"/>
      <c r="J29" s="127"/>
      <c r="K29" s="127"/>
      <c r="L29" s="127"/>
      <c r="M29" s="127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80"/>
      <c r="AB29" s="127"/>
      <c r="AC29" s="127"/>
      <c r="AF29" s="127"/>
      <c r="AG29" s="127"/>
      <c r="AH29" s="127"/>
      <c r="AI29" s="127"/>
      <c r="AJ29" s="127"/>
      <c r="AK29" s="127"/>
      <c r="AL29" s="127"/>
      <c r="AM29" s="127"/>
      <c r="AN29" s="127"/>
      <c r="AO29" s="127"/>
      <c r="AV29" s="191" t="e">
        <f t="shared" ref="AV29:AV34" si="10">IF(AND(C29+D29&gt;0,OR(E29=""))," * No olvide digitar la variable Pueblos Originarios. Digite Cero si no tiene.",IF(E29&gt;C29+D29," * La variable Pueblos Originarios no puede ser Mayor a la suma de Mujeres +Trans con examen VPH Vigente.",""))</f>
        <v>#VALUE!</v>
      </c>
      <c r="AW29" s="191" t="e">
        <f t="shared" ref="AW29:AW34" si="11">IF(AND(C29+D29&gt;0,OR(F29=""))," * No olvide digitar la variable Migrantes. Digite Cero si no tiene.",IF(F29&gt;C29+D29," * La variable Migrantes no puede ser Mayor a la suma de Mujeres +Trans con examen VPH Vigente.",""))</f>
        <v>#VALUE!</v>
      </c>
      <c r="BA29" s="131"/>
      <c r="BB29" s="131"/>
      <c r="BC29" s="131"/>
      <c r="BD29" s="1047" t="e">
        <f t="shared" si="8"/>
        <v>#VALUE!</v>
      </c>
      <c r="BE29" s="1047" t="e">
        <f t="shared" si="9"/>
        <v>#VALUE!</v>
      </c>
    </row>
    <row r="30" spans="1:57" s="126" customFormat="1" ht="15" customHeight="1" x14ac:dyDescent="0.2">
      <c r="A30" s="1585" t="s">
        <v>1532</v>
      </c>
      <c r="B30" s="1118" t="s">
        <v>62</v>
      </c>
      <c r="C30" s="1365" t="s">
        <v>1616</v>
      </c>
      <c r="D30" s="1568" t="s">
        <v>1617</v>
      </c>
      <c r="E30" s="1360" t="s">
        <v>1618</v>
      </c>
      <c r="F30" s="1360" t="s">
        <v>1619</v>
      </c>
      <c r="G30" s="36" t="e">
        <f t="shared" si="7"/>
        <v>#VALUE!</v>
      </c>
      <c r="H30" s="1126"/>
      <c r="I30" s="966"/>
      <c r="J30" s="127"/>
      <c r="K30" s="127"/>
      <c r="L30" s="127"/>
      <c r="M30" s="127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80"/>
      <c r="AB30" s="127"/>
      <c r="AC30" s="127"/>
      <c r="AF30" s="127"/>
      <c r="AG30" s="127"/>
      <c r="AH30" s="127"/>
      <c r="AI30" s="127"/>
      <c r="AJ30" s="127"/>
      <c r="AK30" s="127"/>
      <c r="AL30" s="127"/>
      <c r="AM30" s="127"/>
      <c r="AN30" s="127"/>
      <c r="AO30" s="127"/>
      <c r="AV30" s="191" t="e">
        <f t="shared" si="10"/>
        <v>#VALUE!</v>
      </c>
      <c r="AW30" s="191" t="e">
        <f t="shared" si="11"/>
        <v>#VALUE!</v>
      </c>
      <c r="BA30" s="131"/>
      <c r="BB30" s="131"/>
      <c r="BC30" s="131"/>
      <c r="BD30" s="1047" t="e">
        <f t="shared" si="8"/>
        <v>#VALUE!</v>
      </c>
      <c r="BE30" s="1047" t="e">
        <f t="shared" si="9"/>
        <v>#VALUE!</v>
      </c>
    </row>
    <row r="31" spans="1:57" s="126" customFormat="1" ht="15" customHeight="1" x14ac:dyDescent="0.2">
      <c r="A31" s="1585" t="s">
        <v>1533</v>
      </c>
      <c r="B31" s="1118" t="s">
        <v>63</v>
      </c>
      <c r="C31" s="1365" t="s">
        <v>1616</v>
      </c>
      <c r="D31" s="1568" t="s">
        <v>1617</v>
      </c>
      <c r="E31" s="1360" t="s">
        <v>1618</v>
      </c>
      <c r="F31" s="1360" t="s">
        <v>1619</v>
      </c>
      <c r="G31" s="36" t="e">
        <f t="shared" si="7"/>
        <v>#VALUE!</v>
      </c>
      <c r="H31" s="1126"/>
      <c r="I31" s="966"/>
      <c r="J31" s="127"/>
      <c r="K31" s="127"/>
      <c r="L31" s="127"/>
      <c r="M31" s="127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80"/>
      <c r="AB31" s="127"/>
      <c r="AC31" s="127"/>
      <c r="AF31" s="127"/>
      <c r="AG31" s="127"/>
      <c r="AH31" s="127"/>
      <c r="AI31" s="127"/>
      <c r="AJ31" s="127"/>
      <c r="AK31" s="127"/>
      <c r="AL31" s="127"/>
      <c r="AM31" s="127"/>
      <c r="AN31" s="127"/>
      <c r="AO31" s="127"/>
      <c r="AV31" s="191" t="e">
        <f t="shared" si="10"/>
        <v>#VALUE!</v>
      </c>
      <c r="AW31" s="191" t="e">
        <f t="shared" si="11"/>
        <v>#VALUE!</v>
      </c>
      <c r="BA31" s="131"/>
      <c r="BB31" s="131"/>
      <c r="BC31" s="131"/>
      <c r="BD31" s="1047" t="e">
        <f t="shared" si="8"/>
        <v>#VALUE!</v>
      </c>
      <c r="BE31" s="1047" t="e">
        <f t="shared" si="9"/>
        <v>#VALUE!</v>
      </c>
    </row>
    <row r="32" spans="1:57" s="126" customFormat="1" ht="15" customHeight="1" x14ac:dyDescent="0.2">
      <c r="A32" s="1585" t="s">
        <v>1534</v>
      </c>
      <c r="B32" s="1118" t="s">
        <v>64</v>
      </c>
      <c r="C32" s="1365" t="s">
        <v>1616</v>
      </c>
      <c r="D32" s="1568" t="s">
        <v>1617</v>
      </c>
      <c r="E32" s="1360" t="s">
        <v>1618</v>
      </c>
      <c r="F32" s="1360" t="s">
        <v>1619</v>
      </c>
      <c r="G32" s="36" t="e">
        <f t="shared" si="7"/>
        <v>#VALUE!</v>
      </c>
      <c r="H32" s="1126"/>
      <c r="I32" s="966"/>
      <c r="J32" s="127"/>
      <c r="K32" s="127"/>
      <c r="L32" s="127"/>
      <c r="M32" s="127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80"/>
      <c r="AB32" s="127"/>
      <c r="AC32" s="127"/>
      <c r="AF32" s="127"/>
      <c r="AG32" s="127"/>
      <c r="AH32" s="127"/>
      <c r="AI32" s="127"/>
      <c r="AJ32" s="127"/>
      <c r="AK32" s="127"/>
      <c r="AL32" s="127"/>
      <c r="AM32" s="127"/>
      <c r="AN32" s="127"/>
      <c r="AO32" s="127"/>
      <c r="AQ32" s="108"/>
      <c r="AV32" s="191" t="e">
        <f t="shared" si="10"/>
        <v>#VALUE!</v>
      </c>
      <c r="AW32" s="191" t="e">
        <f t="shared" si="11"/>
        <v>#VALUE!</v>
      </c>
      <c r="BD32" s="1047" t="e">
        <f t="shared" si="8"/>
        <v>#VALUE!</v>
      </c>
      <c r="BE32" s="1047" t="e">
        <f t="shared" si="9"/>
        <v>#VALUE!</v>
      </c>
    </row>
    <row r="33" spans="1:57" s="126" customFormat="1" ht="15" customHeight="1" x14ac:dyDescent="0.2">
      <c r="A33" s="1585" t="s">
        <v>1535</v>
      </c>
      <c r="B33" s="1118" t="s">
        <v>65</v>
      </c>
      <c r="C33" s="1365" t="s">
        <v>1616</v>
      </c>
      <c r="D33" s="1568" t="s">
        <v>1617</v>
      </c>
      <c r="E33" s="1360" t="s">
        <v>1618</v>
      </c>
      <c r="F33" s="1360" t="s">
        <v>1619</v>
      </c>
      <c r="G33" s="36" t="e">
        <f t="shared" si="7"/>
        <v>#VALUE!</v>
      </c>
      <c r="H33" s="1126"/>
      <c r="I33" s="966"/>
      <c r="J33" s="127"/>
      <c r="K33" s="127"/>
      <c r="L33" s="127"/>
      <c r="M33" s="127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80"/>
      <c r="AB33" s="127"/>
      <c r="AC33" s="127"/>
      <c r="AF33" s="127"/>
      <c r="AG33" s="127"/>
      <c r="AH33" s="127"/>
      <c r="AI33" s="127"/>
      <c r="AJ33" s="127"/>
      <c r="AK33" s="127"/>
      <c r="AL33" s="127"/>
      <c r="AM33" s="127"/>
      <c r="AN33" s="127"/>
      <c r="AO33" s="127"/>
      <c r="AP33" s="127"/>
      <c r="AQ33" s="127"/>
      <c r="AV33" s="191" t="e">
        <f t="shared" si="10"/>
        <v>#VALUE!</v>
      </c>
      <c r="AW33" s="191" t="e">
        <f t="shared" si="11"/>
        <v>#VALUE!</v>
      </c>
      <c r="BD33" s="1047" t="e">
        <f t="shared" si="8"/>
        <v>#VALUE!</v>
      </c>
      <c r="BE33" s="1047" t="e">
        <f t="shared" si="9"/>
        <v>#VALUE!</v>
      </c>
    </row>
    <row r="34" spans="1:57" ht="15" customHeight="1" x14ac:dyDescent="0.25">
      <c r="A34" s="1585" t="s">
        <v>1536</v>
      </c>
      <c r="B34" s="1118" t="s">
        <v>66</v>
      </c>
      <c r="C34" s="1366" t="s">
        <v>1616</v>
      </c>
      <c r="D34" s="1569" t="s">
        <v>1617</v>
      </c>
      <c r="E34" s="1363" t="s">
        <v>1618</v>
      </c>
      <c r="F34" s="1363" t="s">
        <v>1619</v>
      </c>
      <c r="G34" s="36" t="e">
        <f t="shared" si="7"/>
        <v>#VALUE!</v>
      </c>
      <c r="H34" s="1126"/>
      <c r="I34" s="966"/>
      <c r="J34" s="127"/>
      <c r="K34" s="127"/>
      <c r="AV34" s="191" t="e">
        <f t="shared" si="10"/>
        <v>#VALUE!</v>
      </c>
      <c r="AW34" s="191" t="e">
        <f t="shared" si="11"/>
        <v>#VALUE!</v>
      </c>
      <c r="BD34" s="1047" t="e">
        <f t="shared" si="8"/>
        <v>#VALUE!</v>
      </c>
      <c r="BE34" s="1047" t="e">
        <f t="shared" si="9"/>
        <v>#VALUE!</v>
      </c>
    </row>
    <row r="35" spans="1:57" ht="15" customHeight="1" x14ac:dyDescent="0.25">
      <c r="A35" s="1622"/>
      <c r="B35" s="1538" t="s">
        <v>49</v>
      </c>
      <c r="C35" s="1540">
        <f>SUM(C28:C34)</f>
        <v>0</v>
      </c>
      <c r="D35" s="1570">
        <f>SUM(D28:D34)</f>
        <v>0</v>
      </c>
      <c r="E35" s="1364">
        <f>SUM(E28:E34)</f>
        <v>0</v>
      </c>
      <c r="F35" s="1541">
        <f>SUM(F28:F34)</f>
        <v>0</v>
      </c>
      <c r="G35" s="1126"/>
      <c r="H35" s="1126"/>
      <c r="I35" s="966"/>
      <c r="J35" s="127"/>
      <c r="K35" s="127"/>
    </row>
    <row r="36" spans="1:57" ht="15" customHeight="1" x14ac:dyDescent="0.25">
      <c r="B36" s="2308" t="s">
        <v>845</v>
      </c>
      <c r="C36" s="2308"/>
      <c r="J36" s="127"/>
      <c r="K36" s="127"/>
    </row>
    <row r="37" spans="1:57" ht="15" customHeight="1" x14ac:dyDescent="0.25">
      <c r="B37" s="2309" t="s">
        <v>846</v>
      </c>
      <c r="C37" s="2309"/>
      <c r="D37" s="2309"/>
      <c r="E37" s="2309"/>
      <c r="J37" s="127"/>
      <c r="K37" s="127"/>
    </row>
    <row r="38" spans="1:57" ht="42" x14ac:dyDescent="0.25">
      <c r="B38" s="1303" t="s">
        <v>847</v>
      </c>
      <c r="C38" s="1537" t="s">
        <v>848</v>
      </c>
      <c r="D38" s="1565" t="s">
        <v>849</v>
      </c>
      <c r="E38" s="1626" t="s">
        <v>51</v>
      </c>
      <c r="F38" s="1627" t="s">
        <v>108</v>
      </c>
      <c r="G38" s="127"/>
      <c r="H38" s="127"/>
      <c r="I38" s="127"/>
      <c r="K38" s="127"/>
    </row>
    <row r="39" spans="1:57" ht="17.100000000000001" customHeight="1" x14ac:dyDescent="0.25">
      <c r="A39" s="1585" t="s">
        <v>1537</v>
      </c>
      <c r="B39" s="1124" t="s">
        <v>850</v>
      </c>
      <c r="C39" s="1362" t="s">
        <v>1616</v>
      </c>
      <c r="D39" s="1360" t="s">
        <v>1617</v>
      </c>
      <c r="E39" s="1360" t="s">
        <v>1618</v>
      </c>
      <c r="F39" s="1360" t="s">
        <v>1619</v>
      </c>
      <c r="G39" s="36" t="e">
        <f t="shared" ref="G39:G47" si="12">AV39&amp;AW39</f>
        <v>#VALUE!</v>
      </c>
      <c r="H39" s="127"/>
      <c r="I39" s="127"/>
      <c r="AV39" s="191" t="e">
        <f>IF(AND(C39+D39&gt;0,OR(E39=""))," * No olvide digitar la variable Pueblos Originarios. Digite Cero si no tiene.",IF(E39&gt;C39+D39," * La variable Pueblos Originarios no puede ser Mayor a la suma de Mujeres +Trans con Mamografía Vigente.",""))</f>
        <v>#VALUE!</v>
      </c>
      <c r="AW39" s="191" t="e">
        <f>IF(AND(C39+D39&gt;0,OR(F39=""))," * No olvide digitar la variable Migrantes. Digite Cero si no tiene.",IF(F39&gt;C39+D39," * La variable Migrantes no puede ser Mayor a la suma de Mujeres +Trans con Mamografía Vigente.",""))</f>
        <v>#VALUE!</v>
      </c>
      <c r="BD39" s="1047" t="e">
        <f t="shared" ref="BD39" si="13">IF(AND($C39+$D39&gt;0,OR(E39="")),1,IF(E39&gt;$C39+$D39,1,0))</f>
        <v>#VALUE!</v>
      </c>
      <c r="BE39" s="1047" t="e">
        <f t="shared" ref="BE39" si="14">IF(AND($C39+$D39&gt;0,OR(F39="")),1,IF(F39&gt;$C39+$D39,1,0))</f>
        <v>#VALUE!</v>
      </c>
    </row>
    <row r="40" spans="1:57" x14ac:dyDescent="0.25">
      <c r="A40" s="1585" t="s">
        <v>1538</v>
      </c>
      <c r="B40" s="1123" t="s">
        <v>851</v>
      </c>
      <c r="C40" s="1362" t="s">
        <v>1616</v>
      </c>
      <c r="D40" s="1360" t="s">
        <v>1617</v>
      </c>
      <c r="E40" s="1360" t="s">
        <v>1618</v>
      </c>
      <c r="F40" s="1360" t="s">
        <v>1619</v>
      </c>
      <c r="G40" s="36" t="e">
        <f t="shared" si="12"/>
        <v>#VALUE!</v>
      </c>
      <c r="H40" s="127"/>
      <c r="I40" s="127"/>
      <c r="K40" s="127"/>
      <c r="AV40" s="191" t="e">
        <f t="shared" ref="AV40:AV47" si="15">IF(AND(C40+D40&gt;0,OR(E40=""))," * No olvide digitar la variable Pueblos Originarios. Digite Cero si no tiene.",IF(E40&gt;C40+D40," * La variable Pueblos Originarios no puede ser Mayor a la suma de Mujeres +Trans con Mamografía Vigente.",""))</f>
        <v>#VALUE!</v>
      </c>
      <c r="AW40" s="191" t="e">
        <f t="shared" ref="AW40:AW47" si="16">IF(AND(C40+D40&gt;0,OR(F40=""))," * No olvide digitar la variable Migrantes. Digite Cero si no tiene.",IF(F40&gt;C40+D40," * La variable Migrantes no puede ser Mayor a la suma de Mujeres +Trans con Mamografía Vigente.",""))</f>
        <v>#VALUE!</v>
      </c>
      <c r="BD40" s="1047" t="e">
        <f t="shared" ref="BD40:BD46" si="17">IF(AND($C40+$D40&gt;0,OR(E40="")),1,IF(E40&gt;$C40+$D40,1,0))</f>
        <v>#VALUE!</v>
      </c>
      <c r="BE40" s="1047" t="e">
        <f t="shared" ref="BE40:BE47" si="18">IF(AND($C40+$D40&gt;0,OR(F40="")),1,IF(F40&gt;$C40+$D40,1,0))</f>
        <v>#VALUE!</v>
      </c>
    </row>
    <row r="41" spans="1:57" ht="15" customHeight="1" x14ac:dyDescent="0.25">
      <c r="A41" s="1585" t="s">
        <v>1539</v>
      </c>
      <c r="B41" s="1118" t="s">
        <v>64</v>
      </c>
      <c r="C41" s="1362" t="s">
        <v>1616</v>
      </c>
      <c r="D41" s="1360" t="s">
        <v>1617</v>
      </c>
      <c r="E41" s="1360" t="s">
        <v>1618</v>
      </c>
      <c r="F41" s="1360" t="s">
        <v>1619</v>
      </c>
      <c r="G41" s="36" t="e">
        <f t="shared" si="12"/>
        <v>#VALUE!</v>
      </c>
      <c r="H41" s="127"/>
      <c r="I41" s="127"/>
      <c r="K41" s="127"/>
      <c r="AV41" s="191" t="e">
        <f t="shared" si="15"/>
        <v>#VALUE!</v>
      </c>
      <c r="AW41" s="191" t="e">
        <f t="shared" si="16"/>
        <v>#VALUE!</v>
      </c>
      <c r="BD41" s="1047" t="e">
        <f t="shared" si="17"/>
        <v>#VALUE!</v>
      </c>
      <c r="BE41" s="1047" t="e">
        <f t="shared" si="18"/>
        <v>#VALUE!</v>
      </c>
    </row>
    <row r="42" spans="1:57" ht="15" customHeight="1" x14ac:dyDescent="0.25">
      <c r="A42" s="1585" t="s">
        <v>1540</v>
      </c>
      <c r="B42" s="1118" t="s">
        <v>65</v>
      </c>
      <c r="C42" s="1362" t="s">
        <v>1616</v>
      </c>
      <c r="D42" s="1360" t="s">
        <v>1617</v>
      </c>
      <c r="E42" s="1360" t="s">
        <v>1618</v>
      </c>
      <c r="F42" s="1360" t="s">
        <v>1619</v>
      </c>
      <c r="G42" s="36" t="e">
        <f t="shared" si="12"/>
        <v>#VALUE!</v>
      </c>
      <c r="H42" s="127"/>
      <c r="I42" s="127"/>
      <c r="J42" s="127"/>
      <c r="K42" s="127"/>
      <c r="AV42" s="191" t="e">
        <f t="shared" si="15"/>
        <v>#VALUE!</v>
      </c>
      <c r="AW42" s="191" t="e">
        <f t="shared" si="16"/>
        <v>#VALUE!</v>
      </c>
      <c r="BD42" s="1047" t="e">
        <f t="shared" si="17"/>
        <v>#VALUE!</v>
      </c>
      <c r="BE42" s="1047" t="e">
        <f t="shared" si="18"/>
        <v>#VALUE!</v>
      </c>
    </row>
    <row r="43" spans="1:57" ht="15" customHeight="1" x14ac:dyDescent="0.25">
      <c r="A43" s="1585" t="s">
        <v>1541</v>
      </c>
      <c r="B43" s="1118" t="s">
        <v>66</v>
      </c>
      <c r="C43" s="1362" t="s">
        <v>1616</v>
      </c>
      <c r="D43" s="1360" t="s">
        <v>1617</v>
      </c>
      <c r="E43" s="1360" t="s">
        <v>1618</v>
      </c>
      <c r="F43" s="1360" t="s">
        <v>1619</v>
      </c>
      <c r="G43" s="36" t="e">
        <f t="shared" si="12"/>
        <v>#VALUE!</v>
      </c>
      <c r="H43" s="127"/>
      <c r="I43" s="127"/>
      <c r="J43" s="127"/>
      <c r="K43" s="127"/>
      <c r="AV43" s="191" t="e">
        <f t="shared" si="15"/>
        <v>#VALUE!</v>
      </c>
      <c r="AW43" s="191" t="e">
        <f t="shared" si="16"/>
        <v>#VALUE!</v>
      </c>
      <c r="BD43" s="1047" t="e">
        <f t="shared" si="17"/>
        <v>#VALUE!</v>
      </c>
      <c r="BE43" s="1047" t="e">
        <f t="shared" si="18"/>
        <v>#VALUE!</v>
      </c>
    </row>
    <row r="44" spans="1:57" ht="15" customHeight="1" x14ac:dyDescent="0.25">
      <c r="A44" s="1585" t="s">
        <v>1542</v>
      </c>
      <c r="B44" s="1118" t="s">
        <v>67</v>
      </c>
      <c r="C44" s="1362" t="s">
        <v>1616</v>
      </c>
      <c r="D44" s="1360" t="s">
        <v>1617</v>
      </c>
      <c r="E44" s="1360" t="s">
        <v>1618</v>
      </c>
      <c r="F44" s="1360" t="s">
        <v>1619</v>
      </c>
      <c r="G44" s="36" t="e">
        <f t="shared" si="12"/>
        <v>#VALUE!</v>
      </c>
      <c r="H44" s="127"/>
      <c r="I44" s="127"/>
      <c r="J44" s="127"/>
      <c r="K44" s="127"/>
      <c r="AV44" s="191" t="e">
        <f t="shared" si="15"/>
        <v>#VALUE!</v>
      </c>
      <c r="AW44" s="191" t="e">
        <f t="shared" si="16"/>
        <v>#VALUE!</v>
      </c>
      <c r="BD44" s="1047" t="e">
        <f t="shared" si="17"/>
        <v>#VALUE!</v>
      </c>
      <c r="BE44" s="1047" t="e">
        <f t="shared" si="18"/>
        <v>#VALUE!</v>
      </c>
    </row>
    <row r="45" spans="1:57" ht="15" customHeight="1" x14ac:dyDescent="0.25">
      <c r="A45" s="1585" t="s">
        <v>1543</v>
      </c>
      <c r="B45" s="1118" t="s">
        <v>406</v>
      </c>
      <c r="C45" s="1362" t="s">
        <v>1616</v>
      </c>
      <c r="D45" s="1360" t="s">
        <v>1617</v>
      </c>
      <c r="E45" s="1360" t="s">
        <v>1618</v>
      </c>
      <c r="F45" s="1360" t="s">
        <v>1619</v>
      </c>
      <c r="G45" s="36" t="e">
        <f t="shared" si="12"/>
        <v>#VALUE!</v>
      </c>
      <c r="H45" s="127"/>
      <c r="I45" s="127"/>
      <c r="J45" s="127"/>
      <c r="K45" s="127"/>
      <c r="AV45" s="191" t="e">
        <f t="shared" si="15"/>
        <v>#VALUE!</v>
      </c>
      <c r="AW45" s="191" t="e">
        <f t="shared" si="16"/>
        <v>#VALUE!</v>
      </c>
      <c r="BD45" s="1047" t="e">
        <f t="shared" si="17"/>
        <v>#VALUE!</v>
      </c>
      <c r="BE45" s="1047" t="e">
        <f t="shared" si="18"/>
        <v>#VALUE!</v>
      </c>
    </row>
    <row r="46" spans="1:57" ht="15" customHeight="1" x14ac:dyDescent="0.25">
      <c r="A46" s="1585" t="s">
        <v>1544</v>
      </c>
      <c r="B46" s="1118" t="s">
        <v>407</v>
      </c>
      <c r="C46" s="1362" t="s">
        <v>1616</v>
      </c>
      <c r="D46" s="1360" t="s">
        <v>1617</v>
      </c>
      <c r="E46" s="1360" t="s">
        <v>1618</v>
      </c>
      <c r="F46" s="1360" t="s">
        <v>1619</v>
      </c>
      <c r="G46" s="36" t="e">
        <f t="shared" si="12"/>
        <v>#VALUE!</v>
      </c>
      <c r="H46" s="127"/>
      <c r="I46" s="127"/>
      <c r="J46" s="127"/>
      <c r="K46" s="127"/>
      <c r="AV46" s="191" t="e">
        <f t="shared" si="15"/>
        <v>#VALUE!</v>
      </c>
      <c r="AW46" s="191" t="e">
        <f t="shared" si="16"/>
        <v>#VALUE!</v>
      </c>
      <c r="BD46" s="1047" t="e">
        <f t="shared" si="17"/>
        <v>#VALUE!</v>
      </c>
      <c r="BE46" s="1047" t="e">
        <f t="shared" si="18"/>
        <v>#VALUE!</v>
      </c>
    </row>
    <row r="47" spans="1:57" ht="15" customHeight="1" x14ac:dyDescent="0.25">
      <c r="A47" s="1585" t="s">
        <v>1545</v>
      </c>
      <c r="B47" s="1118" t="s">
        <v>408</v>
      </c>
      <c r="C47" s="1362" t="s">
        <v>1616</v>
      </c>
      <c r="D47" s="1360" t="s">
        <v>1617</v>
      </c>
      <c r="E47" s="1360" t="s">
        <v>1618</v>
      </c>
      <c r="F47" s="1360" t="s">
        <v>1619</v>
      </c>
      <c r="G47" s="36" t="e">
        <f t="shared" si="12"/>
        <v>#VALUE!</v>
      </c>
      <c r="H47" s="127"/>
      <c r="I47" s="127"/>
      <c r="J47" s="127"/>
      <c r="K47" s="127"/>
      <c r="AV47" s="191" t="e">
        <f t="shared" si="15"/>
        <v>#VALUE!</v>
      </c>
      <c r="AW47" s="191" t="e">
        <f t="shared" si="16"/>
        <v>#VALUE!</v>
      </c>
      <c r="BD47" s="1047" t="e">
        <f>IF(AND($C47+$D47&gt;0,OR(E47="")),1,IF(E47&gt;$C47+$D47,1,0))</f>
        <v>#VALUE!</v>
      </c>
      <c r="BE47" s="1047" t="e">
        <f t="shared" si="18"/>
        <v>#VALUE!</v>
      </c>
    </row>
    <row r="48" spans="1:57" ht="15" customHeight="1" x14ac:dyDescent="0.25">
      <c r="A48" s="1621"/>
      <c r="B48" s="1542" t="s">
        <v>49</v>
      </c>
      <c r="C48" s="1572">
        <f>SUM(C39:C47)</f>
        <v>0</v>
      </c>
      <c r="D48" s="1571">
        <f>SUM(D39:D47)</f>
        <v>0</v>
      </c>
      <c r="E48" s="1389">
        <f t="shared" ref="E48:F48" si="19">SUM(E39:E47)</f>
        <v>0</v>
      </c>
      <c r="F48" s="1543">
        <f t="shared" si="19"/>
        <v>0</v>
      </c>
      <c r="G48" s="127"/>
      <c r="H48" s="127"/>
      <c r="I48" s="127"/>
      <c r="J48" s="127"/>
      <c r="K48" s="127"/>
    </row>
    <row r="49" spans="1:57" ht="15" customHeight="1" x14ac:dyDescent="0.25">
      <c r="B49" s="1121" t="s">
        <v>852</v>
      </c>
      <c r="C49" s="1120"/>
      <c r="D49" s="34"/>
      <c r="E49" s="126"/>
      <c r="F49" s="606"/>
      <c r="G49" s="606"/>
      <c r="H49" s="606"/>
      <c r="I49" s="606"/>
      <c r="J49" s="127"/>
      <c r="K49" s="127"/>
    </row>
    <row r="50" spans="1:57" ht="15" customHeight="1" x14ac:dyDescent="0.25">
      <c r="B50" s="2310" t="s">
        <v>853</v>
      </c>
      <c r="C50" s="2310"/>
      <c r="D50" s="2310"/>
      <c r="E50" s="2310"/>
      <c r="F50" s="1125"/>
      <c r="G50" s="606"/>
      <c r="H50" s="606"/>
      <c r="I50" s="606"/>
      <c r="K50" s="127"/>
      <c r="N50" s="127"/>
      <c r="O50" s="127"/>
      <c r="P50" s="127"/>
      <c r="Q50" s="127"/>
      <c r="R50" s="127"/>
      <c r="S50" s="127"/>
      <c r="T50" s="127"/>
      <c r="U50" s="127"/>
      <c r="V50" s="127"/>
      <c r="W50" s="127"/>
      <c r="X50" s="127"/>
      <c r="Y50" s="127"/>
      <c r="Z50" s="127"/>
      <c r="AA50" s="127"/>
    </row>
    <row r="51" spans="1:57" ht="35.25" customHeight="1" x14ac:dyDescent="0.25">
      <c r="B51" s="1302" t="s">
        <v>847</v>
      </c>
      <c r="C51" s="1537" t="s">
        <v>854</v>
      </c>
      <c r="D51" s="1565" t="s">
        <v>855</v>
      </c>
      <c r="E51" s="1626" t="s">
        <v>51</v>
      </c>
      <c r="F51" s="1627" t="s">
        <v>108</v>
      </c>
      <c r="G51" s="606"/>
      <c r="H51" s="606"/>
      <c r="I51" s="606"/>
      <c r="K51" s="127"/>
      <c r="N51" s="127"/>
      <c r="O51" s="127"/>
      <c r="P51" s="127"/>
      <c r="Q51" s="127"/>
      <c r="R51" s="127"/>
      <c r="S51" s="127"/>
      <c r="T51" s="127"/>
      <c r="U51" s="127"/>
      <c r="V51" s="127"/>
      <c r="W51" s="127"/>
      <c r="X51" s="127"/>
      <c r="Y51" s="127"/>
      <c r="Z51" s="127"/>
      <c r="AA51" s="127"/>
    </row>
    <row r="52" spans="1:57" ht="17.100000000000001" customHeight="1" x14ac:dyDescent="0.25">
      <c r="A52" s="1585" t="s">
        <v>1546</v>
      </c>
      <c r="B52" s="1124" t="s">
        <v>850</v>
      </c>
      <c r="C52" s="1362" t="s">
        <v>1616</v>
      </c>
      <c r="D52" s="1360" t="s">
        <v>1617</v>
      </c>
      <c r="E52" s="1360" t="s">
        <v>1618</v>
      </c>
      <c r="F52" s="1360" t="s">
        <v>1619</v>
      </c>
      <c r="G52" s="36" t="e">
        <f t="shared" ref="G52:G60" si="20">AV52&amp;AW52</f>
        <v>#VALUE!</v>
      </c>
      <c r="H52" s="606"/>
      <c r="I52" s="606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V52" s="191" t="e">
        <f>IF(AND(C52+D52&gt;0,OR(E52=""))," * No olvide digitar la variable Pueblos Originarios. Digite Cero si no tiene.",IF(E52&gt;C52+D52," * La variable Pueblos Originarios no puede ser Mayor a la suma de Mujeres +Trans con EFM Vigente.",""))</f>
        <v>#VALUE!</v>
      </c>
      <c r="AW52" s="191" t="e">
        <f>IF(AND(C52+D52&gt;0,OR(F52=""))," * No olvide digitar la variable Migrantes. Digite Cero si no tiene.",IF(F52&gt;C52+D52," * La variable Migrantes no puede ser Mayor a la suma de Mujeres +Trans con EFM Vigente.",""))</f>
        <v>#VALUE!</v>
      </c>
      <c r="BD52" s="1047" t="e">
        <f t="shared" ref="BD52:BD60" si="21">IF(AND($C52+$D52&gt;0,OR(E52="")),1,IF(E52&gt;$C52+$D52,1,0))</f>
        <v>#VALUE!</v>
      </c>
      <c r="BE52" s="1047" t="e">
        <f t="shared" ref="BE52:BE60" si="22">IF(AND($C52+$D52&gt;0,OR(F52="")),1,IF(F52&gt;$C52+$D52,1,0))</f>
        <v>#VALUE!</v>
      </c>
    </row>
    <row r="53" spans="1:57" x14ac:dyDescent="0.25">
      <c r="A53" s="1585" t="s">
        <v>1547</v>
      </c>
      <c r="B53" s="1123" t="s">
        <v>851</v>
      </c>
      <c r="C53" s="1362" t="s">
        <v>1616</v>
      </c>
      <c r="D53" s="1360" t="s">
        <v>1617</v>
      </c>
      <c r="E53" s="1360" t="s">
        <v>1618</v>
      </c>
      <c r="F53" s="1360" t="s">
        <v>1619</v>
      </c>
      <c r="G53" s="36" t="e">
        <f t="shared" si="20"/>
        <v>#VALUE!</v>
      </c>
      <c r="H53" s="127"/>
      <c r="I53" s="127"/>
      <c r="N53" s="127"/>
      <c r="O53" s="127"/>
      <c r="P53" s="127"/>
      <c r="Q53" s="127"/>
      <c r="R53" s="127"/>
      <c r="S53" s="127"/>
      <c r="T53" s="127"/>
      <c r="U53" s="127"/>
      <c r="V53" s="127"/>
      <c r="W53" s="127"/>
      <c r="X53" s="127"/>
      <c r="Y53" s="127"/>
      <c r="Z53" s="127"/>
      <c r="AA53" s="127"/>
      <c r="AV53" s="191" t="e">
        <f t="shared" ref="AV53:AV60" si="23">IF(AND(C53+D53&gt;0,OR(E53=""))," * No olvide digitar la variable Pueblos Originarios. Digite Cero si no tiene.",IF(E53&gt;C53+D53," * La variable Pueblos Originarios no puede ser Mayor a la suma de Mujeres +Trans con EFM Vigente.",""))</f>
        <v>#VALUE!</v>
      </c>
      <c r="AW53" s="191" t="e">
        <f t="shared" ref="AW53:AW60" si="24">IF(AND(C53+D53&gt;0,OR(F53=""))," * No olvide digitar la variable Migrantes. Digite Cero si no tiene.",IF(F53&gt;C53+D53," * La variable Migrantes no puede ser Mayor a la suma de Mujeres +Trans con EFM Vigente.",""))</f>
        <v>#VALUE!</v>
      </c>
      <c r="BD53" s="1047" t="e">
        <f t="shared" si="21"/>
        <v>#VALUE!</v>
      </c>
      <c r="BE53" s="1047" t="e">
        <f t="shared" si="22"/>
        <v>#VALUE!</v>
      </c>
    </row>
    <row r="54" spans="1:57" s="132" customFormat="1" ht="15" customHeight="1" x14ac:dyDescent="0.2">
      <c r="A54" s="1585" t="s">
        <v>1548</v>
      </c>
      <c r="B54" s="1118" t="s">
        <v>64</v>
      </c>
      <c r="C54" s="1362" t="s">
        <v>1616</v>
      </c>
      <c r="D54" s="1360" t="s">
        <v>1617</v>
      </c>
      <c r="E54" s="1360" t="s">
        <v>1618</v>
      </c>
      <c r="F54" s="1360" t="s">
        <v>1619</v>
      </c>
      <c r="G54" s="36" t="e">
        <f t="shared" si="20"/>
        <v>#VALUE!</v>
      </c>
      <c r="H54" s="127"/>
      <c r="I54" s="127"/>
      <c r="L54" s="127"/>
      <c r="M54" s="127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180"/>
      <c r="AB54" s="970"/>
      <c r="AC54" s="127"/>
      <c r="AF54" s="127"/>
      <c r="AG54" s="127"/>
      <c r="AH54" s="127"/>
      <c r="AI54" s="127"/>
      <c r="AJ54" s="127"/>
      <c r="AK54" s="127"/>
      <c r="AL54" s="127"/>
      <c r="AM54" s="127"/>
      <c r="AN54" s="127"/>
      <c r="AO54" s="127"/>
      <c r="AP54" s="127"/>
      <c r="AR54" s="127"/>
      <c r="AS54" s="127"/>
      <c r="AT54" s="127"/>
      <c r="AU54" s="127"/>
      <c r="AV54" s="191" t="e">
        <f t="shared" si="23"/>
        <v>#VALUE!</v>
      </c>
      <c r="AW54" s="191" t="e">
        <f t="shared" si="24"/>
        <v>#VALUE!</v>
      </c>
      <c r="AX54" s="127"/>
      <c r="AY54" s="127"/>
      <c r="AZ54" s="127"/>
      <c r="BA54" s="127"/>
      <c r="BB54" s="127"/>
      <c r="BC54" s="127"/>
      <c r="BD54" s="1047" t="e">
        <f t="shared" si="21"/>
        <v>#VALUE!</v>
      </c>
      <c r="BE54" s="1047" t="e">
        <f t="shared" si="22"/>
        <v>#VALUE!</v>
      </c>
    </row>
    <row r="55" spans="1:57" ht="15" customHeight="1" x14ac:dyDescent="0.25">
      <c r="A55" s="1585" t="s">
        <v>1549</v>
      </c>
      <c r="B55" s="1118" t="s">
        <v>65</v>
      </c>
      <c r="C55" s="1362" t="s">
        <v>1616</v>
      </c>
      <c r="D55" s="1360" t="s">
        <v>1617</v>
      </c>
      <c r="E55" s="1360" t="s">
        <v>1618</v>
      </c>
      <c r="F55" s="1360" t="s">
        <v>1619</v>
      </c>
      <c r="G55" s="36" t="e">
        <f t="shared" si="20"/>
        <v>#VALUE!</v>
      </c>
      <c r="H55" s="127"/>
      <c r="I55" s="127"/>
      <c r="AB55" s="970"/>
      <c r="AV55" s="191" t="e">
        <f t="shared" si="23"/>
        <v>#VALUE!</v>
      </c>
      <c r="AW55" s="191" t="e">
        <f t="shared" si="24"/>
        <v>#VALUE!</v>
      </c>
      <c r="BD55" s="1047" t="e">
        <f t="shared" si="21"/>
        <v>#VALUE!</v>
      </c>
      <c r="BE55" s="1047" t="e">
        <f t="shared" si="22"/>
        <v>#VALUE!</v>
      </c>
    </row>
    <row r="56" spans="1:57" ht="15" customHeight="1" x14ac:dyDescent="0.25">
      <c r="A56" s="1585" t="s">
        <v>1550</v>
      </c>
      <c r="B56" s="1118" t="s">
        <v>66</v>
      </c>
      <c r="C56" s="1362" t="s">
        <v>1616</v>
      </c>
      <c r="D56" s="1360" t="s">
        <v>1617</v>
      </c>
      <c r="E56" s="1360" t="s">
        <v>1618</v>
      </c>
      <c r="F56" s="1360" t="s">
        <v>1619</v>
      </c>
      <c r="G56" s="36" t="e">
        <f t="shared" si="20"/>
        <v>#VALUE!</v>
      </c>
      <c r="H56" s="127"/>
      <c r="I56" s="127"/>
      <c r="AB56" s="970"/>
      <c r="AV56" s="191" t="e">
        <f t="shared" si="23"/>
        <v>#VALUE!</v>
      </c>
      <c r="AW56" s="191" t="e">
        <f t="shared" si="24"/>
        <v>#VALUE!</v>
      </c>
      <c r="BD56" s="1047" t="e">
        <f t="shared" si="21"/>
        <v>#VALUE!</v>
      </c>
      <c r="BE56" s="1047" t="e">
        <f t="shared" si="22"/>
        <v>#VALUE!</v>
      </c>
    </row>
    <row r="57" spans="1:57" ht="15" customHeight="1" x14ac:dyDescent="0.25">
      <c r="A57" s="1585" t="s">
        <v>1551</v>
      </c>
      <c r="B57" s="1118" t="s">
        <v>67</v>
      </c>
      <c r="C57" s="1362" t="s">
        <v>1616</v>
      </c>
      <c r="D57" s="1360" t="s">
        <v>1617</v>
      </c>
      <c r="E57" s="1360" t="s">
        <v>1618</v>
      </c>
      <c r="F57" s="1360" t="s">
        <v>1619</v>
      </c>
      <c r="G57" s="36" t="e">
        <f t="shared" si="20"/>
        <v>#VALUE!</v>
      </c>
      <c r="H57" s="127"/>
      <c r="I57" s="127"/>
      <c r="AB57" s="970"/>
      <c r="AV57" s="191" t="e">
        <f t="shared" si="23"/>
        <v>#VALUE!</v>
      </c>
      <c r="AW57" s="191" t="e">
        <f t="shared" si="24"/>
        <v>#VALUE!</v>
      </c>
      <c r="BD57" s="1047" t="e">
        <f t="shared" si="21"/>
        <v>#VALUE!</v>
      </c>
      <c r="BE57" s="1047" t="e">
        <f t="shared" si="22"/>
        <v>#VALUE!</v>
      </c>
    </row>
    <row r="58" spans="1:57" ht="15" customHeight="1" x14ac:dyDescent="0.25">
      <c r="A58" s="1585" t="s">
        <v>1552</v>
      </c>
      <c r="B58" s="1118" t="s">
        <v>406</v>
      </c>
      <c r="C58" s="1362" t="s">
        <v>1616</v>
      </c>
      <c r="D58" s="1360" t="s">
        <v>1617</v>
      </c>
      <c r="E58" s="1360" t="s">
        <v>1618</v>
      </c>
      <c r="F58" s="1360" t="s">
        <v>1619</v>
      </c>
      <c r="G58" s="36" t="e">
        <f t="shared" si="20"/>
        <v>#VALUE!</v>
      </c>
      <c r="H58" s="127"/>
      <c r="I58" s="127"/>
      <c r="AB58" s="970"/>
      <c r="AV58" s="191" t="e">
        <f t="shared" si="23"/>
        <v>#VALUE!</v>
      </c>
      <c r="AW58" s="191" t="e">
        <f t="shared" si="24"/>
        <v>#VALUE!</v>
      </c>
      <c r="BD58" s="1047" t="e">
        <f t="shared" si="21"/>
        <v>#VALUE!</v>
      </c>
      <c r="BE58" s="1047" t="e">
        <f t="shared" si="22"/>
        <v>#VALUE!</v>
      </c>
    </row>
    <row r="59" spans="1:57" ht="15" customHeight="1" x14ac:dyDescent="0.25">
      <c r="A59" s="1585" t="s">
        <v>1553</v>
      </c>
      <c r="B59" s="1118" t="s">
        <v>407</v>
      </c>
      <c r="C59" s="1362" t="s">
        <v>1616</v>
      </c>
      <c r="D59" s="1360" t="s">
        <v>1617</v>
      </c>
      <c r="E59" s="1360" t="s">
        <v>1618</v>
      </c>
      <c r="F59" s="1360" t="s">
        <v>1619</v>
      </c>
      <c r="G59" s="36" t="e">
        <f t="shared" si="20"/>
        <v>#VALUE!</v>
      </c>
      <c r="H59" s="127"/>
      <c r="I59" s="127"/>
      <c r="AB59" s="970"/>
      <c r="AV59" s="191" t="e">
        <f t="shared" si="23"/>
        <v>#VALUE!</v>
      </c>
      <c r="AW59" s="191" t="e">
        <f t="shared" si="24"/>
        <v>#VALUE!</v>
      </c>
      <c r="BD59" s="1047" t="e">
        <f t="shared" si="21"/>
        <v>#VALUE!</v>
      </c>
      <c r="BE59" s="1047" t="e">
        <f t="shared" si="22"/>
        <v>#VALUE!</v>
      </c>
    </row>
    <row r="60" spans="1:57" ht="15" customHeight="1" x14ac:dyDescent="0.25">
      <c r="A60" s="1585" t="s">
        <v>1554</v>
      </c>
      <c r="B60" s="1118" t="s">
        <v>408</v>
      </c>
      <c r="C60" s="1362" t="s">
        <v>1616</v>
      </c>
      <c r="D60" s="1360" t="s">
        <v>1617</v>
      </c>
      <c r="E60" s="1360" t="s">
        <v>1618</v>
      </c>
      <c r="F60" s="1360" t="s">
        <v>1619</v>
      </c>
      <c r="G60" s="36" t="e">
        <f t="shared" si="20"/>
        <v>#VALUE!</v>
      </c>
      <c r="H60" s="127"/>
      <c r="I60" s="127"/>
      <c r="AB60" s="970"/>
      <c r="AV60" s="191" t="e">
        <f t="shared" si="23"/>
        <v>#VALUE!</v>
      </c>
      <c r="AW60" s="191" t="e">
        <f t="shared" si="24"/>
        <v>#VALUE!</v>
      </c>
      <c r="BD60" s="1047" t="e">
        <f t="shared" si="21"/>
        <v>#VALUE!</v>
      </c>
      <c r="BE60" s="1047" t="e">
        <f t="shared" si="22"/>
        <v>#VALUE!</v>
      </c>
    </row>
    <row r="61" spans="1:57" ht="15" customHeight="1" x14ac:dyDescent="0.25">
      <c r="A61" s="1622"/>
      <c r="B61" s="1542" t="s">
        <v>49</v>
      </c>
      <c r="C61" s="1572">
        <f>SUM(C52:C60)</f>
        <v>0</v>
      </c>
      <c r="D61" s="1571">
        <f>SUM(D52:D60)</f>
        <v>0</v>
      </c>
      <c r="E61" s="1389">
        <f t="shared" ref="E61:F61" si="25">SUM(E52:E60)</f>
        <v>0</v>
      </c>
      <c r="F61" s="1543">
        <f t="shared" si="25"/>
        <v>0</v>
      </c>
      <c r="G61" s="606"/>
      <c r="H61" s="606"/>
      <c r="I61" s="606"/>
      <c r="N61" s="127"/>
      <c r="O61" s="127"/>
      <c r="P61" s="127"/>
      <c r="Q61" s="127"/>
      <c r="R61" s="127"/>
      <c r="S61" s="127"/>
      <c r="T61" s="127"/>
      <c r="U61" s="127"/>
      <c r="V61" s="127"/>
      <c r="W61" s="127"/>
      <c r="X61" s="127"/>
      <c r="Y61" s="127"/>
      <c r="Z61" s="127"/>
      <c r="AA61" s="127"/>
    </row>
    <row r="62" spans="1:57" x14ac:dyDescent="0.25">
      <c r="B62" s="1121" t="s">
        <v>852</v>
      </c>
      <c r="C62" s="1120"/>
      <c r="D62" s="34"/>
      <c r="E62" s="126"/>
      <c r="F62" s="606"/>
      <c r="G62" s="606"/>
      <c r="H62" s="606"/>
      <c r="I62" s="606"/>
      <c r="N62" s="127"/>
      <c r="O62" s="127"/>
      <c r="P62" s="127"/>
      <c r="Q62" s="127"/>
      <c r="R62" s="127"/>
      <c r="S62" s="127"/>
      <c r="T62" s="127"/>
      <c r="U62" s="127"/>
      <c r="V62" s="127"/>
      <c r="W62" s="127"/>
      <c r="X62" s="127"/>
      <c r="Y62" s="127"/>
      <c r="Z62" s="127"/>
      <c r="AA62" s="127"/>
    </row>
    <row r="63" spans="1:57" x14ac:dyDescent="0.25">
      <c r="N63" s="127"/>
      <c r="O63" s="127"/>
      <c r="P63" s="127"/>
      <c r="Q63" s="127"/>
      <c r="R63" s="127"/>
      <c r="S63" s="127"/>
      <c r="T63" s="127"/>
      <c r="U63" s="127"/>
      <c r="V63" s="127"/>
      <c r="W63" s="127"/>
      <c r="X63" s="127"/>
      <c r="Y63" s="127"/>
      <c r="Z63" s="127"/>
      <c r="AA63" s="127"/>
    </row>
    <row r="64" spans="1:57" x14ac:dyDescent="0.25">
      <c r="A64" s="127" t="s">
        <v>1292</v>
      </c>
      <c r="N64" s="127"/>
      <c r="O64" s="127"/>
      <c r="P64" s="127"/>
      <c r="Q64" s="127"/>
      <c r="R64" s="127"/>
      <c r="S64" s="127"/>
      <c r="T64" s="127"/>
      <c r="U64" s="127"/>
      <c r="V64" s="127"/>
      <c r="W64" s="127"/>
      <c r="X64" s="127"/>
      <c r="Y64" s="127"/>
      <c r="Z64" s="127"/>
      <c r="AA64" s="127"/>
    </row>
    <row r="65" spans="1:27" x14ac:dyDescent="0.25">
      <c r="A65" s="1589" t="s">
        <v>1555</v>
      </c>
      <c r="N65" s="127"/>
      <c r="O65" s="127"/>
      <c r="P65" s="127"/>
      <c r="Q65" s="127"/>
      <c r="R65" s="127"/>
      <c r="S65" s="127"/>
      <c r="T65" s="127"/>
      <c r="U65" s="127"/>
      <c r="V65" s="127"/>
      <c r="W65" s="127"/>
      <c r="X65" s="127"/>
      <c r="Y65" s="127"/>
      <c r="Z65" s="127"/>
      <c r="AA65" s="127"/>
    </row>
    <row r="66" spans="1:27" x14ac:dyDescent="0.25">
      <c r="A66" s="1589" t="s">
        <v>1556</v>
      </c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</row>
    <row r="67" spans="1:27" x14ac:dyDescent="0.25">
      <c r="A67" s="1589" t="s">
        <v>1557</v>
      </c>
      <c r="N67" s="127"/>
      <c r="O67" s="127"/>
      <c r="P67" s="127"/>
      <c r="Q67" s="127"/>
      <c r="R67" s="127"/>
      <c r="S67" s="127"/>
      <c r="T67" s="127"/>
      <c r="U67" s="127"/>
      <c r="V67" s="127"/>
      <c r="W67" s="127"/>
      <c r="X67" s="127"/>
      <c r="Y67" s="127"/>
      <c r="Z67" s="127"/>
      <c r="AA67" s="127"/>
    </row>
    <row r="68" spans="1:27" x14ac:dyDescent="0.25">
      <c r="A68" s="1589" t="s">
        <v>1558</v>
      </c>
      <c r="N68" s="127"/>
      <c r="O68" s="127"/>
      <c r="P68" s="127"/>
      <c r="Q68" s="127"/>
      <c r="R68" s="127"/>
      <c r="S68" s="127"/>
      <c r="T68" s="127"/>
      <c r="U68" s="127"/>
      <c r="V68" s="127"/>
      <c r="W68" s="127"/>
      <c r="X68" s="127"/>
      <c r="Y68" s="127"/>
      <c r="Z68" s="127"/>
      <c r="AA68" s="127"/>
    </row>
    <row r="69" spans="1:27" x14ac:dyDescent="0.25">
      <c r="A69" s="1589" t="s">
        <v>1559</v>
      </c>
      <c r="N69" s="127"/>
      <c r="O69" s="127"/>
      <c r="P69" s="127"/>
      <c r="Q69" s="127"/>
      <c r="R69" s="127"/>
      <c r="S69" s="127"/>
      <c r="T69" s="127"/>
      <c r="U69" s="127"/>
      <c r="V69" s="127"/>
      <c r="W69" s="127"/>
      <c r="X69" s="127"/>
      <c r="Y69" s="127"/>
      <c r="Z69" s="127"/>
      <c r="AA69" s="127"/>
    </row>
    <row r="70" spans="1:27" x14ac:dyDescent="0.25">
      <c r="A70" s="1589" t="s">
        <v>1560</v>
      </c>
    </row>
    <row r="71" spans="1:27" x14ac:dyDescent="0.25">
      <c r="A71" s="1589" t="s">
        <v>1561</v>
      </c>
    </row>
    <row r="72" spans="1:27" x14ac:dyDescent="0.25">
      <c r="A72" s="1589" t="s">
        <v>1562</v>
      </c>
    </row>
    <row r="73" spans="1:27" x14ac:dyDescent="0.25">
      <c r="A73" s="1589" t="s">
        <v>1563</v>
      </c>
    </row>
    <row r="74" spans="1:27" x14ac:dyDescent="0.25">
      <c r="A74" s="1589" t="s">
        <v>1564</v>
      </c>
    </row>
    <row r="75" spans="1:27" x14ac:dyDescent="0.25">
      <c r="A75" s="1589" t="s">
        <v>1565</v>
      </c>
    </row>
    <row r="76" spans="1:27" x14ac:dyDescent="0.25">
      <c r="A76" s="1589" t="s">
        <v>1566</v>
      </c>
    </row>
    <row r="77" spans="1:27" x14ac:dyDescent="0.25">
      <c r="A77" s="1589" t="s">
        <v>1567</v>
      </c>
    </row>
    <row r="78" spans="1:27" x14ac:dyDescent="0.25">
      <c r="A78" s="1589" t="s">
        <v>1568</v>
      </c>
    </row>
    <row r="79" spans="1:27" x14ac:dyDescent="0.25">
      <c r="A79" s="1589" t="s">
        <v>1569</v>
      </c>
    </row>
    <row r="80" spans="1:27" x14ac:dyDescent="0.25">
      <c r="A80" s="1589" t="s">
        <v>1570</v>
      </c>
      <c r="B80" s="1438">
        <f>SUM(C11:D23,C28:D34,C39:D47,C52:D60)</f>
        <v>0</v>
      </c>
      <c r="C80" s="592" t="s">
        <v>206</v>
      </c>
    </row>
    <row r="81" spans="1:3" x14ac:dyDescent="0.25">
      <c r="A81" s="1589" t="s">
        <v>1571</v>
      </c>
      <c r="B81" s="1438" t="e">
        <f>SUM(BD11:BE60)</f>
        <v>#VALUE!</v>
      </c>
      <c r="C81" s="592" t="s">
        <v>207</v>
      </c>
    </row>
    <row r="82" spans="1:3" x14ac:dyDescent="0.25">
      <c r="A82" s="1589" t="s">
        <v>1572</v>
      </c>
    </row>
    <row r="83" spans="1:3" x14ac:dyDescent="0.25">
      <c r="A83" s="1589" t="s">
        <v>1573</v>
      </c>
    </row>
    <row r="84" spans="1:3" x14ac:dyDescent="0.25">
      <c r="A84" s="1589" t="s">
        <v>1574</v>
      </c>
    </row>
    <row r="85" spans="1:3" x14ac:dyDescent="0.25">
      <c r="A85" s="1589" t="s">
        <v>1575</v>
      </c>
    </row>
    <row r="86" spans="1:3" x14ac:dyDescent="0.25">
      <c r="A86" s="1589" t="s">
        <v>1576</v>
      </c>
    </row>
    <row r="87" spans="1:3" x14ac:dyDescent="0.25">
      <c r="A87" s="1589" t="s">
        <v>1577</v>
      </c>
    </row>
    <row r="88" spans="1:3" x14ac:dyDescent="0.25">
      <c r="A88" s="1589" t="s">
        <v>1578</v>
      </c>
    </row>
    <row r="89" spans="1:3" x14ac:dyDescent="0.25">
      <c r="A89" s="1589" t="s">
        <v>1579</v>
      </c>
    </row>
    <row r="90" spans="1:3" x14ac:dyDescent="0.25">
      <c r="A90" s="1589" t="s">
        <v>1580</v>
      </c>
    </row>
    <row r="91" spans="1:3" x14ac:dyDescent="0.25">
      <c r="A91" s="1589" t="s">
        <v>1581</v>
      </c>
    </row>
    <row r="92" spans="1:3" x14ac:dyDescent="0.25">
      <c r="A92" s="1589" t="s">
        <v>1582</v>
      </c>
    </row>
    <row r="93" spans="1:3" x14ac:dyDescent="0.25">
      <c r="A93" s="1589" t="s">
        <v>1583</v>
      </c>
    </row>
    <row r="94" spans="1:3" x14ac:dyDescent="0.25">
      <c r="A94" s="1589" t="s">
        <v>1584</v>
      </c>
    </row>
    <row r="95" spans="1:3" x14ac:dyDescent="0.25">
      <c r="A95" s="1589" t="s">
        <v>1585</v>
      </c>
    </row>
    <row r="96" spans="1:3" x14ac:dyDescent="0.25">
      <c r="A96" s="1589" t="s">
        <v>1586</v>
      </c>
    </row>
    <row r="97" spans="1:1" x14ac:dyDescent="0.25">
      <c r="A97" s="1589" t="s">
        <v>1587</v>
      </c>
    </row>
    <row r="98" spans="1:1" x14ac:dyDescent="0.25">
      <c r="A98" s="1589" t="s">
        <v>1588</v>
      </c>
    </row>
    <row r="99" spans="1:1" x14ac:dyDescent="0.25">
      <c r="A99" s="1589" t="s">
        <v>1589</v>
      </c>
    </row>
    <row r="100" spans="1:1" x14ac:dyDescent="0.25">
      <c r="A100" s="1589" t="s">
        <v>1590</v>
      </c>
    </row>
    <row r="101" spans="1:1" x14ac:dyDescent="0.25">
      <c r="A101" s="1589" t="s">
        <v>1591</v>
      </c>
    </row>
    <row r="102" spans="1:1" x14ac:dyDescent="0.25">
      <c r="A102" s="1589" t="s">
        <v>1592</v>
      </c>
    </row>
    <row r="103" spans="1:1" x14ac:dyDescent="0.25">
      <c r="A103" s="1589" t="s">
        <v>1593</v>
      </c>
    </row>
    <row r="104" spans="1:1" x14ac:dyDescent="0.25">
      <c r="A104" s="1589" t="s">
        <v>1594</v>
      </c>
    </row>
    <row r="105" spans="1:1" x14ac:dyDescent="0.25">
      <c r="A105" s="1589" t="s">
        <v>1595</v>
      </c>
    </row>
    <row r="106" spans="1:1" x14ac:dyDescent="0.25">
      <c r="A106" s="1589" t="s">
        <v>1596</v>
      </c>
    </row>
    <row r="107" spans="1:1" x14ac:dyDescent="0.25">
      <c r="A107" s="1589" t="s">
        <v>1597</v>
      </c>
    </row>
    <row r="108" spans="1:1" x14ac:dyDescent="0.25">
      <c r="A108" s="1589" t="s">
        <v>1598</v>
      </c>
    </row>
    <row r="109" spans="1:1" x14ac:dyDescent="0.25">
      <c r="A109" s="1589" t="s">
        <v>1599</v>
      </c>
    </row>
    <row r="110" spans="1:1" x14ac:dyDescent="0.25">
      <c r="A110" s="1589" t="s">
        <v>1600</v>
      </c>
    </row>
    <row r="111" spans="1:1" x14ac:dyDescent="0.25">
      <c r="A111" s="1589" t="s">
        <v>1601</v>
      </c>
    </row>
    <row r="112" spans="1:1" x14ac:dyDescent="0.25">
      <c r="A112" s="1589" t="s">
        <v>1602</v>
      </c>
    </row>
    <row r="129" spans="2:3" x14ac:dyDescent="0.25">
      <c r="B129" s="127"/>
      <c r="C129" s="127"/>
    </row>
    <row r="130" spans="2:3" x14ac:dyDescent="0.25">
      <c r="B130" s="127"/>
      <c r="C130" s="127"/>
    </row>
  </sheetData>
  <mergeCells count="9">
    <mergeCell ref="B36:C36"/>
    <mergeCell ref="B37:E37"/>
    <mergeCell ref="B50:E50"/>
    <mergeCell ref="O5:P5"/>
    <mergeCell ref="B25:D25"/>
    <mergeCell ref="B8:D8"/>
    <mergeCell ref="B9:D9"/>
    <mergeCell ref="B26:D26"/>
    <mergeCell ref="B7:H7"/>
  </mergeCells>
  <phoneticPr fontId="25" type="noConversion"/>
  <dataValidations count="3">
    <dataValidation allowBlank="1" showInputMessage="1" showErrorMessage="1" errorTitle="Error de ingreso" error="Debe ingresar sólo números enteros positivos." sqref="C51:C53 C38:C40 B71:C128 C10:D10 C1:K6 C27 C61:C70 D62:H1048576 O12:AC1048576 I26:N1048576 B131:C1048576 C24:D25 E60:F61 F49:F50 E36 D27:D36 E47:F48 L1:L7 B6:B70 G61 E25:F26 E35:F35 F36:F37 D49:E49 D38:D48 D51:D61 G10:I10 DO1:XFD1048576 AF1:DN10 M1:AC10 J9:L10 H12:N25 AF12:AU1048576 AV61:AW1048576 AV24:AW27 H26:H61 G24:G27 AV35:AW38 AV48:AW51 G35:G38 G48:G51 AX12:BC1048576 BF12:DN1048576 BD24:BE27 BD35:BE38 BD48:BE51 BD61:BE1048576" xr:uid="{00000000-0002-0000-0A00-000000000000}"/>
    <dataValidation type="whole" operator="greaterThanOrEqual" allowBlank="1" showInputMessage="1" showErrorMessage="1" sqref="C11:D23 E34:F34 C41:C49 C28:C35 C54:C60" xr:uid="{00000000-0002-0000-0A00-000001000000}">
      <formula1>0</formula1>
    </dataValidation>
    <dataValidation allowBlank="1" showInputMessage="1" showErrorMessage="1" errorTitle=" Error de ingreso" error="Debe ingresar sólo números enteros positivos." sqref="G52:G60 G11:U11 CL11:DN11 G12:G23 G28:G34 G39:G47 BB11 BD11:CE11 BD12:BE23 BD28:BE34 BD39:BE47 BD52:BE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in="1" max="11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CA42"/>
  <sheetViews>
    <sheetView showGridLines="0" zoomScaleNormal="100" workbookViewId="0"/>
  </sheetViews>
  <sheetFormatPr baseColWidth="10" defaultColWidth="11.42578125" defaultRowHeight="10.5" x14ac:dyDescent="0.15"/>
  <cols>
    <col min="1" max="1" width="17.85546875" style="108" customWidth="1"/>
    <col min="2" max="2" width="61.5703125" style="108" customWidth="1"/>
    <col min="3" max="5" width="15.85546875" style="108" customWidth="1"/>
    <col min="6" max="17" width="10.28515625" style="108" customWidth="1"/>
    <col min="18" max="19" width="11" style="108" customWidth="1"/>
    <col min="20" max="20" width="14.85546875" style="108" customWidth="1"/>
    <col min="21" max="21" width="17.85546875" style="108" customWidth="1"/>
    <col min="22" max="49" width="11.42578125" style="108" customWidth="1"/>
    <col min="50" max="50" width="9.42578125" style="108" customWidth="1"/>
    <col min="51" max="53" width="9.42578125" style="34" customWidth="1"/>
    <col min="54" max="54" width="9.42578125" style="108" hidden="1" customWidth="1"/>
    <col min="55" max="55" width="10.5703125" style="108" hidden="1" customWidth="1"/>
    <col min="56" max="62" width="9.42578125" style="108" hidden="1" customWidth="1"/>
    <col min="63" max="63" width="10.7109375" style="108" hidden="1" customWidth="1"/>
    <col min="64" max="65" width="9.42578125" style="108" hidden="1" customWidth="1"/>
    <col min="66" max="75" width="9.42578125" style="108" customWidth="1"/>
    <col min="76" max="79" width="11.42578125" style="172" customWidth="1"/>
    <col min="80" max="91" width="11.42578125" style="108" customWidth="1"/>
    <col min="92" max="16384" width="11.42578125" style="108"/>
  </cols>
  <sheetData>
    <row r="1" spans="1:79" s="34" customFormat="1" ht="13.5" customHeight="1" x14ac:dyDescent="0.15">
      <c r="B1" s="33" t="s">
        <v>0</v>
      </c>
      <c r="BX1" s="33"/>
      <c r="BY1" s="33"/>
      <c r="BZ1" s="33"/>
      <c r="CA1" s="33"/>
    </row>
    <row r="2" spans="1:79" s="34" customFormat="1" ht="13.5" customHeight="1" x14ac:dyDescent="0.15">
      <c r="B2" s="33" t="str">
        <f>CONCATENATE("COMUNA: ",NOMBRE!$B$2,"   ","( ",NOMBRE!$C$2,NOMBRE!$D$2,NOMBRE!$E$2,NOMBRE!$F$2,NOMBRE!$G$2," )")</f>
        <v>COMUNA:    (  )</v>
      </c>
      <c r="BX2" s="33"/>
      <c r="BY2" s="33"/>
      <c r="BZ2" s="33"/>
      <c r="CA2" s="33"/>
    </row>
    <row r="3" spans="1:79" s="34" customFormat="1" ht="13.5" customHeight="1" x14ac:dyDescent="0.15">
      <c r="B3" s="33" t="str">
        <f>CONCATENATE("ESTABLECIMIENTO/ESTRATEGIA: ",NOMBRE!$B$3,"   ","( ",NOMBRE!$C$3,NOMBRE!$D$3,NOMBRE!$E$3,NOMBRE!$F$3,NOMBRE!$G$3,NOMBRE!$H$3," )")</f>
        <v>ESTABLECIMIENTO/ESTRATEGIA:    (  )</v>
      </c>
      <c r="E3" s="83"/>
      <c r="BX3" s="33"/>
      <c r="BY3" s="33"/>
      <c r="BZ3" s="33"/>
      <c r="CA3" s="33"/>
    </row>
    <row r="4" spans="1:79" s="34" customFormat="1" ht="13.5" customHeight="1" x14ac:dyDescent="0.15">
      <c r="B4" s="33" t="str">
        <f>CONCATENATE("MES: ",NOMBRE!$B$6,"   ","( ",NOMBRE!$C$6,NOMBRE!$D$6," )")</f>
        <v>MES:    (  )</v>
      </c>
      <c r="BX4" s="33"/>
      <c r="BY4" s="33"/>
      <c r="BZ4" s="33"/>
      <c r="CA4" s="33"/>
    </row>
    <row r="5" spans="1:79" s="34" customFormat="1" ht="13.5" customHeight="1" x14ac:dyDescent="0.15">
      <c r="B5" s="33" t="str">
        <f>CONCATENATE("AÑO: ",NOMBRE!$B$7)</f>
        <v>AÑO: 2025</v>
      </c>
      <c r="BX5" s="33"/>
      <c r="BY5" s="33"/>
      <c r="BZ5" s="33"/>
      <c r="CA5" s="33"/>
    </row>
    <row r="6" spans="1:79" s="34" customFormat="1" ht="15" customHeight="1" x14ac:dyDescent="0.15">
      <c r="B6" s="82"/>
      <c r="BX6" s="33"/>
      <c r="BY6" s="33"/>
      <c r="BZ6" s="33"/>
      <c r="CA6" s="33"/>
    </row>
    <row r="7" spans="1:79" s="36" customFormat="1" ht="20.25" customHeight="1" x14ac:dyDescent="0.15">
      <c r="B7" s="2206" t="s">
        <v>856</v>
      </c>
      <c r="C7" s="2206"/>
      <c r="D7" s="2206"/>
      <c r="E7" s="2206"/>
      <c r="F7" s="2206"/>
      <c r="G7" s="2206"/>
      <c r="H7" s="2206"/>
      <c r="I7" s="2206"/>
      <c r="J7" s="2206"/>
      <c r="K7" s="2206"/>
      <c r="L7" s="2206"/>
      <c r="M7" s="2206"/>
      <c r="N7" s="2206"/>
      <c r="O7" s="2206"/>
      <c r="P7" s="2206"/>
      <c r="Q7" s="2206"/>
      <c r="R7" s="2206"/>
      <c r="S7" s="2206"/>
      <c r="T7" s="108"/>
      <c r="U7" s="108"/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8"/>
      <c r="AM7" s="108"/>
      <c r="AN7" s="108"/>
      <c r="AO7" s="108"/>
      <c r="AP7" s="108"/>
      <c r="AQ7" s="108"/>
      <c r="AR7" s="108"/>
      <c r="AS7" s="108"/>
      <c r="AT7" s="108"/>
      <c r="AU7" s="108"/>
      <c r="AV7" s="108"/>
      <c r="AW7" s="108"/>
      <c r="AX7" s="108"/>
      <c r="AY7" s="34"/>
      <c r="AZ7" s="34"/>
      <c r="BA7" s="34"/>
      <c r="BX7" s="70"/>
      <c r="BY7" s="70"/>
      <c r="BZ7" s="70"/>
      <c r="CA7" s="70"/>
    </row>
    <row r="8" spans="1:79" ht="17.100000000000001" customHeight="1" x14ac:dyDescent="0.15">
      <c r="B8" s="1093" t="s">
        <v>857</v>
      </c>
      <c r="C8" s="232"/>
      <c r="D8" s="232"/>
      <c r="E8" s="172"/>
      <c r="F8" s="172"/>
      <c r="G8" s="172"/>
      <c r="H8" s="172"/>
      <c r="I8" s="172"/>
      <c r="J8" s="172"/>
      <c r="K8" s="172"/>
      <c r="L8" s="110"/>
    </row>
    <row r="9" spans="1:79" ht="15.75" customHeight="1" x14ac:dyDescent="0.25">
      <c r="B9" s="2318" t="s">
        <v>858</v>
      </c>
      <c r="C9" s="2319" t="s">
        <v>49</v>
      </c>
      <c r="D9" s="2320"/>
      <c r="E9" s="2321"/>
      <c r="F9" s="2325" t="s">
        <v>376</v>
      </c>
      <c r="G9" s="2326"/>
      <c r="H9" s="2326"/>
      <c r="I9" s="2326"/>
      <c r="J9" s="2326"/>
      <c r="K9" s="2326"/>
      <c r="L9" s="2326"/>
      <c r="M9" s="2326"/>
      <c r="N9" s="2326"/>
      <c r="O9" s="2326"/>
      <c r="P9" s="2326"/>
      <c r="Q9" s="2327"/>
      <c r="R9" s="2321" t="s">
        <v>108</v>
      </c>
      <c r="S9" s="1665" t="s">
        <v>51</v>
      </c>
      <c r="X9" s="606"/>
      <c r="Y9" s="606"/>
      <c r="Z9" s="606"/>
      <c r="AA9" s="606"/>
      <c r="AB9" s="606"/>
      <c r="AC9" s="606"/>
      <c r="AD9" s="606"/>
      <c r="AE9" s="606"/>
      <c r="AF9" s="606"/>
      <c r="AG9" s="606"/>
    </row>
    <row r="10" spans="1:79" ht="15.75" customHeight="1" x14ac:dyDescent="0.15">
      <c r="B10" s="2318"/>
      <c r="C10" s="2322"/>
      <c r="D10" s="2323"/>
      <c r="E10" s="2324"/>
      <c r="F10" s="1687" t="s">
        <v>859</v>
      </c>
      <c r="G10" s="2316"/>
      <c r="H10" s="1687" t="s">
        <v>860</v>
      </c>
      <c r="I10" s="2316"/>
      <c r="J10" s="1687" t="s">
        <v>861</v>
      </c>
      <c r="K10" s="2316"/>
      <c r="L10" s="1687" t="s">
        <v>57</v>
      </c>
      <c r="M10" s="2316"/>
      <c r="N10" s="1687" t="s">
        <v>862</v>
      </c>
      <c r="O10" s="2316"/>
      <c r="P10" s="1687" t="s">
        <v>863</v>
      </c>
      <c r="Q10" s="2317"/>
      <c r="R10" s="2328"/>
      <c r="S10" s="1666"/>
      <c r="BB10" s="1970" t="s">
        <v>108</v>
      </c>
      <c r="BC10" s="1970" t="s">
        <v>51</v>
      </c>
      <c r="BD10" s="2053"/>
      <c r="BE10" s="2053"/>
      <c r="BJ10" s="1970" t="s">
        <v>108</v>
      </c>
      <c r="BK10" s="1970" t="s">
        <v>51</v>
      </c>
      <c r="BL10" s="2053"/>
      <c r="BM10" s="2053"/>
    </row>
    <row r="11" spans="1:79" ht="18" customHeight="1" x14ac:dyDescent="0.15">
      <c r="B11" s="2318"/>
      <c r="C11" s="1430" t="s">
        <v>226</v>
      </c>
      <c r="D11" s="1545" t="s">
        <v>763</v>
      </c>
      <c r="E11" s="964" t="s">
        <v>85</v>
      </c>
      <c r="F11" s="1304" t="s">
        <v>763</v>
      </c>
      <c r="G11" s="964" t="s">
        <v>85</v>
      </c>
      <c r="H11" s="1304" t="s">
        <v>763</v>
      </c>
      <c r="I11" s="964" t="s">
        <v>85</v>
      </c>
      <c r="J11" s="1304" t="s">
        <v>763</v>
      </c>
      <c r="K11" s="1390" t="s">
        <v>85</v>
      </c>
      <c r="L11" s="1304" t="s">
        <v>763</v>
      </c>
      <c r="M11" s="1390" t="s">
        <v>85</v>
      </c>
      <c r="N11" s="1304" t="s">
        <v>763</v>
      </c>
      <c r="O11" s="1390" t="s">
        <v>85</v>
      </c>
      <c r="P11" s="1545" t="s">
        <v>763</v>
      </c>
      <c r="Q11" s="1544" t="s">
        <v>85</v>
      </c>
      <c r="R11" s="2324"/>
      <c r="S11" s="1667"/>
      <c r="BB11" s="1991"/>
      <c r="BC11" s="1991"/>
      <c r="BD11" s="2053"/>
      <c r="BE11" s="2053"/>
      <c r="BJ11" s="1991"/>
      <c r="BK11" s="1991"/>
      <c r="BL11" s="2053"/>
      <c r="BM11" s="2053"/>
    </row>
    <row r="12" spans="1:79" ht="15" customHeight="1" x14ac:dyDescent="0.15">
      <c r="A12" s="1578"/>
      <c r="B12" s="713" t="s">
        <v>49</v>
      </c>
      <c r="C12" s="266">
        <f>SUM(D12:E12)</f>
        <v>0</v>
      </c>
      <c r="D12" s="307">
        <f>SUM(D13:D16)</f>
        <v>0</v>
      </c>
      <c r="E12" s="576">
        <f>SUM(E13:E16)</f>
        <v>0</v>
      </c>
      <c r="F12" s="714">
        <f>SUM(F13:F16)</f>
        <v>0</v>
      </c>
      <c r="G12" s="745">
        <f>SUM(G13:G15)</f>
        <v>0</v>
      </c>
      <c r="H12" s="714">
        <f>SUM(H13:H15)</f>
        <v>0</v>
      </c>
      <c r="I12" s="745">
        <f>SUM(I13:I15)</f>
        <v>0</v>
      </c>
      <c r="J12" s="714">
        <f t="shared" ref="J12:Q12" si="0">SUM(J13:J16)</f>
        <v>0</v>
      </c>
      <c r="K12" s="965">
        <f t="shared" si="0"/>
        <v>0</v>
      </c>
      <c r="L12" s="714">
        <f t="shared" si="0"/>
        <v>0</v>
      </c>
      <c r="M12" s="965">
        <f t="shared" si="0"/>
        <v>0</v>
      </c>
      <c r="N12" s="714">
        <f t="shared" si="0"/>
        <v>0</v>
      </c>
      <c r="O12" s="965">
        <f t="shared" si="0"/>
        <v>0</v>
      </c>
      <c r="P12" s="307">
        <f t="shared" si="0"/>
        <v>0</v>
      </c>
      <c r="Q12" s="715">
        <f t="shared" si="0"/>
        <v>0</v>
      </c>
      <c r="R12" s="576">
        <f t="shared" ref="R12" si="1">SUM(R13:R16)</f>
        <v>0</v>
      </c>
      <c r="S12" s="576">
        <f t="shared" ref="S12" si="2">SUM(S13:S16)</f>
        <v>0</v>
      </c>
      <c r="BB12" s="1708"/>
      <c r="BC12" s="1708"/>
      <c r="BD12" s="2053"/>
      <c r="BE12" s="2053"/>
      <c r="BJ12" s="1708"/>
      <c r="BK12" s="1708"/>
      <c r="BL12" s="2053"/>
      <c r="BM12" s="2053"/>
    </row>
    <row r="13" spans="1:79" ht="15" customHeight="1" x14ac:dyDescent="0.2">
      <c r="A13" s="1585" t="s">
        <v>1603</v>
      </c>
      <c r="B13" s="612" t="s">
        <v>864</v>
      </c>
      <c r="C13" s="260" t="s">
        <v>1616</v>
      </c>
      <c r="D13" s="716" t="s">
        <v>1617</v>
      </c>
      <c r="E13" s="577" t="s">
        <v>1618</v>
      </c>
      <c r="F13" s="288" t="s">
        <v>1619</v>
      </c>
      <c r="G13" s="687" t="s">
        <v>1620</v>
      </c>
      <c r="H13" s="288" t="s">
        <v>1621</v>
      </c>
      <c r="I13" s="687" t="s">
        <v>1622</v>
      </c>
      <c r="J13" s="288" t="s">
        <v>1623</v>
      </c>
      <c r="K13" s="687" t="s">
        <v>1624</v>
      </c>
      <c r="L13" s="288" t="s">
        <v>1625</v>
      </c>
      <c r="M13" s="687" t="s">
        <v>1626</v>
      </c>
      <c r="N13" s="288" t="s">
        <v>1627</v>
      </c>
      <c r="O13" s="687" t="s">
        <v>1628</v>
      </c>
      <c r="P13" s="274" t="s">
        <v>1629</v>
      </c>
      <c r="Q13" s="720" t="s">
        <v>1630</v>
      </c>
      <c r="R13" s="276" t="s">
        <v>1631</v>
      </c>
      <c r="S13" s="276" t="s">
        <v>1632</v>
      </c>
      <c r="T13" s="108" t="str">
        <f>BB13&amp;BC13</f>
        <v xml:space="preserve"> * La variable Migrantes no puede ser Mayor al Total Ambos Sexos. * La variable Pueblos Originarios no puede ser Mayor al Total Ambos Sexos.</v>
      </c>
      <c r="BB13" s="191" t="str">
        <f>IF(AND($C13&gt;0,OR($R13=""))," * No olvide digitar la variable Migrantes. Digite Cero si no tiene.",IF($R13&gt;$C13," * La variable Migrantes no puede ser Mayor al Total Ambos Sexos.",""))</f>
        <v xml:space="preserve"> * La variable Migrantes no puede ser Mayor al Total Ambos Sexos.</v>
      </c>
      <c r="BC13" s="191" t="str">
        <f>IF(AND($C13&gt;0,OR($S13=""))," * No olvide digitar la variable Pueblos Originarios. Digite Cero si no tiene.",IF($S13&gt;$C13," * La variable Pueblos Originarios no puede ser Mayor al Total Ambos Sexos.",""))</f>
        <v xml:space="preserve"> * La variable Pueblos Originarios no puede ser Mayor al Total Ambos Sexos.</v>
      </c>
      <c r="BJ13" s="1047">
        <f>IF(AND($C13&gt;0,OR($R13="")),1,IF($R13&gt;$C13,1,0))</f>
        <v>1</v>
      </c>
      <c r="BK13" s="1047">
        <f>IF(AND($C13&gt;0,OR($S13="")),1,IF($S13&gt;$C13,1,0))</f>
        <v>1</v>
      </c>
      <c r="BQ13" s="36"/>
      <c r="BS13" s="36"/>
    </row>
    <row r="14" spans="1:79" ht="15" customHeight="1" x14ac:dyDescent="0.2">
      <c r="A14" s="1585" t="s">
        <v>1604</v>
      </c>
      <c r="B14" s="717" t="s">
        <v>865</v>
      </c>
      <c r="C14" s="273" t="s">
        <v>1616</v>
      </c>
      <c r="D14" s="718" t="s">
        <v>1617</v>
      </c>
      <c r="E14" s="719" t="s">
        <v>1618</v>
      </c>
      <c r="F14" s="288" t="s">
        <v>1619</v>
      </c>
      <c r="G14" s="276" t="s">
        <v>1620</v>
      </c>
      <c r="H14" s="288" t="s">
        <v>1621</v>
      </c>
      <c r="I14" s="276" t="s">
        <v>1622</v>
      </c>
      <c r="J14" s="288" t="s">
        <v>1623</v>
      </c>
      <c r="K14" s="276" t="s">
        <v>1624</v>
      </c>
      <c r="L14" s="288" t="s">
        <v>1625</v>
      </c>
      <c r="M14" s="276" t="s">
        <v>1626</v>
      </c>
      <c r="N14" s="288" t="s">
        <v>1627</v>
      </c>
      <c r="O14" s="276" t="s">
        <v>1628</v>
      </c>
      <c r="P14" s="274" t="s">
        <v>1629</v>
      </c>
      <c r="Q14" s="720" t="s">
        <v>1630</v>
      </c>
      <c r="R14" s="276" t="s">
        <v>1631</v>
      </c>
      <c r="S14" s="276" t="s">
        <v>1632</v>
      </c>
      <c r="T14" s="108" t="str">
        <f t="shared" ref="T14:T16" si="3">BB14&amp;BC14</f>
        <v xml:space="preserve"> * La variable Migrantes no puede ser Mayor al Total Ambos Sexos. * La variable Pueblos Originarios no puede ser Mayor al Total Ambos Sexos.</v>
      </c>
      <c r="BB14" s="191" t="str">
        <f>IF(AND($C14&gt;0,OR($R14=""))," * No olvide digitar la variable Migrantes. Digite Cero si no tiene.",IF($R14&gt;$C14," * La variable Migrantes no puede ser Mayor al Total Ambos Sexos.",""))</f>
        <v xml:space="preserve"> * La variable Migrantes no puede ser Mayor al Total Ambos Sexos.</v>
      </c>
      <c r="BC14" s="191" t="str">
        <f>IF(AND($C14&gt;0,OR($S14=""))," * No olvide digitar la variable Pueblos Originarios. Digite Cero si no tiene.",IF($S14&gt;$C14," * La variable Pueblos Originarios no puede ser Mayor al Total Ambos Sexos.",""))</f>
        <v xml:space="preserve"> * La variable Pueblos Originarios no puede ser Mayor al Total Ambos Sexos.</v>
      </c>
      <c r="BJ14" s="1047">
        <f>IF(AND($C14&gt;0,OR($R14="")),1,IF($R14&gt;$C14,1,0))</f>
        <v>1</v>
      </c>
      <c r="BK14" s="1047">
        <f>IF(AND($C14&gt;0,OR($S14="")),1,IF($S14&gt;$C14,1,0))</f>
        <v>1</v>
      </c>
      <c r="BQ14" s="36"/>
      <c r="BS14" s="36"/>
    </row>
    <row r="15" spans="1:79" ht="15" customHeight="1" x14ac:dyDescent="0.2">
      <c r="A15" s="1585" t="s">
        <v>1605</v>
      </c>
      <c r="B15" s="717" t="s">
        <v>866</v>
      </c>
      <c r="C15" s="273" t="s">
        <v>1616</v>
      </c>
      <c r="D15" s="718" t="s">
        <v>1617</v>
      </c>
      <c r="E15" s="719" t="s">
        <v>1618</v>
      </c>
      <c r="F15" s="288" t="s">
        <v>1619</v>
      </c>
      <c r="G15" s="276" t="s">
        <v>1620</v>
      </c>
      <c r="H15" s="288" t="s">
        <v>1621</v>
      </c>
      <c r="I15" s="276" t="s">
        <v>1622</v>
      </c>
      <c r="J15" s="288" t="s">
        <v>1623</v>
      </c>
      <c r="K15" s="276" t="s">
        <v>1624</v>
      </c>
      <c r="L15" s="288" t="s">
        <v>1625</v>
      </c>
      <c r="M15" s="276" t="s">
        <v>1626</v>
      </c>
      <c r="N15" s="288" t="s">
        <v>1627</v>
      </c>
      <c r="O15" s="276" t="s">
        <v>1628</v>
      </c>
      <c r="P15" s="288" t="s">
        <v>1629</v>
      </c>
      <c r="Q15" s="720" t="s">
        <v>1630</v>
      </c>
      <c r="R15" s="276" t="s">
        <v>1631</v>
      </c>
      <c r="S15" s="276" t="s">
        <v>1632</v>
      </c>
      <c r="T15" s="108" t="str">
        <f t="shared" si="3"/>
        <v xml:space="preserve"> * La variable Migrantes no puede ser Mayor al Total Ambos Sexos. * La variable Pueblos Originarios no puede ser Mayor al Total Ambos Sexos.</v>
      </c>
      <c r="BB15" s="191" t="str">
        <f>IF(AND($C15&gt;0,OR($R15=""))," * No olvide digitar la variable Migrantes. Digite Cero si no tiene.",IF($R15&gt;$C15," * La variable Migrantes no puede ser Mayor al Total Ambos Sexos.",""))</f>
        <v xml:space="preserve"> * La variable Migrantes no puede ser Mayor al Total Ambos Sexos.</v>
      </c>
      <c r="BC15" s="191" t="str">
        <f>IF(AND($C15&gt;0,OR($S15=""))," * No olvide digitar la variable Pueblos Originarios. Digite Cero si no tiene.",IF($S15&gt;$C15," * La variable Pueblos Originarios no puede ser Mayor al Total Ambos Sexos.",""))</f>
        <v xml:space="preserve"> * La variable Pueblos Originarios no puede ser Mayor al Total Ambos Sexos.</v>
      </c>
      <c r="BJ15" s="1047">
        <f>IF(AND($C15&gt;0,OR($R15="")),1,IF($R15&gt;$C15,1,0))</f>
        <v>1</v>
      </c>
      <c r="BK15" s="1047">
        <f>IF(AND($C15&gt;0,OR($S15="")),1,IF($S15&gt;$C15,1,0))</f>
        <v>1</v>
      </c>
      <c r="BQ15" s="36"/>
      <c r="BS15" s="36"/>
    </row>
    <row r="16" spans="1:79" ht="15" customHeight="1" x14ac:dyDescent="0.2">
      <c r="A16" s="1585" t="s">
        <v>1606</v>
      </c>
      <c r="B16" s="616" t="s">
        <v>867</v>
      </c>
      <c r="C16" s="372" t="s">
        <v>1616</v>
      </c>
      <c r="D16" s="721" t="s">
        <v>1617</v>
      </c>
      <c r="E16" s="722" t="s">
        <v>1618</v>
      </c>
      <c r="F16" s="839" t="s">
        <v>1619</v>
      </c>
      <c r="G16" s="453" t="s">
        <v>1620</v>
      </c>
      <c r="H16" s="839" t="s">
        <v>1621</v>
      </c>
      <c r="I16" s="453" t="s">
        <v>1622</v>
      </c>
      <c r="J16" s="290" t="s">
        <v>1623</v>
      </c>
      <c r="K16" s="284" t="s">
        <v>1624</v>
      </c>
      <c r="L16" s="290" t="s">
        <v>1625</v>
      </c>
      <c r="M16" s="284" t="s">
        <v>1626</v>
      </c>
      <c r="N16" s="290" t="s">
        <v>1627</v>
      </c>
      <c r="O16" s="284" t="s">
        <v>1628</v>
      </c>
      <c r="P16" s="290" t="s">
        <v>1629</v>
      </c>
      <c r="Q16" s="723" t="s">
        <v>1630</v>
      </c>
      <c r="R16" s="284" t="s">
        <v>1631</v>
      </c>
      <c r="S16" s="284" t="s">
        <v>1632</v>
      </c>
      <c r="T16" s="108" t="str">
        <f t="shared" si="3"/>
        <v xml:space="preserve"> * La variable Migrantes no puede ser Mayor al Total Ambos Sexos. * La variable Pueblos Originarios no puede ser Mayor al Total Ambos Sexos.</v>
      </c>
      <c r="BB16" s="191" t="str">
        <f>IF(AND($C16&gt;0,OR($R16=""))," * No olvide digitar la variable Migrantes. Digite Cero si no tiene.",IF($R16&gt;$C16," * La variable Migrantes no puede ser Mayor al Total Ambos Sexos.",""))</f>
        <v xml:space="preserve"> * La variable Migrantes no puede ser Mayor al Total Ambos Sexos.</v>
      </c>
      <c r="BC16" s="191" t="str">
        <f>IF(AND($C16&gt;0,OR($S16=""))," * No olvide digitar la variable Pueblos Originarios. Digite Cero si no tiene.",IF($S16&gt;$C16," * La variable Pueblos Originarios no puede ser Mayor al Total Ambos Sexos.",""))</f>
        <v xml:space="preserve"> * La variable Pueblos Originarios no puede ser Mayor al Total Ambos Sexos.</v>
      </c>
      <c r="BJ16" s="1047">
        <f>IF(AND($C16&gt;0,OR($R16="")),1,IF($R16&gt;$C16,1,0))</f>
        <v>1</v>
      </c>
      <c r="BK16" s="1047">
        <f>IF(AND($C16&gt;0,OR($S16="")),1,IF($S16&gt;$C16,1,0))</f>
        <v>1</v>
      </c>
      <c r="BQ16" s="36"/>
      <c r="BS16" s="36"/>
      <c r="BX16" s="108"/>
    </row>
    <row r="17" spans="1:79" ht="17.100000000000001" customHeight="1" x14ac:dyDescent="0.15">
      <c r="A17" s="1623"/>
      <c r="B17" s="1093" t="s">
        <v>868</v>
      </c>
      <c r="BX17" s="108"/>
      <c r="BY17" s="108"/>
    </row>
    <row r="18" spans="1:79" ht="17.100000000000001" customHeight="1" x14ac:dyDescent="0.25">
      <c r="A18" s="1623"/>
      <c r="B18" s="2318" t="s">
        <v>869</v>
      </c>
      <c r="C18" s="2319" t="s">
        <v>49</v>
      </c>
      <c r="D18" s="2320"/>
      <c r="E18" s="2321"/>
      <c r="F18" s="2325" t="s">
        <v>376</v>
      </c>
      <c r="G18" s="2326"/>
      <c r="H18" s="2326"/>
      <c r="I18" s="2326"/>
      <c r="J18" s="2326"/>
      <c r="K18" s="2326"/>
      <c r="L18" s="2326"/>
      <c r="M18" s="2326"/>
      <c r="N18" s="2326"/>
      <c r="O18" s="2326"/>
      <c r="P18" s="2326"/>
      <c r="Q18" s="2327"/>
      <c r="R18" s="2321" t="s">
        <v>108</v>
      </c>
      <c r="S18" s="1665" t="s">
        <v>51</v>
      </c>
      <c r="T18" s="2192" t="s">
        <v>615</v>
      </c>
      <c r="U18" s="2192" t="s">
        <v>378</v>
      </c>
      <c r="Z18" s="606"/>
      <c r="AC18" s="606"/>
      <c r="BB18" s="1970" t="s">
        <v>108</v>
      </c>
      <c r="BC18" s="1970" t="s">
        <v>51</v>
      </c>
      <c r="BD18" s="1970" t="s">
        <v>816</v>
      </c>
      <c r="BE18" s="1970" t="s">
        <v>817</v>
      </c>
      <c r="BJ18" s="1970" t="s">
        <v>108</v>
      </c>
      <c r="BK18" s="1970" t="s">
        <v>51</v>
      </c>
      <c r="BL18" s="1970" t="s">
        <v>816</v>
      </c>
      <c r="BM18" s="1763" t="s">
        <v>817</v>
      </c>
      <c r="BX18" s="108"/>
      <c r="BY18" s="108"/>
    </row>
    <row r="19" spans="1:79" ht="17.100000000000001" customHeight="1" x14ac:dyDescent="0.15">
      <c r="A19" s="1623"/>
      <c r="B19" s="2318"/>
      <c r="C19" s="2322"/>
      <c r="D19" s="2323"/>
      <c r="E19" s="2324"/>
      <c r="F19" s="1687" t="s">
        <v>859</v>
      </c>
      <c r="G19" s="2316"/>
      <c r="H19" s="1687" t="s">
        <v>860</v>
      </c>
      <c r="I19" s="2316"/>
      <c r="J19" s="1687" t="s">
        <v>861</v>
      </c>
      <c r="K19" s="2316"/>
      <c r="L19" s="1687" t="s">
        <v>57</v>
      </c>
      <c r="M19" s="2316"/>
      <c r="N19" s="1687" t="s">
        <v>862</v>
      </c>
      <c r="O19" s="2316"/>
      <c r="P19" s="1687" t="s">
        <v>863</v>
      </c>
      <c r="Q19" s="2317"/>
      <c r="R19" s="2328"/>
      <c r="S19" s="1666"/>
      <c r="T19" s="2201"/>
      <c r="U19" s="2201"/>
      <c r="BB19" s="1991"/>
      <c r="BC19" s="1991"/>
      <c r="BD19" s="1991"/>
      <c r="BE19" s="1991"/>
      <c r="BJ19" s="1991"/>
      <c r="BK19" s="1991"/>
      <c r="BL19" s="1991"/>
      <c r="BM19" s="2307"/>
      <c r="BX19" s="108"/>
      <c r="BY19" s="108"/>
    </row>
    <row r="20" spans="1:79" ht="17.100000000000001" customHeight="1" x14ac:dyDescent="0.15">
      <c r="B20" s="2318"/>
      <c r="C20" s="1430" t="s">
        <v>226</v>
      </c>
      <c r="D20" s="1545" t="s">
        <v>763</v>
      </c>
      <c r="E20" s="1390" t="s">
        <v>85</v>
      </c>
      <c r="F20" s="1304" t="s">
        <v>763</v>
      </c>
      <c r="G20" s="1390" t="s">
        <v>85</v>
      </c>
      <c r="H20" s="1545" t="s">
        <v>763</v>
      </c>
      <c r="I20" s="1390" t="s">
        <v>85</v>
      </c>
      <c r="J20" s="1545" t="s">
        <v>763</v>
      </c>
      <c r="K20" s="1390" t="s">
        <v>85</v>
      </c>
      <c r="L20" s="1545" t="s">
        <v>763</v>
      </c>
      <c r="M20" s="1390" t="s">
        <v>85</v>
      </c>
      <c r="N20" s="1545" t="s">
        <v>763</v>
      </c>
      <c r="O20" s="1390" t="s">
        <v>85</v>
      </c>
      <c r="P20" s="1545" t="s">
        <v>763</v>
      </c>
      <c r="Q20" s="1544" t="s">
        <v>85</v>
      </c>
      <c r="R20" s="2324"/>
      <c r="S20" s="1667"/>
      <c r="T20" s="2194"/>
      <c r="U20" s="2194"/>
      <c r="BB20" s="1708"/>
      <c r="BC20" s="1708"/>
      <c r="BD20" s="1708"/>
      <c r="BE20" s="1708"/>
      <c r="BJ20" s="1708"/>
      <c r="BK20" s="1708"/>
      <c r="BL20" s="1708"/>
      <c r="BM20" s="1764"/>
      <c r="BX20" s="108"/>
      <c r="BY20" s="108"/>
      <c r="BZ20" s="108"/>
    </row>
    <row r="21" spans="1:79" ht="15" customHeight="1" x14ac:dyDescent="0.2">
      <c r="A21" s="1585" t="s">
        <v>1607</v>
      </c>
      <c r="B21" s="724" t="s">
        <v>870</v>
      </c>
      <c r="C21" s="260" t="s">
        <v>1616</v>
      </c>
      <c r="D21" s="716" t="s">
        <v>1617</v>
      </c>
      <c r="E21" s="577" t="s">
        <v>1618</v>
      </c>
      <c r="F21" s="840" t="s">
        <v>1619</v>
      </c>
      <c r="G21" s="841" t="s">
        <v>1620</v>
      </c>
      <c r="H21" s="840" t="s">
        <v>1621</v>
      </c>
      <c r="I21" s="841" t="s">
        <v>1622</v>
      </c>
      <c r="J21" s="261" t="s">
        <v>1623</v>
      </c>
      <c r="K21" s="262" t="s">
        <v>1624</v>
      </c>
      <c r="L21" s="261" t="s">
        <v>1625</v>
      </c>
      <c r="M21" s="262" t="s">
        <v>1626</v>
      </c>
      <c r="N21" s="261" t="s">
        <v>1627</v>
      </c>
      <c r="O21" s="262" t="s">
        <v>1628</v>
      </c>
      <c r="P21" s="261" t="s">
        <v>1629</v>
      </c>
      <c r="Q21" s="264" t="s">
        <v>1630</v>
      </c>
      <c r="R21" s="265" t="s">
        <v>1631</v>
      </c>
      <c r="S21" s="265" t="s">
        <v>1632</v>
      </c>
      <c r="T21" s="265" t="s">
        <v>1633</v>
      </c>
      <c r="U21" s="265" t="s">
        <v>1634</v>
      </c>
      <c r="V21" s="108" t="str">
        <f>BB21&amp;BC21&amp;BD21&amp;BE21</f>
        <v xml:space="preserve">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BB21" s="191" t="str">
        <f t="shared" ref="BB21:BB28" si="4">IF(AND($C21&gt;0,OR($R21=""))," * No olvide digitar la variable Migrantes. Digite Cero si no tiene.",IF($R21&gt;$C21," * La variable Migrantes no puede ser Mayor al Total Ambos Sexos.",""))</f>
        <v xml:space="preserve"> * La variable Migrantes no puede ser Mayor al Total Ambos Sexos.</v>
      </c>
      <c r="BC21" s="191" t="str">
        <f t="shared" ref="BC21:BC28" si="5">IF(AND($C21&gt;0,OR($S21=""))," * No olvide digitar la variable Pueblos Originarios. Digite Cero si no tiene.",IF($S21&gt;$C21," * La variable Pueblos Originarios no puede ser Mayor al Total Ambos Sexos.",""))</f>
        <v xml:space="preserve"> * La variable Pueblos Originarios no puede ser Mayor al Total Ambos Sexos.</v>
      </c>
      <c r="BD21" s="191" t="str">
        <f t="shared" ref="BD21:BD28" si="6">IF(AND($C21&gt;0,OR($T21=""))," * No olvide digitar la variable Niños, Niñas, Adolescentes y Jóvenes SENAME. Digite Cero si no tiene.",IF($T21&gt;$C21," * La variable Niños, Niñas, Adolescentes y Jóvenes SENAME no puede ser Mayor al Total Ambos Sexos.",""))</f>
        <v xml:space="preserve"> * La variable Niños, Niñas, Adolescentes y Jóvenes SENAME no puede ser Mayor al Total Ambos Sexos.</v>
      </c>
      <c r="BE21" s="191" t="str">
        <f t="shared" ref="BE21:BE28" si="7">IF(AND($C21&gt;0,OR($U21=""))," * No olvide digitar la variable Niños, Niñas, Adolescentes y Jóvenes Mejor Niñez. Digite Cero si no tiene.",IF($U21&gt;$C21,"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BJ21" s="1047">
        <f t="shared" ref="BJ21:BJ28" si="8">IF(AND($C21&gt;0,OR($R21="")),1,IF($R21&gt;$C21,1,0))</f>
        <v>1</v>
      </c>
      <c r="BK21" s="1047">
        <f t="shared" ref="BK21:BM28" si="9">IF(AND($C21&gt;0,OR(S21="")),1,IF(S21&gt;$C21,1,0))</f>
        <v>1</v>
      </c>
      <c r="BL21" s="1047">
        <f t="shared" si="9"/>
        <v>1</v>
      </c>
      <c r="BM21" s="1047">
        <f t="shared" si="9"/>
        <v>1</v>
      </c>
      <c r="BQ21" s="36"/>
      <c r="BS21" s="36"/>
      <c r="BU21" s="36"/>
      <c r="BX21" s="108"/>
      <c r="BY21" s="108"/>
    </row>
    <row r="22" spans="1:79" ht="15" customHeight="1" x14ac:dyDescent="0.2">
      <c r="A22" s="1585" t="s">
        <v>1608</v>
      </c>
      <c r="B22" s="725" t="s">
        <v>871</v>
      </c>
      <c r="C22" s="301" t="s">
        <v>1616</v>
      </c>
      <c r="D22" s="726" t="s">
        <v>1617</v>
      </c>
      <c r="E22" s="727" t="s">
        <v>1618</v>
      </c>
      <c r="F22" s="842" t="s">
        <v>1619</v>
      </c>
      <c r="G22" s="843" t="s">
        <v>1620</v>
      </c>
      <c r="H22" s="842" t="s">
        <v>1621</v>
      </c>
      <c r="I22" s="843" t="s">
        <v>1622</v>
      </c>
      <c r="J22" s="310" t="s">
        <v>1623</v>
      </c>
      <c r="K22" s="277" t="s">
        <v>1624</v>
      </c>
      <c r="L22" s="310" t="s">
        <v>1625</v>
      </c>
      <c r="M22" s="277" t="s">
        <v>1626</v>
      </c>
      <c r="N22" s="310" t="s">
        <v>1627</v>
      </c>
      <c r="O22" s="277" t="s">
        <v>1628</v>
      </c>
      <c r="P22" s="310" t="s">
        <v>1629</v>
      </c>
      <c r="Q22" s="279" t="s">
        <v>1630</v>
      </c>
      <c r="R22" s="280" t="s">
        <v>1631</v>
      </c>
      <c r="S22" s="280" t="s">
        <v>1632</v>
      </c>
      <c r="T22" s="280" t="s">
        <v>1633</v>
      </c>
      <c r="U22" s="280" t="s">
        <v>1634</v>
      </c>
      <c r="V22" s="108" t="str">
        <f t="shared" ref="V22:V28" si="10">BB22&amp;BC22&amp;BD22&amp;BE22</f>
        <v xml:space="preserve">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BB22" s="191" t="str">
        <f t="shared" si="4"/>
        <v xml:space="preserve"> * La variable Migrantes no puede ser Mayor al Total Ambos Sexos.</v>
      </c>
      <c r="BC22" s="191" t="str">
        <f t="shared" si="5"/>
        <v xml:space="preserve"> * La variable Pueblos Originarios no puede ser Mayor al Total Ambos Sexos.</v>
      </c>
      <c r="BD22" s="191" t="str">
        <f t="shared" si="6"/>
        <v xml:space="preserve"> * La variable Niños, Niñas, Adolescentes y Jóvenes SENAME no puede ser Mayor al Total Ambos Sexos.</v>
      </c>
      <c r="BE22" s="191" t="str">
        <f t="shared" si="7"/>
        <v xml:space="preserve"> * La variable Niños, Niñas, Adolescentes y Jóvenes Mejor Niñez no puede ser Mayor al Total Ambos Sexos.</v>
      </c>
      <c r="BJ22" s="1047">
        <f t="shared" si="8"/>
        <v>1</v>
      </c>
      <c r="BK22" s="1047">
        <f t="shared" si="9"/>
        <v>1</v>
      </c>
      <c r="BL22" s="1047">
        <f t="shared" si="9"/>
        <v>1</v>
      </c>
      <c r="BM22" s="1047">
        <f t="shared" si="9"/>
        <v>1</v>
      </c>
      <c r="BQ22" s="36"/>
      <c r="BS22" s="36"/>
      <c r="BU22" s="36"/>
      <c r="BX22" s="108"/>
    </row>
    <row r="23" spans="1:79" ht="15" customHeight="1" x14ac:dyDescent="0.2">
      <c r="A23" s="1585" t="s">
        <v>1609</v>
      </c>
      <c r="B23" s="725" t="s">
        <v>872</v>
      </c>
      <c r="C23" s="301" t="s">
        <v>1616</v>
      </c>
      <c r="D23" s="726" t="s">
        <v>1617</v>
      </c>
      <c r="E23" s="727" t="s">
        <v>1618</v>
      </c>
      <c r="F23" s="288" t="s">
        <v>1619</v>
      </c>
      <c r="G23" s="274" t="s">
        <v>1620</v>
      </c>
      <c r="H23" s="288" t="s">
        <v>1621</v>
      </c>
      <c r="I23" s="274" t="s">
        <v>1622</v>
      </c>
      <c r="J23" s="842" t="s">
        <v>1623</v>
      </c>
      <c r="K23" s="843" t="s">
        <v>1624</v>
      </c>
      <c r="L23" s="842" t="s">
        <v>1625</v>
      </c>
      <c r="M23" s="843" t="s">
        <v>1626</v>
      </c>
      <c r="N23" s="842" t="s">
        <v>1627</v>
      </c>
      <c r="O23" s="843" t="s">
        <v>1628</v>
      </c>
      <c r="P23" s="842" t="s">
        <v>1629</v>
      </c>
      <c r="Q23" s="844" t="s">
        <v>1630</v>
      </c>
      <c r="R23" s="280" t="s">
        <v>1631</v>
      </c>
      <c r="S23" s="280" t="s">
        <v>1632</v>
      </c>
      <c r="T23" s="280" t="s">
        <v>1633</v>
      </c>
      <c r="U23" s="280" t="s">
        <v>1634</v>
      </c>
      <c r="V23" s="108" t="str">
        <f t="shared" si="10"/>
        <v xml:space="preserve">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BB23" s="191" t="str">
        <f t="shared" si="4"/>
        <v xml:space="preserve"> * La variable Migrantes no puede ser Mayor al Total Ambos Sexos.</v>
      </c>
      <c r="BC23" s="191" t="str">
        <f t="shared" si="5"/>
        <v xml:space="preserve"> * La variable Pueblos Originarios no puede ser Mayor al Total Ambos Sexos.</v>
      </c>
      <c r="BD23" s="191" t="str">
        <f t="shared" si="6"/>
        <v xml:space="preserve"> * La variable Niños, Niñas, Adolescentes y Jóvenes SENAME no puede ser Mayor al Total Ambos Sexos.</v>
      </c>
      <c r="BE23" s="191" t="str">
        <f t="shared" si="7"/>
        <v xml:space="preserve"> * La variable Niños, Niñas, Adolescentes y Jóvenes Mejor Niñez no puede ser Mayor al Total Ambos Sexos.</v>
      </c>
      <c r="BJ23" s="1047">
        <f t="shared" si="8"/>
        <v>1</v>
      </c>
      <c r="BK23" s="1047">
        <f t="shared" si="9"/>
        <v>1</v>
      </c>
      <c r="BL23" s="1047">
        <f t="shared" si="9"/>
        <v>1</v>
      </c>
      <c r="BM23" s="1047">
        <f t="shared" si="9"/>
        <v>1</v>
      </c>
      <c r="BQ23" s="36"/>
      <c r="BS23" s="36"/>
      <c r="BU23" s="36"/>
      <c r="BX23" s="108"/>
    </row>
    <row r="24" spans="1:79" ht="21" customHeight="1" x14ac:dyDescent="0.2">
      <c r="A24" s="1585" t="s">
        <v>1610</v>
      </c>
      <c r="B24" s="725" t="s">
        <v>873</v>
      </c>
      <c r="C24" s="301" t="s">
        <v>1616</v>
      </c>
      <c r="D24" s="726" t="s">
        <v>1617</v>
      </c>
      <c r="E24" s="727" t="s">
        <v>1618</v>
      </c>
      <c r="F24" s="842" t="s">
        <v>1619</v>
      </c>
      <c r="G24" s="843" t="s">
        <v>1620</v>
      </c>
      <c r="H24" s="842" t="s">
        <v>1621</v>
      </c>
      <c r="I24" s="843" t="s">
        <v>1622</v>
      </c>
      <c r="J24" s="310" t="s">
        <v>1623</v>
      </c>
      <c r="K24" s="277" t="s">
        <v>1624</v>
      </c>
      <c r="L24" s="310" t="s">
        <v>1625</v>
      </c>
      <c r="M24" s="277" t="s">
        <v>1626</v>
      </c>
      <c r="N24" s="310" t="s">
        <v>1627</v>
      </c>
      <c r="O24" s="277" t="s">
        <v>1628</v>
      </c>
      <c r="P24" s="310" t="s">
        <v>1629</v>
      </c>
      <c r="Q24" s="279" t="s">
        <v>1630</v>
      </c>
      <c r="R24" s="280" t="s">
        <v>1631</v>
      </c>
      <c r="S24" s="280" t="s">
        <v>1632</v>
      </c>
      <c r="T24" s="280" t="s">
        <v>1633</v>
      </c>
      <c r="U24" s="280" t="s">
        <v>1634</v>
      </c>
      <c r="V24" s="108" t="str">
        <f t="shared" si="10"/>
        <v xml:space="preserve">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BB24" s="191" t="str">
        <f t="shared" si="4"/>
        <v xml:space="preserve"> * La variable Migrantes no puede ser Mayor al Total Ambos Sexos.</v>
      </c>
      <c r="BC24" s="191" t="str">
        <f t="shared" si="5"/>
        <v xml:space="preserve"> * La variable Pueblos Originarios no puede ser Mayor al Total Ambos Sexos.</v>
      </c>
      <c r="BD24" s="191" t="str">
        <f t="shared" si="6"/>
        <v xml:space="preserve"> * La variable Niños, Niñas, Adolescentes y Jóvenes SENAME no puede ser Mayor al Total Ambos Sexos.</v>
      </c>
      <c r="BE24" s="191" t="str">
        <f t="shared" si="7"/>
        <v xml:space="preserve"> * La variable Niños, Niñas, Adolescentes y Jóvenes Mejor Niñez no puede ser Mayor al Total Ambos Sexos.</v>
      </c>
      <c r="BJ24" s="1047">
        <f t="shared" si="8"/>
        <v>1</v>
      </c>
      <c r="BK24" s="1047">
        <f t="shared" si="9"/>
        <v>1</v>
      </c>
      <c r="BL24" s="1047">
        <f t="shared" si="9"/>
        <v>1</v>
      </c>
      <c r="BM24" s="1047">
        <f t="shared" si="9"/>
        <v>1</v>
      </c>
      <c r="BQ24" s="36"/>
      <c r="BS24" s="36"/>
      <c r="BU24" s="36"/>
      <c r="BX24" s="108"/>
    </row>
    <row r="25" spans="1:79" ht="15" customHeight="1" x14ac:dyDescent="0.2">
      <c r="A25" s="1593" t="s">
        <v>1611</v>
      </c>
      <c r="B25" s="1624" t="s">
        <v>874</v>
      </c>
      <c r="C25" s="301" t="s">
        <v>1616</v>
      </c>
      <c r="D25" s="726" t="s">
        <v>1617</v>
      </c>
      <c r="E25" s="727" t="s">
        <v>1618</v>
      </c>
      <c r="F25" s="842" t="s">
        <v>1619</v>
      </c>
      <c r="G25" s="1099" t="s">
        <v>1620</v>
      </c>
      <c r="H25" s="842" t="s">
        <v>1621</v>
      </c>
      <c r="I25" s="1099" t="s">
        <v>1622</v>
      </c>
      <c r="J25" s="842" t="s">
        <v>1623</v>
      </c>
      <c r="K25" s="843" t="s">
        <v>1624</v>
      </c>
      <c r="L25" s="842" t="s">
        <v>1625</v>
      </c>
      <c r="M25" s="843" t="s">
        <v>1626</v>
      </c>
      <c r="N25" s="310" t="s">
        <v>1627</v>
      </c>
      <c r="O25" s="277" t="s">
        <v>1628</v>
      </c>
      <c r="P25" s="310" t="s">
        <v>1629</v>
      </c>
      <c r="Q25" s="279" t="s">
        <v>1630</v>
      </c>
      <c r="R25" s="280" t="s">
        <v>1631</v>
      </c>
      <c r="S25" s="280" t="s">
        <v>1632</v>
      </c>
      <c r="T25" s="280" t="s">
        <v>1633</v>
      </c>
      <c r="U25" s="280" t="s">
        <v>1634</v>
      </c>
      <c r="V25" s="108" t="str">
        <f t="shared" si="10"/>
        <v xml:space="preserve">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BB25" s="191" t="str">
        <f t="shared" si="4"/>
        <v xml:space="preserve"> * La variable Migrantes no puede ser Mayor al Total Ambos Sexos.</v>
      </c>
      <c r="BC25" s="191" t="str">
        <f t="shared" si="5"/>
        <v xml:space="preserve"> * La variable Pueblos Originarios no puede ser Mayor al Total Ambos Sexos.</v>
      </c>
      <c r="BD25" s="191" t="str">
        <f t="shared" si="6"/>
        <v xml:space="preserve"> * La variable Niños, Niñas, Adolescentes y Jóvenes SENAME no puede ser Mayor al Total Ambos Sexos.</v>
      </c>
      <c r="BE25" s="191" t="str">
        <f t="shared" si="7"/>
        <v xml:space="preserve"> * La variable Niños, Niñas, Adolescentes y Jóvenes Mejor Niñez no puede ser Mayor al Total Ambos Sexos.</v>
      </c>
      <c r="BJ25" s="1047">
        <f t="shared" si="8"/>
        <v>1</v>
      </c>
      <c r="BK25" s="1047">
        <f t="shared" si="9"/>
        <v>1</v>
      </c>
      <c r="BL25" s="1047">
        <f t="shared" si="9"/>
        <v>1</v>
      </c>
      <c r="BM25" s="1047">
        <f t="shared" si="9"/>
        <v>1</v>
      </c>
      <c r="BQ25" s="36"/>
      <c r="BS25" s="36"/>
      <c r="BU25" s="36"/>
      <c r="BX25" s="108"/>
    </row>
    <row r="26" spans="1:79" ht="15" customHeight="1" x14ac:dyDescent="0.2">
      <c r="A26" s="1585" t="s">
        <v>1612</v>
      </c>
      <c r="B26" s="725" t="s">
        <v>875</v>
      </c>
      <c r="C26" s="301" t="s">
        <v>1616</v>
      </c>
      <c r="D26" s="726" t="s">
        <v>1617</v>
      </c>
      <c r="E26" s="727" t="s">
        <v>1618</v>
      </c>
      <c r="F26" s="310" t="s">
        <v>1619</v>
      </c>
      <c r="G26" s="277" t="s">
        <v>1620</v>
      </c>
      <c r="H26" s="310" t="s">
        <v>1621</v>
      </c>
      <c r="I26" s="277" t="s">
        <v>1622</v>
      </c>
      <c r="J26" s="310" t="s">
        <v>1623</v>
      </c>
      <c r="K26" s="277" t="s">
        <v>1624</v>
      </c>
      <c r="L26" s="310" t="s">
        <v>1625</v>
      </c>
      <c r="M26" s="277" t="s">
        <v>1626</v>
      </c>
      <c r="N26" s="310" t="s">
        <v>1627</v>
      </c>
      <c r="O26" s="277" t="s">
        <v>1628</v>
      </c>
      <c r="P26" s="310" t="s">
        <v>1629</v>
      </c>
      <c r="Q26" s="279" t="s">
        <v>1630</v>
      </c>
      <c r="R26" s="280" t="s">
        <v>1631</v>
      </c>
      <c r="S26" s="280" t="s">
        <v>1632</v>
      </c>
      <c r="T26" s="280" t="s">
        <v>1633</v>
      </c>
      <c r="U26" s="280" t="s">
        <v>1634</v>
      </c>
      <c r="V26" s="108" t="str">
        <f t="shared" si="10"/>
        <v xml:space="preserve">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BB26" s="191" t="str">
        <f t="shared" si="4"/>
        <v xml:space="preserve"> * La variable Migrantes no puede ser Mayor al Total Ambos Sexos.</v>
      </c>
      <c r="BC26" s="191" t="str">
        <f t="shared" si="5"/>
        <v xml:space="preserve"> * La variable Pueblos Originarios no puede ser Mayor al Total Ambos Sexos.</v>
      </c>
      <c r="BD26" s="191" t="str">
        <f t="shared" si="6"/>
        <v xml:space="preserve"> * La variable Niños, Niñas, Adolescentes y Jóvenes SENAME no puede ser Mayor al Total Ambos Sexos.</v>
      </c>
      <c r="BE26" s="191" t="str">
        <f t="shared" si="7"/>
        <v xml:space="preserve"> * La variable Niños, Niñas, Adolescentes y Jóvenes Mejor Niñez no puede ser Mayor al Total Ambos Sexos.</v>
      </c>
      <c r="BJ26" s="1047">
        <f t="shared" si="8"/>
        <v>1</v>
      </c>
      <c r="BK26" s="1047">
        <f t="shared" si="9"/>
        <v>1</v>
      </c>
      <c r="BL26" s="1047">
        <f t="shared" si="9"/>
        <v>1</v>
      </c>
      <c r="BM26" s="1047">
        <f t="shared" si="9"/>
        <v>1</v>
      </c>
      <c r="BQ26" s="36"/>
      <c r="BS26" s="36"/>
      <c r="BU26" s="36"/>
    </row>
    <row r="27" spans="1:79" ht="15" customHeight="1" x14ac:dyDescent="0.2">
      <c r="A27" s="1585" t="s">
        <v>1613</v>
      </c>
      <c r="B27" s="725" t="s">
        <v>876</v>
      </c>
      <c r="C27" s="301" t="s">
        <v>1616</v>
      </c>
      <c r="D27" s="726" t="s">
        <v>1617</v>
      </c>
      <c r="E27" s="727" t="s">
        <v>1618</v>
      </c>
      <c r="F27" s="310" t="s">
        <v>1619</v>
      </c>
      <c r="G27" s="277" t="s">
        <v>1620</v>
      </c>
      <c r="H27" s="310" t="s">
        <v>1621</v>
      </c>
      <c r="I27" s="277" t="s">
        <v>1622</v>
      </c>
      <c r="J27" s="310" t="s">
        <v>1623</v>
      </c>
      <c r="K27" s="277" t="s">
        <v>1624</v>
      </c>
      <c r="L27" s="310" t="s">
        <v>1625</v>
      </c>
      <c r="M27" s="277" t="s">
        <v>1626</v>
      </c>
      <c r="N27" s="310" t="s">
        <v>1627</v>
      </c>
      <c r="O27" s="277" t="s">
        <v>1628</v>
      </c>
      <c r="P27" s="995" t="s">
        <v>1629</v>
      </c>
      <c r="Q27" s="825" t="s">
        <v>1630</v>
      </c>
      <c r="R27" s="280" t="s">
        <v>1631</v>
      </c>
      <c r="S27" s="280" t="s">
        <v>1632</v>
      </c>
      <c r="T27" s="280" t="s">
        <v>1633</v>
      </c>
      <c r="U27" s="300" t="s">
        <v>1634</v>
      </c>
      <c r="V27" s="108" t="str">
        <f t="shared" si="10"/>
        <v xml:space="preserve">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BB27" s="191" t="str">
        <f t="shared" si="4"/>
        <v xml:space="preserve"> * La variable Migrantes no puede ser Mayor al Total Ambos Sexos.</v>
      </c>
      <c r="BC27" s="191" t="str">
        <f t="shared" si="5"/>
        <v xml:space="preserve"> * La variable Pueblos Originarios no puede ser Mayor al Total Ambos Sexos.</v>
      </c>
      <c r="BD27" s="191" t="str">
        <f t="shared" si="6"/>
        <v xml:space="preserve"> * La variable Niños, Niñas, Adolescentes y Jóvenes SENAME no puede ser Mayor al Total Ambos Sexos.</v>
      </c>
      <c r="BE27" s="191" t="str">
        <f t="shared" si="7"/>
        <v xml:space="preserve"> * La variable Niños, Niñas, Adolescentes y Jóvenes Mejor Niñez no puede ser Mayor al Total Ambos Sexos.</v>
      </c>
      <c r="BJ27" s="1047">
        <f t="shared" si="8"/>
        <v>1</v>
      </c>
      <c r="BK27" s="1047">
        <f t="shared" si="9"/>
        <v>1</v>
      </c>
      <c r="BL27" s="1047">
        <f t="shared" si="9"/>
        <v>1</v>
      </c>
      <c r="BM27" s="1047">
        <f t="shared" si="9"/>
        <v>1</v>
      </c>
      <c r="BQ27" s="36"/>
      <c r="BS27" s="36"/>
      <c r="BU27" s="36"/>
      <c r="BX27" s="108"/>
      <c r="BY27" s="108"/>
      <c r="BZ27" s="108"/>
      <c r="CA27" s="108"/>
    </row>
    <row r="28" spans="1:79" ht="15" customHeight="1" x14ac:dyDescent="0.2">
      <c r="A28" s="1593" t="s">
        <v>1614</v>
      </c>
      <c r="B28" s="1625" t="s">
        <v>877</v>
      </c>
      <c r="C28" s="266" t="s">
        <v>1616</v>
      </c>
      <c r="D28" s="307" t="s">
        <v>1617</v>
      </c>
      <c r="E28" s="576" t="s">
        <v>1618</v>
      </c>
      <c r="F28" s="748" t="s">
        <v>1619</v>
      </c>
      <c r="G28" s="267" t="s">
        <v>1620</v>
      </c>
      <c r="H28" s="748" t="s">
        <v>1621</v>
      </c>
      <c r="I28" s="267" t="s">
        <v>1622</v>
      </c>
      <c r="J28" s="748" t="s">
        <v>1623</v>
      </c>
      <c r="K28" s="267" t="s">
        <v>1624</v>
      </c>
      <c r="L28" s="748" t="s">
        <v>1625</v>
      </c>
      <c r="M28" s="267" t="s">
        <v>1626</v>
      </c>
      <c r="N28" s="748" t="s">
        <v>1627</v>
      </c>
      <c r="O28" s="267" t="s">
        <v>1628</v>
      </c>
      <c r="P28" s="748" t="s">
        <v>1629</v>
      </c>
      <c r="Q28" s="1035" t="s">
        <v>1630</v>
      </c>
      <c r="R28" s="272" t="s">
        <v>1631</v>
      </c>
      <c r="S28" s="272" t="s">
        <v>1632</v>
      </c>
      <c r="T28" s="272" t="s">
        <v>1633</v>
      </c>
      <c r="U28" s="272" t="s">
        <v>1634</v>
      </c>
      <c r="V28" s="108" t="str">
        <f t="shared" si="10"/>
        <v xml:space="preserve">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BB28" s="191" t="str">
        <f t="shared" si="4"/>
        <v xml:space="preserve"> * La variable Migrantes no puede ser Mayor al Total Ambos Sexos.</v>
      </c>
      <c r="BC28" s="191" t="str">
        <f t="shared" si="5"/>
        <v xml:space="preserve"> * La variable Pueblos Originarios no puede ser Mayor al Total Ambos Sexos.</v>
      </c>
      <c r="BD28" s="191" t="str">
        <f t="shared" si="6"/>
        <v xml:space="preserve"> * La variable Niños, Niñas, Adolescentes y Jóvenes SENAME no puede ser Mayor al Total Ambos Sexos.</v>
      </c>
      <c r="BE28" s="191" t="str">
        <f t="shared" si="7"/>
        <v xml:space="preserve"> * La variable Niños, Niñas, Adolescentes y Jóvenes Mejor Niñez no puede ser Mayor al Total Ambos Sexos.</v>
      </c>
      <c r="BJ28" s="1047">
        <f t="shared" si="8"/>
        <v>1</v>
      </c>
      <c r="BK28" s="1047">
        <f t="shared" si="9"/>
        <v>1</v>
      </c>
      <c r="BL28" s="1047">
        <f t="shared" si="9"/>
        <v>1</v>
      </c>
      <c r="BM28" s="1047">
        <f t="shared" si="9"/>
        <v>1</v>
      </c>
    </row>
    <row r="30" spans="1:79" x14ac:dyDescent="0.15">
      <c r="A30" s="108" t="s">
        <v>1615</v>
      </c>
    </row>
    <row r="31" spans="1:79" ht="14.25" x14ac:dyDescent="0.2">
      <c r="A31" s="1593" t="s">
        <v>1611</v>
      </c>
    </row>
    <row r="32" spans="1:79" ht="14.25" x14ac:dyDescent="0.2">
      <c r="A32" s="1593" t="s">
        <v>1614</v>
      </c>
    </row>
    <row r="41" spans="2:79" ht="13.15" hidden="1" customHeight="1" x14ac:dyDescent="0.15">
      <c r="B41" s="1484">
        <f>SUM(C13:C16,C21:C28)</f>
        <v>0</v>
      </c>
      <c r="C41" s="189" t="s">
        <v>206</v>
      </c>
      <c r="BX41" s="108"/>
      <c r="BY41" s="108"/>
      <c r="BZ41" s="108"/>
      <c r="CA41" s="108"/>
    </row>
    <row r="42" spans="2:79" ht="13.15" hidden="1" customHeight="1" x14ac:dyDescent="0.15">
      <c r="B42" s="1484">
        <f>SUM(BJ13:BM28)</f>
        <v>40</v>
      </c>
      <c r="C42" s="189" t="s">
        <v>207</v>
      </c>
      <c r="BX42" s="108"/>
      <c r="BY42" s="108"/>
      <c r="BZ42" s="108"/>
      <c r="CA42" s="108"/>
    </row>
  </sheetData>
  <mergeCells count="41">
    <mergeCell ref="BJ18:BJ20"/>
    <mergeCell ref="BK18:BK20"/>
    <mergeCell ref="BL18:BL20"/>
    <mergeCell ref="BM18:BM20"/>
    <mergeCell ref="BJ10:BJ12"/>
    <mergeCell ref="BK10:BK12"/>
    <mergeCell ref="BL10:BL12"/>
    <mergeCell ref="BM10:BM12"/>
    <mergeCell ref="BB18:BB20"/>
    <mergeCell ref="BC18:BC20"/>
    <mergeCell ref="BD18:BD20"/>
    <mergeCell ref="BE18:BE20"/>
    <mergeCell ref="BB10:BB12"/>
    <mergeCell ref="BC10:BC12"/>
    <mergeCell ref="BD10:BD12"/>
    <mergeCell ref="BE10:BE12"/>
    <mergeCell ref="L19:M19"/>
    <mergeCell ref="N19:O19"/>
    <mergeCell ref="P19:Q19"/>
    <mergeCell ref="L10:M10"/>
    <mergeCell ref="U18:U20"/>
    <mergeCell ref="S18:S20"/>
    <mergeCell ref="S9:S11"/>
    <mergeCell ref="R9:R11"/>
    <mergeCell ref="R18:R20"/>
    <mergeCell ref="B7:S7"/>
    <mergeCell ref="N10:O10"/>
    <mergeCell ref="P10:Q10"/>
    <mergeCell ref="J10:K10"/>
    <mergeCell ref="T18:T20"/>
    <mergeCell ref="B9:B11"/>
    <mergeCell ref="C9:E10"/>
    <mergeCell ref="F9:Q9"/>
    <mergeCell ref="B18:B20"/>
    <mergeCell ref="C18:E19"/>
    <mergeCell ref="F18:Q18"/>
    <mergeCell ref="F19:G19"/>
    <mergeCell ref="H19:I19"/>
    <mergeCell ref="J19:K19"/>
    <mergeCell ref="F10:G10"/>
    <mergeCell ref="H10:I10"/>
  </mergeCells>
  <dataValidations count="3">
    <dataValidation allowBlank="1" showInputMessage="1" showErrorMessage="1" errorTitle="Error de ingreso" error="Debe ingresar sólo números enteros positivos." sqref="F29:U1048576 W16 CB29:CM1048576 X1:AG8 Z10:Z17 AC10:AC17 V1:W15 C8:E1048576 F8:S12 F17:S20 T1:U17 CN1:XFD1048576 AD10:AG1048576 AA10:AB1048576 Z19:Z1048576 X10:Y1048576 AC19:AC1048576 B26:B1048576 C1:S6 B6:B24 AH1:CA1048576 CB1:CM9 V17:W1048576" xr:uid="{00000000-0002-0000-0B00-000000000000}"/>
    <dataValidation allowBlank="1" showInputMessage="1" showErrorMessage="1" errorTitle=" Error de ingreso" error="Debe ingresar sólo números enteros positivos." sqref="X9:AG9 Z18 AC18" xr:uid="{00000000-0002-0000-0B00-000001000000}"/>
    <dataValidation type="whole" operator="greaterThanOrEqual" allowBlank="1" showInputMessage="1" showErrorMessage="1" sqref="F13:S16 F21:U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D6" sqref="D6"/>
    </sheetView>
  </sheetViews>
  <sheetFormatPr baseColWidth="10" defaultColWidth="11.42578125" defaultRowHeight="12.75" x14ac:dyDescent="0.2"/>
  <cols>
    <col min="1" max="2" width="1.85546875" style="20" customWidth="1"/>
    <col min="3" max="3" width="33.42578125" style="20" customWidth="1"/>
    <col min="4" max="4" width="19.140625" style="20" customWidth="1"/>
    <col min="5" max="5" width="38.140625" style="20" customWidth="1"/>
    <col min="6" max="8" width="73.42578125" style="20" customWidth="1"/>
    <col min="9" max="9" width="13.85546875" style="20" customWidth="1"/>
    <col min="10" max="14" width="14.140625" style="20" customWidth="1"/>
    <col min="15" max="17" width="11.42578125" style="20"/>
    <col min="18" max="18" width="18.28515625" style="20" customWidth="1"/>
    <col min="19" max="22" width="11.42578125" style="20"/>
    <col min="23" max="23" width="19.42578125" style="20" hidden="1" customWidth="1"/>
    <col min="24" max="25" width="19.42578125" style="20" customWidth="1"/>
    <col min="26" max="16384" width="11.42578125" style="20"/>
  </cols>
  <sheetData>
    <row r="1" spans="1:23" ht="35.25" customHeight="1" x14ac:dyDescent="0.2">
      <c r="A1" s="28"/>
      <c r="B1" s="28"/>
      <c r="C1" s="2329" t="s">
        <v>878</v>
      </c>
      <c r="D1" s="2330"/>
      <c r="E1" s="2331"/>
      <c r="F1" s="28"/>
      <c r="G1" s="28"/>
      <c r="H1" s="28"/>
      <c r="I1" s="28"/>
      <c r="J1" s="28"/>
      <c r="K1" s="28"/>
    </row>
    <row r="2" spans="1:23" ht="49.5" customHeight="1" x14ac:dyDescent="0.2">
      <c r="A2" s="28"/>
      <c r="B2" s="28"/>
      <c r="C2" s="29" t="str">
        <f>CONCATENATE("ESTABLECIMIENTO/ESTRATEGIA: ",NOMBRE!$B$3," - ","( ",NOMBRE!$C$3,NOMBRE!$D$3,NOMBRE!$E$3,NOMBRE!$F$3,NOMBRE!$G$3,NOMBRE!$H$3,NOMBRE!$I$3," )")</f>
        <v>ESTABLECIMIENTO/ESTRATEGIA:  - ( Falta Cód. Est. )</v>
      </c>
      <c r="D2" s="28"/>
      <c r="E2" s="28"/>
      <c r="F2" s="28"/>
      <c r="G2" s="28"/>
      <c r="H2" s="28"/>
      <c r="I2" s="28"/>
      <c r="J2" s="28"/>
      <c r="K2" s="28"/>
    </row>
    <row r="3" spans="1:23" ht="34.5" customHeight="1" x14ac:dyDescent="0.2">
      <c r="A3" s="28"/>
      <c r="B3" s="28"/>
      <c r="C3" s="1546" t="s">
        <v>879</v>
      </c>
      <c r="D3" s="1546" t="s">
        <v>880</v>
      </c>
      <c r="E3" s="1546" t="s">
        <v>881</v>
      </c>
      <c r="F3" s="28"/>
      <c r="G3" s="28"/>
      <c r="H3" s="28"/>
      <c r="I3" s="28"/>
      <c r="J3" s="28"/>
      <c r="K3" s="28"/>
    </row>
    <row r="4" spans="1:23" ht="21.6" customHeight="1" x14ac:dyDescent="0.25">
      <c r="A4" s="28"/>
      <c r="B4" s="28"/>
      <c r="C4" s="1547" t="s">
        <v>882</v>
      </c>
      <c r="D4" s="1548">
        <f>NOMBRE!AG7</f>
        <v>3</v>
      </c>
      <c r="E4" s="28"/>
      <c r="F4" s="28"/>
      <c r="G4" s="28"/>
      <c r="H4" s="28"/>
      <c r="I4" s="28"/>
      <c r="J4" s="28"/>
      <c r="K4" s="28"/>
    </row>
    <row r="5" spans="1:23" ht="21.6" customHeight="1" x14ac:dyDescent="0.25">
      <c r="A5" s="28"/>
      <c r="B5" s="28"/>
      <c r="C5" s="1547" t="s">
        <v>883</v>
      </c>
      <c r="D5" s="1549" t="e">
        <f>+'P1'!$B173</f>
        <v>#VALUE!</v>
      </c>
      <c r="E5" s="1550" t="str">
        <f>IF('P1'!B172&gt;0,"","SIN DATOS")</f>
        <v>SIN DATOS</v>
      </c>
      <c r="F5" s="28"/>
      <c r="G5" s="28"/>
      <c r="H5" s="28"/>
      <c r="I5" s="28"/>
      <c r="J5" s="28"/>
      <c r="K5" s="28"/>
      <c r="W5" s="32" t="s">
        <v>884</v>
      </c>
    </row>
    <row r="6" spans="1:23" ht="21.6" customHeight="1" x14ac:dyDescent="0.25">
      <c r="A6" s="28"/>
      <c r="B6" s="28"/>
      <c r="C6" s="1547" t="s">
        <v>885</v>
      </c>
      <c r="D6" s="1549" t="e">
        <f>+'P2'!B221</f>
        <v>#VALUE!</v>
      </c>
      <c r="E6" s="1550" t="e">
        <f>IF('P2'!B220&gt;0,"","SIN DATOS")</f>
        <v>#VALUE!</v>
      </c>
      <c r="F6" s="28"/>
      <c r="G6" s="28"/>
      <c r="H6" s="28"/>
      <c r="I6" s="28"/>
      <c r="J6" s="28"/>
      <c r="K6" s="28"/>
      <c r="W6" s="32" t="s">
        <v>886</v>
      </c>
    </row>
    <row r="7" spans="1:23" ht="21.6" customHeight="1" x14ac:dyDescent="0.25">
      <c r="A7" s="28"/>
      <c r="B7" s="28"/>
      <c r="C7" s="1547" t="s">
        <v>887</v>
      </c>
      <c r="D7" s="1549" t="e">
        <f>+'P3'!B94</f>
        <v>#VALUE!</v>
      </c>
      <c r="E7" s="1550" t="str">
        <f>IF('P3'!B93&gt;0,"","SIN DATOS")</f>
        <v>SIN DATOS</v>
      </c>
      <c r="F7" s="28"/>
      <c r="G7" s="28"/>
      <c r="H7" s="28"/>
      <c r="I7" s="28"/>
      <c r="J7" s="28"/>
      <c r="K7" s="28"/>
      <c r="W7" s="32" t="s">
        <v>888</v>
      </c>
    </row>
    <row r="8" spans="1:23" ht="21.6" customHeight="1" x14ac:dyDescent="0.25">
      <c r="A8" s="28"/>
      <c r="B8" s="28"/>
      <c r="C8" s="1547" t="s">
        <v>889</v>
      </c>
      <c r="D8" s="1549" t="e">
        <f>+'P4'!B111</f>
        <v>#VALUE!</v>
      </c>
      <c r="E8" s="1550" t="str">
        <f>IF('P4'!B110&gt;0,"","SIN DATOS")</f>
        <v>SIN DATOS</v>
      </c>
      <c r="F8" s="28"/>
      <c r="G8" s="28"/>
      <c r="H8" s="28"/>
      <c r="I8" s="28"/>
      <c r="J8" s="28"/>
      <c r="K8" s="28"/>
      <c r="W8" s="32" t="s">
        <v>890</v>
      </c>
    </row>
    <row r="9" spans="1:23" ht="21.6" customHeight="1" x14ac:dyDescent="0.25">
      <c r="A9" s="28"/>
      <c r="B9" s="28"/>
      <c r="C9" s="1547" t="s">
        <v>891</v>
      </c>
      <c r="D9" s="1549">
        <f>+'P5'!B82</f>
        <v>127</v>
      </c>
      <c r="E9" s="1550" t="str">
        <f>IF('P5'!B81&gt;0,"","SIN DATOS")</f>
        <v>SIN DATOS</v>
      </c>
      <c r="F9" s="28"/>
      <c r="G9" s="28"/>
      <c r="H9" s="28"/>
      <c r="I9" s="28"/>
      <c r="J9" s="28"/>
      <c r="K9" s="28"/>
      <c r="W9" s="32" t="s">
        <v>892</v>
      </c>
    </row>
    <row r="10" spans="1:23" ht="21.6" customHeight="1" x14ac:dyDescent="0.25">
      <c r="A10" s="28"/>
      <c r="B10" s="28"/>
      <c r="C10" s="1547" t="s">
        <v>893</v>
      </c>
      <c r="D10" s="1549">
        <f>+'P6'!B147</f>
        <v>952</v>
      </c>
      <c r="E10" s="1550" t="str">
        <f>IF('P6'!B146&gt;0,"","SIN DATOS")</f>
        <v>SIN DATOS</v>
      </c>
      <c r="F10" s="28"/>
      <c r="G10" s="28"/>
      <c r="H10" s="28"/>
      <c r="I10" s="28"/>
      <c r="J10" s="28"/>
      <c r="K10" s="28"/>
    </row>
    <row r="11" spans="1:23" ht="21.6" customHeight="1" x14ac:dyDescent="0.25">
      <c r="A11" s="28"/>
      <c r="B11" s="28"/>
      <c r="C11" s="1547" t="s">
        <v>894</v>
      </c>
      <c r="D11" s="1549">
        <f>+'P7'!B50</f>
        <v>0</v>
      </c>
      <c r="E11" s="1550" t="str">
        <f>IF('P7'!B49&gt;0,"","SIN DATOS")</f>
        <v>SIN DATOS</v>
      </c>
      <c r="F11" s="28"/>
      <c r="G11" s="28"/>
      <c r="H11" s="28"/>
      <c r="I11" s="28"/>
      <c r="J11" s="28"/>
      <c r="K11" s="28"/>
    </row>
    <row r="12" spans="1:23" ht="21.6" customHeight="1" x14ac:dyDescent="0.25">
      <c r="A12" s="28"/>
      <c r="B12" s="28"/>
      <c r="C12" s="1547" t="s">
        <v>895</v>
      </c>
      <c r="D12" s="1549">
        <f>+'P9'!B110</f>
        <v>288</v>
      </c>
      <c r="E12" s="1550" t="str">
        <f>IF('P9'!B109&gt;0,"","SIN DATOS")</f>
        <v>SIN DATOS</v>
      </c>
      <c r="F12" s="28"/>
      <c r="G12" s="28"/>
      <c r="H12" s="28"/>
      <c r="I12" s="28"/>
      <c r="J12" s="28"/>
      <c r="K12" s="28"/>
    </row>
    <row r="13" spans="1:23" ht="21.6" customHeight="1" x14ac:dyDescent="0.25">
      <c r="A13" s="28"/>
      <c r="B13" s="28"/>
      <c r="C13" s="1547" t="s">
        <v>896</v>
      </c>
      <c r="D13" s="1549">
        <f>+'P11'!B34</f>
        <v>37</v>
      </c>
      <c r="E13" s="1550" t="str">
        <f>IF('P11'!B33&gt;0,"","SIN DATOS")</f>
        <v>SIN DATOS</v>
      </c>
      <c r="F13" s="28"/>
      <c r="G13" s="28"/>
      <c r="H13" s="28"/>
      <c r="I13" s="28"/>
      <c r="J13" s="28"/>
      <c r="K13" s="28"/>
    </row>
    <row r="14" spans="1:23" ht="21.6" customHeight="1" x14ac:dyDescent="0.25">
      <c r="A14" s="28"/>
      <c r="B14" s="28"/>
      <c r="C14" s="1547" t="s">
        <v>897</v>
      </c>
      <c r="D14" s="1549" t="e">
        <f>+'P12'!B81</f>
        <v>#VALUE!</v>
      </c>
      <c r="E14" s="1550" t="str">
        <f>IF('P12'!B80&gt;0,"","SIN DATOS")</f>
        <v>SIN DATOS</v>
      </c>
      <c r="F14" s="28"/>
      <c r="G14" s="28"/>
      <c r="H14" s="28"/>
      <c r="I14" s="28"/>
      <c r="J14" s="28"/>
      <c r="K14" s="28"/>
    </row>
    <row r="15" spans="1:23" ht="21.6" customHeight="1" x14ac:dyDescent="0.25">
      <c r="A15" s="28"/>
      <c r="B15" s="28"/>
      <c r="C15" s="1547" t="s">
        <v>898</v>
      </c>
      <c r="D15" s="1549">
        <f>+'P13'!B42</f>
        <v>40</v>
      </c>
      <c r="E15" s="1550" t="str">
        <f>IF('P13'!B41&gt;0,"","SIN DATOS")</f>
        <v>SIN DATOS</v>
      </c>
      <c r="F15" s="28"/>
      <c r="G15" s="28"/>
      <c r="H15" s="28"/>
      <c r="I15" s="28"/>
      <c r="J15" s="28"/>
      <c r="K15" s="28"/>
    </row>
    <row r="16" spans="1:23" ht="21.6" customHeight="1" x14ac:dyDescent="0.2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</row>
    <row r="17" spans="1:11" ht="21.6" customHeight="1" x14ac:dyDescent="0.25">
      <c r="A17" s="28"/>
      <c r="B17" s="28"/>
      <c r="C17" s="1551" t="s">
        <v>49</v>
      </c>
      <c r="D17" s="1548" t="e">
        <f>SUM(D4:D15)</f>
        <v>#VALUE!</v>
      </c>
      <c r="E17" s="28"/>
      <c r="F17" s="28"/>
      <c r="G17" s="28"/>
      <c r="H17" s="28"/>
      <c r="I17" s="28"/>
      <c r="J17" s="28"/>
      <c r="K17" s="28"/>
    </row>
    <row r="18" spans="1:11" x14ac:dyDescent="0.2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</row>
    <row r="19" spans="1:11" x14ac:dyDescent="0.2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</row>
    <row r="20" spans="1:11" x14ac:dyDescent="0.2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</row>
    <row r="21" spans="1:11" x14ac:dyDescent="0.2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</row>
    <row r="22" spans="1:11" x14ac:dyDescent="0.2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</row>
    <row r="23" spans="1:11" x14ac:dyDescent="0.2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</row>
    <row r="24" spans="1:11" x14ac:dyDescent="0.2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</row>
    <row r="25" spans="1:11" x14ac:dyDescent="0.2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</row>
    <row r="26" spans="1:11" x14ac:dyDescent="0.2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</row>
    <row r="27" spans="1:11" x14ac:dyDescent="0.2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</row>
    <row r="28" spans="1:11" x14ac:dyDescent="0.2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</row>
    <row r="29" spans="1:11" x14ac:dyDescent="0.2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</row>
    <row r="30" spans="1:11" x14ac:dyDescent="0.2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</row>
    <row r="31" spans="1:11" x14ac:dyDescent="0.2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</row>
    <row r="32" spans="1:11" x14ac:dyDescent="0.2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</row>
    <row r="33" spans="1:11" x14ac:dyDescent="0.2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</row>
    <row r="34" spans="1:11" x14ac:dyDescent="0.2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</row>
    <row r="35" spans="1:11" x14ac:dyDescent="0.2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</row>
    <row r="36" spans="1:11" x14ac:dyDescent="0.2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</row>
    <row r="37" spans="1:11" x14ac:dyDescent="0.2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</row>
    <row r="38" spans="1:11" x14ac:dyDescent="0.2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</row>
    <row r="39" spans="1:11" x14ac:dyDescent="0.2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</row>
    <row r="40" spans="1:11" x14ac:dyDescent="0.2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</row>
    <row r="41" spans="1:11" x14ac:dyDescent="0.2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</row>
    <row r="42" spans="1:11" x14ac:dyDescent="0.2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</row>
    <row r="43" spans="1:11" x14ac:dyDescent="0.2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</row>
    <row r="44" spans="1:11" x14ac:dyDescent="0.2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</row>
    <row r="45" spans="1:11" x14ac:dyDescent="0.2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</row>
    <row r="46" spans="1:11" x14ac:dyDescent="0.2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</row>
    <row r="47" spans="1:11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</row>
    <row r="48" spans="1:11" x14ac:dyDescent="0.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</row>
    <row r="49" spans="1:11" x14ac:dyDescent="0.2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</row>
    <row r="50" spans="1:11" x14ac:dyDescent="0.2">
      <c r="C50" s="28"/>
      <c r="D50" s="28"/>
      <c r="E50" s="28"/>
    </row>
  </sheetData>
  <sheetProtection algorithmName="SHA-512" hashValue="+NNBD3vAu1118UPS8uXqjbfe2cacBVv+HH/6Ax8yOWztshlioGAEA28t0MpeeSeJ+2y1oNo6XczLTDUVQqD97w==" saltValue="cDSafbkCp2juiyY1bWx0tw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5" customWidth="1"/>
    <col min="2" max="2" width="43.42578125" style="25" customWidth="1"/>
    <col min="3" max="4" width="3.140625" style="25" customWidth="1"/>
    <col min="5" max="5" width="22.7109375" style="25" customWidth="1"/>
    <col min="6" max="6" width="5.140625" style="25" customWidth="1"/>
    <col min="7" max="11" width="3.140625" style="25" customWidth="1"/>
    <col min="12" max="12" width="3.7109375" style="25" customWidth="1"/>
    <col min="13" max="20" width="3.140625" style="25" customWidth="1"/>
    <col min="21" max="21" width="7.28515625" style="25" customWidth="1"/>
    <col min="22" max="16384" width="3.140625" style="25"/>
  </cols>
  <sheetData>
    <row r="1" spans="1:24" ht="54" customHeight="1" thickBot="1" x14ac:dyDescent="0.25">
      <c r="A1" s="2332" t="s">
        <v>899</v>
      </c>
      <c r="B1" s="2333"/>
      <c r="C1" s="2333"/>
      <c r="D1" s="2333"/>
      <c r="E1" s="2333"/>
      <c r="F1" s="2333"/>
      <c r="G1" s="2333"/>
      <c r="H1" s="2333"/>
      <c r="I1" s="2333"/>
      <c r="J1" s="2333"/>
      <c r="K1" s="2333"/>
      <c r="L1" s="2333"/>
      <c r="M1" s="2333"/>
      <c r="N1" s="2334"/>
    </row>
    <row r="3" spans="1:24" ht="21.75" customHeight="1" thickBot="1" x14ac:dyDescent="0.25">
      <c r="A3" s="31" t="str">
        <f>CONCATENATE("ESTABLECIMIENTO/ESTRATEGIA: ",NOMBRE!B3," - ","( ",NOMBRE!C3,NOMBRE!D3,NOMBRE!E3,NOMBRE!F3,NOMBRE!G3,NOMBRE!H3," )")</f>
        <v>ESTABLECIMIENTO/ESTRATEGIA:  - (  )</v>
      </c>
    </row>
    <row r="4" spans="1:24" ht="41.25" customHeight="1" thickBot="1" x14ac:dyDescent="0.25">
      <c r="B4" s="30" t="s">
        <v>900</v>
      </c>
      <c r="E4" s="30"/>
    </row>
    <row r="5" spans="1:24" ht="12.75" customHeight="1" thickBot="1" x14ac:dyDescent="0.25"/>
    <row r="6" spans="1:24" ht="39" customHeight="1" thickBot="1" x14ac:dyDescent="0.25">
      <c r="A6" s="26"/>
      <c r="B6" s="30" t="s">
        <v>901</v>
      </c>
      <c r="C6" s="26"/>
      <c r="D6" s="26"/>
      <c r="E6" s="30"/>
      <c r="M6" s="26"/>
      <c r="N6" s="26"/>
      <c r="O6" s="26"/>
      <c r="P6" s="26"/>
      <c r="Q6" s="26"/>
      <c r="R6" s="26"/>
      <c r="S6" s="26"/>
      <c r="T6" s="26"/>
      <c r="U6" s="26"/>
      <c r="V6" s="26"/>
    </row>
    <row r="7" spans="1:24" ht="12.75" customHeight="1" thickBot="1" x14ac:dyDescent="0.25">
      <c r="X7" s="26"/>
    </row>
    <row r="8" spans="1:24" ht="52.5" customHeight="1" thickBot="1" x14ac:dyDescent="0.25">
      <c r="B8" s="30" t="s">
        <v>902</v>
      </c>
      <c r="E8" s="30"/>
    </row>
    <row r="9" spans="1:24" ht="19.5" customHeight="1" thickBot="1" x14ac:dyDescent="0.25"/>
    <row r="10" spans="1:24" ht="16.5" customHeight="1" x14ac:dyDescent="0.2">
      <c r="B10" s="2335" t="e">
        <f>IF(Control!D17&gt;0,"REVISE LA HOJA CONTROL, EXISTEN ERRORES","")</f>
        <v>#VALUE!</v>
      </c>
      <c r="C10" s="2336"/>
      <c r="D10" s="2336"/>
      <c r="E10" s="2336"/>
      <c r="F10" s="2336"/>
      <c r="G10" s="2336"/>
      <c r="H10" s="2337"/>
    </row>
    <row r="11" spans="1:24" ht="16.5" customHeight="1" thickBot="1" x14ac:dyDescent="0.25">
      <c r="B11" s="2338"/>
      <c r="C11" s="2339"/>
      <c r="D11" s="2339"/>
      <c r="E11" s="2339"/>
      <c r="F11" s="2339"/>
      <c r="G11" s="2339"/>
      <c r="H11" s="2340"/>
    </row>
    <row r="12" spans="1:24" ht="16.5" customHeight="1" x14ac:dyDescent="0.2"/>
    <row r="13" spans="1:24" ht="16.5" customHeight="1" x14ac:dyDescent="0.2">
      <c r="B13" s="27" t="s">
        <v>903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Props1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51AA8B7-8621-4822-8293-16C330E249E5}">
  <ds:schemaRefs>
    <ds:schemaRef ds:uri="http://purl.org/dc/elements/1.1/"/>
    <ds:schemaRef ds:uri="383d41e4-98c8-470b-87e4-a454bb942166"/>
    <ds:schemaRef ds:uri="http://purl.org/dc/dcmitype/"/>
    <ds:schemaRef ds:uri="http://schemas.openxmlformats.org/package/2006/metadata/core-properties"/>
    <ds:schemaRef ds:uri="4673dd31-91fd-4af7-84e4-68fbd0eb68a1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Carmen Gloria Sepulveda</cp:lastModifiedBy>
  <cp:revision/>
  <dcterms:created xsi:type="dcterms:W3CDTF">2013-12-18T19:51:11Z</dcterms:created>
  <dcterms:modified xsi:type="dcterms:W3CDTF">2025-05-19T19:37:36Z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